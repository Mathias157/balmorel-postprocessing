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AB8DA5B0-7037-4973-81C6-88F11B97DC39}" xr6:coauthVersionLast="47" xr6:coauthVersionMax="47" xr10:uidLastSave="{00000000-0000-0000-0000-000000000000}"/>
  <bookViews>
    <workbookView xWindow="-108" yWindow="-108" windowWidth="23256" windowHeight="12576" activeTab="1" xr2:uid="{3486058B-4023-4401-8A1B-C31F251719CF}"/>
  </bookViews>
  <sheets>
    <sheet name="Guide" sheetId="14" r:id="rId1"/>
    <sheet name="Overview" sheetId="1" r:id="rId2"/>
    <sheet name="G_CAP_YCRAF" sheetId="8" r:id="rId3"/>
    <sheet name="PRO_YCRAGF" sheetId="7" r:id="rId4"/>
    <sheet name="OBJ_YCR" sheetId="11" r:id="rId5"/>
    <sheet name="EL_PRICE_YCR" sheetId="15" r:id="rId6"/>
    <sheet name="EMI_YCRAG" sheetId="16" r:id="rId7"/>
    <sheet name="ExcelPaths" sheetId="13" r:id="rId8"/>
    <sheet name="ExcelPathCommands" sheetId="12" r:id="rId9"/>
  </sheets>
  <definedNames>
    <definedName name="ExternalData_1" localSheetId="5" hidden="1">EL_PRICE_YCR!$A$1:$H$9</definedName>
    <definedName name="ExternalData_1" localSheetId="6" hidden="1">EMI_YCRAG!$A$1:$K$7</definedName>
    <definedName name="ExternalData_1" localSheetId="7" hidden="1">ExcelPaths!$A$1:$A$4</definedName>
    <definedName name="ExternalData_1" localSheetId="4" hidden="1">OBJ_YCR!$A$1:$H$39</definedName>
    <definedName name="ExternalData_1" localSheetId="3" hidden="1">PRO_YCRAGF!$A$1:$L$112</definedName>
    <definedName name="ExternalData_2" localSheetId="2" hidden="1">G_CAP_YCRAF!$A$1:$M$198</definedName>
  </definedNames>
  <calcPr calcId="191029"/>
  <pivotCaches>
    <pivotCache cacheId="446" r:id="rId10"/>
    <pivotCache cacheId="448" r:id="rId11"/>
    <pivotCache cacheId="450" r:id="rId12"/>
    <pivotCache cacheId="452" r:id="rId13"/>
    <pivotCache cacheId="454" r:id="rId14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2" xr16:uid="{F705F3FC-82CD-42B6-81E1-6FA98491BE5D}" keepAlive="1" name="Query - EL_PRICE_YCR (2)" description="Connection to the 'EL_PRICE_YCR (2)' query in the workbook." type="5" refreshedVersion="8" background="1" saveData="1">
    <dbPr connection="Provider=Microsoft.Mashup.OleDb.1;Data Source=$Workbook$;Location=&quot;EL_PRICE_YCR (2)&quot;;Extended Properties=&quot;&quot;" command="SELECT * FROM [EL_PRICE_YCR (2)]"/>
  </connection>
  <connection id="3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4" xr16:uid="{208A7156-177A-4191-90EF-51A3F8C4A4D8}" keepAlive="1" name="Query - EMI_YCRAG (2)" description="Connection to the 'EMI_YCRAG (2)' query in the workbook." type="5" refreshedVersion="8" background="1" saveData="1">
    <dbPr connection="Provider=Microsoft.Mashup.OleDb.1;Data Source=$Workbook$;Location=&quot;EMI_YCRAG (2)&quot;;Extended Properties=&quot;&quot;" command="SELECT * FROM [EMI_YCRAG (2)]"/>
  </connection>
  <connection id="5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6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7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8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9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0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1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<sst xmlns="http://schemas.openxmlformats.org/spreadsheetml/2006/main" count="3482" uniqueCount="185">
  <si>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</si>
  <si>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</si>
  <si>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</si>
  <si>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</si>
  <si>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</si>
  <si>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</si>
  <si>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</si>
  <si>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</si>
  <si>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</si>
  <si>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</si>
  <si>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</si>
  <si>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</si>
  <si>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</si>
  <si>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</si>
  <si>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</si>
  <si>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</si>
  <si>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</si>
  <si>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</si>
  <si>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</si>
  <si>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</si>
  <si>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</si>
  <si>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</si>
  <si>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</si>
  <si>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</si>
  <si>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</si>
  <si>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</si>
  <si>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</si>
  <si>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</si>
  <si>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</si>
  <si>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</si>
  <si>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</si>
  <si>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</si>
  <si>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</si>
  <si>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</si>
  <si>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</si>
  <si>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</si>
  <si>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</si>
  <si>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</si>
  <si>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</si>
  <si>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</si>
  <si>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</si>
  <si>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</si>
  <si>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</si>
  <si>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</si>
  <si>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</si>
  <si>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</si>
  <si>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</si>
  <si>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</si>
  <si>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</si>
  <si>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</si>
  <si>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</si>
  <si>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</si>
  <si>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</si>
  <si>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</si>
  <si>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</si>
  <si>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</si>
  <si>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</si>
  <si>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TR_A</t>
  </si>
  <si>
    <t>GNR_WT_WIND_ONS</t>
  </si>
  <si>
    <t>GNR_ELYS_ELEC_AEC_Y-2030</t>
  </si>
  <si>
    <t>GNR_ELYS_ELEC_AEC_Y-2040</t>
  </si>
  <si>
    <t>GNR_H2S_H2-TNKC_Y-2050</t>
  </si>
  <si>
    <t>GNR_WT_ONS-2030</t>
  </si>
  <si>
    <t>GNR_PV-2030</t>
  </si>
  <si>
    <t>GNR_WT_ONS-2040</t>
  </si>
  <si>
    <t>GNR_PV-2040</t>
  </si>
  <si>
    <t>GNR_H2S_H2-TNKC_Y-2040</t>
  </si>
  <si>
    <t>GNR_PV-2050</t>
  </si>
  <si>
    <t>GNR_WT_ONS-2050</t>
  </si>
  <si>
    <t>TR00_A</t>
  </si>
  <si>
    <t>GNR_H2S_H2-TNKC_Y-2020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</si>
  <si>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</si>
  <si>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</si>
  <si>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</si>
  <si>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</si>
  <si>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</si>
  <si>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</si>
  <si>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</si>
  <si>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</si>
  <si>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C:\Users\mberos\Danmarks Tekniske Universitet\PhD in Transmission and Sector Coupling - Dokumenter\Deliverables\Smart-coupling of Balmorel and Antares\Smaller Analyses\Transport Modelling</t>
  </si>
  <si>
    <t>TransportBase</t>
  </si>
  <si>
    <t>These paths should update automatically, if changing folder</t>
  </si>
  <si>
    <t>Paths</t>
  </si>
  <si>
    <t>NoTransport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</si>
  <si>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</si>
  <si>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</si>
  <si>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</si>
  <si>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</si>
  <si>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</si>
  <si>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</si>
  <si>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</si>
  <si>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</si>
  <si>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</si>
  <si>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</si>
  <si>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</si>
  <si>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</si>
  <si>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</si>
  <si>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</si>
  <si>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</si>
  <si>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</si>
  <si>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</si>
  <si>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</si>
  <si>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</si>
  <si>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</si>
  <si>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</si>
  <si>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</si>
  <si>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</si>
  <si>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</si>
  <si>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</si>
  <si>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</si>
  <si>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</si>
  <si>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</si>
  <si>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</si>
  <si>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</si>
  <si>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</si>
  <si>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</si>
  <si>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</si>
  <si>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</si>
  <si>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</si>
  <si>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</si>
  <si>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</si>
  <si>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</si>
  <si>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</si>
  <si>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</si>
  <si>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</si>
  <si>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</si>
  <si>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</si>
  <si>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</si>
  <si>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</si>
  <si>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</si>
  <si>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</si>
  <si>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</si>
  <si>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</si>
  <si>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</si>
  <si>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</si>
  <si>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</si>
  <si>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</si>
  <si>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</si>
  <si>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</si>
  <si>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</si>
  <si>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</si>
  <si>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</si>
  <si>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</si>
  <si>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</si>
  <si>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</si>
  <si>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</si>
  <si>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</si>
  <si>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</si>
  <si>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</si>
  <si>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</si>
  <si>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</si>
  <si>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</si>
  <si>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</si>
  <si>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</si>
  <si>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</si>
  <si>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t>Step 3: A pivot chart is made, that is connected to this data. I prefer to insert the pivot table itself in the blue sheets,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</si>
  <si>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</si>
  <si>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Step 4: Format the plot as you'd like, and the charts should now update automatically when pressing "Plot Charts"</t>
  </si>
  <si>
    <t>2.2 Making New Charts</t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</si>
  <si>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</si>
  <si>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</si>
  <si>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</si>
  <si>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C:\Users\mberos\gitRepos\balmorel-postprocessing\[InteractiveResults.xlsm]Overview</t>
  </si>
  <si>
    <t>Profile plot style (Dark or Light)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</si>
  <si>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</si>
  <si>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</si>
  <si>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</si>
  <si>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</si>
  <si>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</si>
  <si>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</si>
  <si>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</si>
  <si>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</si>
  <si>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</si>
  <si>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Legend (TECH_TYPE, FFF, AAA, G)</t>
  </si>
  <si>
    <t>Light</t>
  </si>
  <si>
    <t>Input for Profile</t>
  </si>
  <si>
    <t>Outputs</t>
  </si>
  <si>
    <t>No errors</t>
  </si>
  <si>
    <t>Python script errors:</t>
  </si>
  <si>
    <t>The production, capacity, system cost and electricity price results already have a data connection in this excel.</t>
  </si>
  <si>
    <t>PRO_YCRAGF, G_CAP_YCRAF, OBJ_YCR, EL_PRICE_YCR, EMI_YCRAG</t>
  </si>
  <si>
    <t>kton</t>
  </si>
  <si>
    <t>TransportBase, NoTransport</t>
  </si>
  <si>
    <t>GNR_H2S_H2-TNKC_Y-2030</t>
  </si>
  <si>
    <t>C:\Users\mberos\gitRepos\balmorel-antares\.BAF-Env\Scripts\activate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</si>
</sst>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color theme="4" tint="0.59999389629810485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0" borderId="0" xfId="0" applyAlignment="1">
      <alignment horizontal="left" indent="3"/>
    </xf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applyFont="1" applyFill="1"/>
    <xf numFmtId="0" fontId="14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5" fillId="3" borderId="0" xfId="0" applyFont="1" applyFill="1" applyAlignment="1">
      <alignment horizontal="left" vertical="center" wrapText="1"/>
    </xf>
    <xf numFmtId="0" fontId="0" fillId="0" borderId="0" xfId="0" applyNumberFormat="1"/>
    <xf numFmtId="0" fontId="0" fillId="3" borderId="0" xfId="0" applyFill="1" applyAlignment="1">
      <alignment wrapText="1"/>
    </xf>
  </cellXfs>
  <cellStyles count="2">
    <cellStyle name="Hyperlink" xfId="1" builtinId="8"/>
    <cellStyle name="Normal" xfId="0" builtinId="0"/>
  </cellStyles>
  <dxfs count="3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PRO_YCRAGF!$P$4:$P$5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PRO_YCRAGF!$P$6:$P$28</c:f>
              <c:numCache>
                <c:formatCode>General</c:formatCode>
                <c:ptCount val="16"/>
                <c:pt idx="0">
                  <c:v>14.774699999999889</c:v>
                </c:pt>
                <c:pt idx="1">
                  <c:v>10.536090996410794</c:v>
                </c:pt>
                <c:pt idx="2">
                  <c:v>3.589240736607116</c:v>
                </c:pt>
                <c:pt idx="3">
                  <c:v>5.1400719886252002</c:v>
                </c:pt>
                <c:pt idx="8">
                  <c:v>14.774699999999889</c:v>
                </c:pt>
                <c:pt idx="9">
                  <c:v>10.529358599766852</c:v>
                </c:pt>
                <c:pt idx="10">
                  <c:v>3.5537852401351961</c:v>
                </c:pt>
                <c:pt idx="11">
                  <c:v>5.1400719886252002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PRO_YCRAGF!$Q$4:$Q$5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PRO_YCRAGF!$Q$6:$Q$28</c:f>
              <c:numCache>
                <c:formatCode>General</c:formatCode>
                <c:ptCount val="16"/>
                <c:pt idx="4">
                  <c:v>4.6674143351165958</c:v>
                </c:pt>
                <c:pt idx="5">
                  <c:v>39.646128899733661</c:v>
                </c:pt>
                <c:pt idx="6">
                  <c:v>117.34103343250813</c:v>
                </c:pt>
                <c:pt idx="7">
                  <c:v>170.19270536432813</c:v>
                </c:pt>
                <c:pt idx="12">
                  <c:v>4.6674143351165958</c:v>
                </c:pt>
                <c:pt idx="13">
                  <c:v>38.385795287785271</c:v>
                </c:pt>
                <c:pt idx="14">
                  <c:v>108.00155977226547</c:v>
                </c:pt>
                <c:pt idx="15">
                  <c:v>153.50113838490108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2-48AA-A599-2C27BA07405D}"/>
            </c:ext>
          </c:extLst>
        </c:ser>
        <c:ser>
          <c:idx val="2"/>
          <c:order val="2"/>
          <c:tx>
            <c:strRef>
              <c:f>PRO_YCRAGF!$R$4:$R$5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PRO_YCRAGF!$R$6:$R$28</c:f>
              <c:numCache>
                <c:formatCode>General</c:formatCode>
                <c:ptCount val="16"/>
                <c:pt idx="4">
                  <c:v>-2.7912695354093452E-15</c:v>
                </c:pt>
                <c:pt idx="6">
                  <c:v>0.83679778162546081</c:v>
                </c:pt>
                <c:pt idx="7">
                  <c:v>4.9490998126093881</c:v>
                </c:pt>
                <c:pt idx="12">
                  <c:v>-2.7912695354093452E-15</c:v>
                </c:pt>
                <c:pt idx="13">
                  <c:v>-5.6463786027701633E-16</c:v>
                </c:pt>
                <c:pt idx="14">
                  <c:v>1.0766948514720736</c:v>
                </c:pt>
                <c:pt idx="15">
                  <c:v>11.477102473929472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F2-48AA-A599-2C27BA07405D}"/>
            </c:ext>
          </c:extLst>
        </c:ser>
        <c:ser>
          <c:idx val="3"/>
          <c:order val="3"/>
          <c:tx>
            <c:strRef>
              <c:f>PRO_YCRAGF!$S$4:$S$5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PRO_YCRAGF!$S$6:$S$28</c:f>
              <c:numCache>
                <c:formatCode>General</c:formatCode>
                <c:ptCount val="16"/>
                <c:pt idx="0">
                  <c:v>94.759614626630693</c:v>
                </c:pt>
                <c:pt idx="1">
                  <c:v>94.759614626630523</c:v>
                </c:pt>
                <c:pt idx="2">
                  <c:v>94.759614626630679</c:v>
                </c:pt>
                <c:pt idx="3">
                  <c:v>94.75961462663075</c:v>
                </c:pt>
                <c:pt idx="8">
                  <c:v>94.759614626630693</c:v>
                </c:pt>
                <c:pt idx="9">
                  <c:v>94.759614626630665</c:v>
                </c:pt>
                <c:pt idx="10">
                  <c:v>94.759614626630722</c:v>
                </c:pt>
                <c:pt idx="11">
                  <c:v>94.759614626630793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F2-48AA-A599-2C27BA07405D}"/>
            </c:ext>
          </c:extLst>
        </c:ser>
        <c:ser>
          <c:idx val="4"/>
          <c:order val="4"/>
          <c:tx>
            <c:strRef>
              <c:f>PRO_YCRAGF!$T$4:$T$5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PRO_YCRAGF!$T$6:$T$28</c:f>
              <c:numCache>
                <c:formatCode>General</c:formatCode>
                <c:ptCount val="16"/>
                <c:pt idx="0">
                  <c:v>15.101039999999987</c:v>
                </c:pt>
                <c:pt idx="1">
                  <c:v>59.303686236223193</c:v>
                </c:pt>
                <c:pt idx="2">
                  <c:v>87.69256324882727</c:v>
                </c:pt>
                <c:pt idx="3">
                  <c:v>115.34249561262013</c:v>
                </c:pt>
                <c:pt idx="8">
                  <c:v>15.101039999999987</c:v>
                </c:pt>
                <c:pt idx="9">
                  <c:v>59.028882562184222</c:v>
                </c:pt>
                <c:pt idx="10">
                  <c:v>86.589432905997995</c:v>
                </c:pt>
                <c:pt idx="11">
                  <c:v>123.51125829224395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F2-48AA-A599-2C27BA07405D}"/>
            </c:ext>
          </c:extLst>
        </c:ser>
        <c:ser>
          <c:idx val="5"/>
          <c:order val="5"/>
          <c:tx>
            <c:strRef>
              <c:f>PRO_YCRAGF!$U$4:$U$5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PRO_YCRAGF!$U$6:$U$28</c:f>
              <c:numCache>
                <c:formatCode>General</c:formatCode>
                <c:ptCount val="16"/>
                <c:pt idx="0">
                  <c:v>44.731138475276772</c:v>
                </c:pt>
                <c:pt idx="1">
                  <c:v>56.807979924644414</c:v>
                </c:pt>
                <c:pt idx="2">
                  <c:v>144.58161218557359</c:v>
                </c:pt>
                <c:pt idx="3">
                  <c:v>182.78057438497575</c:v>
                </c:pt>
                <c:pt idx="8">
                  <c:v>44.731138475276772</c:v>
                </c:pt>
                <c:pt idx="9">
                  <c:v>55.214407964210345</c:v>
                </c:pt>
                <c:pt idx="10">
                  <c:v>132.58395233947093</c:v>
                </c:pt>
                <c:pt idx="11">
                  <c:v>149.55917938365855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F2-48AA-A599-2C27BA07405D}"/>
            </c:ext>
          </c:extLst>
        </c:ser>
        <c:ser>
          <c:idx val="6"/>
          <c:order val="6"/>
          <c:tx>
            <c:strRef>
              <c:f>PRO_YCRAGF!$V$4:$V$5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PRO_YCRAGF!$V$6:$V$28</c:f>
              <c:numCache>
                <c:formatCode>General</c:formatCode>
                <c:ptCount val="16"/>
                <c:pt idx="4">
                  <c:v>-2.4060663595814181E-15</c:v>
                </c:pt>
                <c:pt idx="7">
                  <c:v>0.38831365303979881</c:v>
                </c:pt>
                <c:pt idx="12">
                  <c:v>-2.4060663595814181E-15</c:v>
                </c:pt>
                <c:pt idx="13">
                  <c:v>-1.3397181776651578E-15</c:v>
                </c:pt>
                <c:pt idx="14">
                  <c:v>0.93967278330960791</c:v>
                </c:pt>
                <c:pt idx="15">
                  <c:v>1.1815943019338595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F2-48AA-A599-2C27BA07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471516670347933"/>
          <c:y val="4.5531799886451653E-2"/>
          <c:w val="0.15919426663406322"/>
          <c:h val="0.92087566455713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G_CAP_YCRAF!$Q$8:$Q$28</c:f>
              <c:numCache>
                <c:formatCode>General</c:formatCode>
                <c:ptCount val="8"/>
                <c:pt idx="0">
                  <c:v>1.6999999999999995</c:v>
                </c:pt>
                <c:pt idx="1">
                  <c:v>1.2749999999999988</c:v>
                </c:pt>
                <c:pt idx="2">
                  <c:v>0.42500000000000093</c:v>
                </c:pt>
                <c:pt idx="3">
                  <c:v>0.6077171894803961</c:v>
                </c:pt>
                <c:pt idx="4">
                  <c:v>1.6999999999999995</c:v>
                </c:pt>
                <c:pt idx="5">
                  <c:v>1.2749999999999988</c:v>
                </c:pt>
                <c:pt idx="6">
                  <c:v>0.42500000000000093</c:v>
                </c:pt>
                <c:pt idx="7">
                  <c:v>0.60771718948039699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G_CAP_YCRAF!$R$8:$R$28</c:f>
              <c:numCache>
                <c:formatCode>General</c:formatCode>
                <c:ptCount val="8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B4-4CA9-9E67-BF851C023F9C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G_CAP_YCRAF!$S$8:$S$28</c:f>
              <c:numCache>
                <c:formatCode>General</c:formatCode>
                <c:ptCount val="8"/>
                <c:pt idx="0">
                  <c:v>8</c:v>
                </c:pt>
                <c:pt idx="1">
                  <c:v>32.096848004485523</c:v>
                </c:pt>
                <c:pt idx="2">
                  <c:v>46.756146534193618</c:v>
                </c:pt>
                <c:pt idx="3">
                  <c:v>61.441132285007491</c:v>
                </c:pt>
                <c:pt idx="4">
                  <c:v>8</c:v>
                </c:pt>
                <c:pt idx="5">
                  <c:v>31.978288495255512</c:v>
                </c:pt>
                <c:pt idx="6">
                  <c:v>46.409620284657947</c:v>
                </c:pt>
                <c:pt idx="7">
                  <c:v>66.289647292765764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DB4-4CA9-9E67-BF851C023F9C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G_CAP_YCRAF!$T$8:$T$28</c:f>
              <c:numCache>
                <c:formatCode>General</c:formatCode>
                <c:ptCount val="8"/>
                <c:pt idx="0">
                  <c:v>13.929206206568255</c:v>
                </c:pt>
                <c:pt idx="1">
                  <c:v>19.814218034314507</c:v>
                </c:pt>
                <c:pt idx="2">
                  <c:v>53.701069285088522</c:v>
                </c:pt>
                <c:pt idx="3">
                  <c:v>70.394886518506908</c:v>
                </c:pt>
                <c:pt idx="4">
                  <c:v>13.929206206568255</c:v>
                </c:pt>
                <c:pt idx="5">
                  <c:v>19.254532713846409</c:v>
                </c:pt>
                <c:pt idx="6">
                  <c:v>49.663169920917795</c:v>
                </c:pt>
                <c:pt idx="7">
                  <c:v>57.106213595185956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B4-4CA9-9E67-BF851C023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911897432237984"/>
          <c:y val="0.14096727339937123"/>
          <c:w val="0.24589462271482976"/>
          <c:h val="0.659192544742727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OBJ_YCR!$L$8:$L$18</c:f>
              <c:numCache>
                <c:formatCode>General</c:formatCode>
                <c:ptCount val="8"/>
                <c:pt idx="0">
                  <c:v>53.451088374092045</c:v>
                </c:pt>
                <c:pt idx="1">
                  <c:v>1065.3669259820831</c:v>
                </c:pt>
                <c:pt idx="2">
                  <c:v>4722.671511446044</c:v>
                </c:pt>
                <c:pt idx="3">
                  <c:v>7125.223207903121</c:v>
                </c:pt>
                <c:pt idx="4">
                  <c:v>53.451088374092045</c:v>
                </c:pt>
                <c:pt idx="5">
                  <c:v>1016.1466376274921</c:v>
                </c:pt>
                <c:pt idx="6">
                  <c:v>4409.1372352103017</c:v>
                </c:pt>
                <c:pt idx="7">
                  <c:v>6715.0769879587233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OBJ_YCR!$M$8:$M$18</c:f>
              <c:numCache>
                <c:formatCode>General</c:formatCode>
                <c:ptCount val="8"/>
                <c:pt idx="0">
                  <c:v>1154.3842153816881</c:v>
                </c:pt>
                <c:pt idx="1">
                  <c:v>1553.8670957697223</c:v>
                </c:pt>
                <c:pt idx="2">
                  <c:v>2037.3154297155208</c:v>
                </c:pt>
                <c:pt idx="3">
                  <c:v>2449.9968018129712</c:v>
                </c:pt>
                <c:pt idx="4">
                  <c:v>1154.3842153816881</c:v>
                </c:pt>
                <c:pt idx="5">
                  <c:v>1543.1119640236752</c:v>
                </c:pt>
                <c:pt idx="6">
                  <c:v>1976.0287575414543</c:v>
                </c:pt>
                <c:pt idx="7">
                  <c:v>2300.6257748974504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OBJ_YCR!$N$8:$N$18</c:f>
              <c:numCache>
                <c:formatCode>General</c:formatCode>
                <c:ptCount val="8"/>
                <c:pt idx="0">
                  <c:v>4.7588194444042076</c:v>
                </c:pt>
                <c:pt idx="1">
                  <c:v>3.3935954504479438</c:v>
                </c:pt>
                <c:pt idx="2">
                  <c:v>1.1560673724687551</c:v>
                </c:pt>
                <c:pt idx="3">
                  <c:v>-240.35883725928173</c:v>
                </c:pt>
                <c:pt idx="4">
                  <c:v>4.7588194444042076</c:v>
                </c:pt>
                <c:pt idx="5">
                  <c:v>3.3914269962622736</c:v>
                </c:pt>
                <c:pt idx="6">
                  <c:v>17.659205557267502</c:v>
                </c:pt>
                <c:pt idx="7">
                  <c:v>-227.74487647342789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OBJ_YCR!$O$8:$O$18</c:f>
              <c:numCache>
                <c:formatCode>General</c:formatCode>
                <c:ptCount val="8"/>
                <c:pt idx="0">
                  <c:v>125.44257334363498</c:v>
                </c:pt>
                <c:pt idx="1">
                  <c:v>145.84965459190076</c:v>
                </c:pt>
                <c:pt idx="2">
                  <c:v>212.44038968514332</c:v>
                </c:pt>
                <c:pt idx="3">
                  <c:v>365.87840507155556</c:v>
                </c:pt>
                <c:pt idx="4">
                  <c:v>125.44257334363498</c:v>
                </c:pt>
                <c:pt idx="5">
                  <c:v>143.6563315292762</c:v>
                </c:pt>
                <c:pt idx="6">
                  <c:v>196.36664941960234</c:v>
                </c:pt>
                <c:pt idx="7">
                  <c:v>321.59275006391744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OBJ_YCR!$P$8:$P$18</c:f>
              <c:numCache>
                <c:formatCode>General</c:formatCode>
                <c:ptCount val="8"/>
                <c:pt idx="0">
                  <c:v>-5.4230860707075413E-14</c:v>
                </c:pt>
                <c:pt idx="3">
                  <c:v>28.05220233410418</c:v>
                </c:pt>
                <c:pt idx="4">
                  <c:v>-5.4230860707075413E-14</c:v>
                </c:pt>
                <c:pt idx="5">
                  <c:v>-5.4198314310997374E-14</c:v>
                </c:pt>
                <c:pt idx="6">
                  <c:v>55.664050150952072</c:v>
                </c:pt>
                <c:pt idx="7">
                  <c:v>85.359662672679789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EL_PRICE_YCR!$K$7:$K$25</c:f>
              <c:multiLvlStrCache>
                <c:ptCount val="8"/>
                <c:lvl>
                  <c:pt idx="0">
                    <c:v>TR</c:v>
                  </c:pt>
                  <c:pt idx="1">
                    <c:v>TR</c:v>
                  </c:pt>
                  <c:pt idx="2">
                    <c:v>TR</c:v>
                  </c:pt>
                  <c:pt idx="3">
                    <c:v>TR</c:v>
                  </c:pt>
                  <c:pt idx="4">
                    <c:v>TR</c:v>
                  </c:pt>
                  <c:pt idx="5">
                    <c:v>TR</c:v>
                  </c:pt>
                  <c:pt idx="6">
                    <c:v>TR</c:v>
                  </c:pt>
                  <c:pt idx="7">
                    <c:v>TR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NoTransport</c:v>
                  </c:pt>
                  <c:pt idx="4">
                    <c:v>TransportBase</c:v>
                  </c:pt>
                </c:lvl>
              </c:multiLvlStrCache>
            </c:multiLvlStrRef>
          </c:cat>
          <c:val>
            <c:numRef>
              <c:f>EL_PRICE_YCR!$L$7:$L$25</c:f>
              <c:numCache>
                <c:formatCode>General</c:formatCode>
                <c:ptCount val="8"/>
                <c:pt idx="0">
                  <c:v>10.788603765978005</c:v>
                </c:pt>
                <c:pt idx="1">
                  <c:v>26.681148828514747</c:v>
                </c:pt>
                <c:pt idx="2">
                  <c:v>31.955003630102475</c:v>
                </c:pt>
                <c:pt idx="3">
                  <c:v>34.157630604974415</c:v>
                </c:pt>
                <c:pt idx="4">
                  <c:v>10.788603765978005</c:v>
                </c:pt>
                <c:pt idx="5">
                  <c:v>26.704225986468138</c:v>
                </c:pt>
                <c:pt idx="6">
                  <c:v>30.641771901178167</c:v>
                </c:pt>
                <c:pt idx="7">
                  <c:v>33.528625237013657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EMI_YCRAG!$P$5:$P$15</c:f>
              <c:multiLvlStrCache>
                <c:ptCount val="6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2030</c:v>
                  </c:pt>
                  <c:pt idx="4">
                    <c:v>2040</c:v>
                  </c:pt>
                  <c:pt idx="5">
                    <c:v>2050</c:v>
                  </c:pt>
                </c:lvl>
                <c:lvl>
                  <c:pt idx="0">
                    <c:v>-1</c:v>
                  </c:pt>
                  <c:pt idx="2">
                    <c:v>-1</c:v>
                  </c:pt>
                </c:lvl>
                <c:lvl>
                  <c:pt idx="0">
                    <c:v>TransportBase</c:v>
                  </c:pt>
                  <c:pt idx="2">
                    <c:v>NoTransport</c:v>
                  </c:pt>
                </c:lvl>
              </c:multiLvlStrCache>
            </c:multiLvlStrRef>
          </c:cat>
          <c:val>
            <c:numRef>
              <c:f>EMI_YCRAG!$Q$5:$Q$15</c:f>
              <c:numCache>
                <c:formatCode>General</c:formatCode>
                <c:ptCount val="6"/>
                <c:pt idx="0">
                  <c:v>-6.9418451711580459E-13</c:v>
                </c:pt>
                <c:pt idx="1">
                  <c:v>112.03403623988251</c:v>
                </c:pt>
                <c:pt idx="2">
                  <c:v>-6.9418451711580459E-13</c:v>
                </c:pt>
                <c:pt idx="3">
                  <c:v>-3.865278330875076E-13</c:v>
                </c:pt>
                <c:pt idx="4">
                  <c:v>271.10902188172827</c:v>
                </c:pt>
                <c:pt idx="5">
                  <c:v>340.90683602651779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mberos\gitRepos\balmorel-postprocessing\Output/productionprofile.png" TargetMode="Externa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162</xdr:row>
      <xdr:rowOff>20955</xdr:rowOff>
    </xdr:from>
    <xdr:to>
      <xdr:col>7</xdr:col>
      <xdr:colOff>514928</xdr:colOff>
      <xdr:row>180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9</xdr:col>
      <xdr:colOff>95944</xdr:colOff>
      <xdr:row>85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80</xdr:row>
      <xdr:rowOff>104775</xdr:rowOff>
    </xdr:from>
    <xdr:to>
      <xdr:col>3</xdr:col>
      <xdr:colOff>180975</xdr:colOff>
      <xdr:row>81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85</xdr:row>
      <xdr:rowOff>140970</xdr:rowOff>
    </xdr:from>
    <xdr:to>
      <xdr:col>11</xdr:col>
      <xdr:colOff>129540</xdr:colOff>
      <xdr:row>94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145</xdr:row>
      <xdr:rowOff>38100</xdr:rowOff>
    </xdr:from>
    <xdr:to>
      <xdr:col>11</xdr:col>
      <xdr:colOff>250440</xdr:colOff>
      <xdr:row>159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126</xdr:row>
      <xdr:rowOff>57150</xdr:rowOff>
    </xdr:from>
    <xdr:to>
      <xdr:col>14</xdr:col>
      <xdr:colOff>510540</xdr:colOff>
      <xdr:row>144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99</xdr:row>
      <xdr:rowOff>169544</xdr:rowOff>
    </xdr:from>
    <xdr:to>
      <xdr:col>21</xdr:col>
      <xdr:colOff>320777</xdr:colOff>
      <xdr:row>109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111</xdr:row>
      <xdr:rowOff>26671</xdr:rowOff>
    </xdr:from>
    <xdr:to>
      <xdr:col>21</xdr:col>
      <xdr:colOff>323850</xdr:colOff>
      <xdr:row>120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180</xdr:row>
      <xdr:rowOff>171450</xdr:rowOff>
    </xdr:from>
    <xdr:to>
      <xdr:col>8</xdr:col>
      <xdr:colOff>360684</xdr:colOff>
      <xdr:row>206</xdr:row>
      <xdr:rowOff>126380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209</xdr:row>
      <xdr:rowOff>19050</xdr:rowOff>
    </xdr:from>
    <xdr:to>
      <xdr:col>18</xdr:col>
      <xdr:colOff>12871</xdr:colOff>
      <xdr:row>241</xdr:row>
      <xdr:rowOff>162753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12881" y="1996791"/>
          <a:ext cx="1864767" cy="594894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501892</xdr:colOff>
      <xdr:row>24</xdr:row>
      <xdr:rowOff>102525</xdr:rowOff>
    </xdr:from>
    <xdr:to>
      <xdr:col>4</xdr:col>
      <xdr:colOff>68132</xdr:colOff>
      <xdr:row>39</xdr:row>
      <xdr:rowOff>142530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533600</xdr:colOff>
      <xdr:row>39</xdr:row>
      <xdr:rowOff>105728</xdr:rowOff>
    </xdr:from>
    <xdr:to>
      <xdr:col>4</xdr:col>
      <xdr:colOff>87182</xdr:colOff>
      <xdr:row>61</xdr:row>
      <xdr:rowOff>142652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553122</xdr:colOff>
      <xdr:row>60</xdr:row>
      <xdr:rowOff>98836</xdr:rowOff>
    </xdr:from>
    <xdr:to>
      <xdr:col>4</xdr:col>
      <xdr:colOff>58606</xdr:colOff>
      <xdr:row>79</xdr:row>
      <xdr:rowOff>1456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696675</xdr:colOff>
      <xdr:row>14</xdr:row>
      <xdr:rowOff>10996</xdr:rowOff>
    </xdr:from>
    <xdr:to>
      <xdr:col>5</xdr:col>
      <xdr:colOff>2560320</xdr:colOff>
      <xdr:row>17</xdr:row>
      <xdr:rowOff>75181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1732228" y="2556972"/>
          <a:ext cx="1863645" cy="60206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  <a:endParaRPr lang="en-DK" sz="1600"/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41686</xdr:colOff>
      <xdr:row>78</xdr:row>
      <xdr:rowOff>169434</xdr:rowOff>
    </xdr:from>
    <xdr:to>
      <xdr:col>2</xdr:col>
      <xdr:colOff>4097432</xdr:colOff>
      <xdr:row>94</xdr:row>
      <xdr:rowOff>20619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636270</xdr:colOff>
      <xdr:row>43</xdr:row>
      <xdr:rowOff>179070</xdr:rowOff>
    </xdr:from>
    <xdr:to>
      <xdr:col>5</xdr:col>
      <xdr:colOff>3164205</xdr:colOff>
      <xdr:row>59</xdr:row>
      <xdr:rowOff>26670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23</xdr:row>
      <xdr:rowOff>0</xdr:rowOff>
    </xdr:from>
    <xdr:to>
      <xdr:col>7</xdr:col>
      <xdr:colOff>1027370</xdr:colOff>
      <xdr:row>42</xdr:row>
      <xdr:rowOff>69214</xdr:rowOff>
    </xdr:to>
    <xdr:pic>
      <xdr:nvPicPr>
        <xdr:cNvPr id="35" name="Python Output">
          <a:extLst>
            <a:ext uri="{FF2B5EF4-FFF2-40B4-BE49-F238E27FC236}">
              <a16:creationId xmlns:a16="http://schemas.microsoft.com/office/drawing/2014/main" id="{DFF76F7D-FADF-8B84-C34D-65FF9ED5B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8983980" y="4282440"/>
          <a:ext cx="7504370" cy="354393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02992025463" backgroundQuery="1" createdVersion="8" refreshedVersion="8" minRefreshableVersion="3" recordCount="6" xr:uid="{31379719-A94B-4572-B37D-AA360B6C75AD}">
  <cacheSource type="external" connectionId="4"/>
  <cacheFields count="11">
    <cacheField name="SC" numFmtId="0">
      <sharedItems count="2">
        <s v="TransportBase"/>
        <s v="NoTransport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50"/>
        <n v="2030"/>
        <n v="204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1">
        <s v="TR_A"/>
      </sharedItems>
    </cacheField>
    <cacheField name="G" numFmtId="0">
      <sharedItems count="1">
        <s v="GNR_STEAM-REFORMING_E-70_Y-2020"/>
      </sharedItems>
    </cacheField>
    <cacheField name="F" numFmtId="0">
      <sharedItems count="1">
        <s v="NATGAS"/>
      </sharedItems>
    </cacheField>
    <cacheField name="Tech" numFmtId="0">
      <sharedItems count="1">
        <s v="STEAMREFORMING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-6.9418451711580459E-13" maxValue="340.90683602651779" count="5">
        <n v="-6.9418451711580459E-13"/>
        <n v="112.03403623988251"/>
        <n v="-3.865278330875076E-13"/>
        <n v="271.10902188172827"/>
        <n v="340.9068360265177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029920717592" backgroundQuery="1" createdVersion="8" refreshedVersion="8" minRefreshableVersion="3" recordCount="38" xr:uid="{0C270E10-2FBB-4CC0-A28C-59CBEF306603}">
  <cacheSource type="external" connectionId="9"/>
  <cacheFields count="8">
    <cacheField name="SC" numFmtId="0">
      <sharedItems count="8">
        <s v="TransportBase"/>
        <s v="NoTransport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Var" numFmtId="0">
      <sharedItems count="5">
        <s v="GENERATION_CAPITAL_COSTS"/>
        <s v="GENERATION_FIXED_COSTS"/>
        <s v="GENERATION_OPERATIONAL_COSTS"/>
        <s v="GENERATION_FUEL_COSTS"/>
        <s v="GENERATION_CO2_TAX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240.35883725928173" maxValue="7125.223207903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029921064815" backgroundQuery="1" createdVersion="8" refreshedVersion="8" minRefreshableVersion="3" recordCount="197" xr:uid="{439AE32B-CCB5-4DA7-B96C-F5716AA012E9}">
  <cacheSource type="external" connectionId="7"/>
  <cacheFields count="13">
    <cacheField name="SC" numFmtId="0">
      <sharedItems count="26">
        <s v="TransportBase"/>
        <s v="NoTransport"/>
        <s v="TR_Base" u="1"/>
        <s v="TR_50%lowerWTRFLH" u="1"/>
        <s v="TR_WTRFLH8760h" u="1"/>
        <s v="eur-system-test" u="1"/>
        <s v="TR_NoRESstor" u="1"/>
        <s v="TR_NoRESstor-3rdROR" u="1"/>
        <s v="TR_AllRoR" u="1"/>
        <s v="GDATAtoRG1" u="1"/>
        <s v="NoGDATAaltering" u="1"/>
        <s v="%scenario_name%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4">
        <s v="GNR_CC_NGAS_CND_E-56"/>
        <s v="GNR_GEO_HEAT_EO"/>
        <s v="GNR_RES_WTR_NOPMP"/>
        <s v="GNR_ST_COAL_CND_E-33"/>
        <s v="GNR_ST_WOOD_CND_E-50"/>
        <s v="GNR_ELYS_ELEC_AEC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STEAM-REFORMING_E-70_Y-2020"/>
        <s v="GNR_WT_ONS-2050"/>
        <s v="GNR_PV-2050"/>
      </sharedItems>
    </cacheField>
    <cacheField name="F" numFmtId="0">
      <sharedItems count="25">
        <s v="NATGAS"/>
        <s v="WASTEHEAT"/>
        <s v="WATER"/>
        <s v="COAL"/>
        <s v="WOOD"/>
        <s v="ELECTRIC"/>
        <s v="SUN"/>
        <s v="WIND"/>
        <s v="HYDROGEN"/>
        <s v="MUNIWASTE"/>
        <s v="LIGHTOIL" u="1"/>
        <s v="BIOGAS" u="1"/>
        <s v="WOODPELLETS" u="1"/>
        <s v="FUELOIL" u="1"/>
        <s v="NUCLEAR" u="1"/>
        <s v="PEAT" u="1"/>
        <s v="HEAT" u="1"/>
        <s v="WOODWASTE" u="1"/>
        <s v="LIGNITE" u="1"/>
        <s v="OTHERGAS" u="1"/>
        <s v="BIOOIL" u="1"/>
        <s v="STRAW" u="1"/>
        <s v="DUMMY" u="1"/>
        <s v="RETORTGAS" u="1"/>
        <s v="SHALE" u="1"/>
      </sharedItems>
    </cacheField>
    <cacheField name="Commodity" numFmtId="0">
      <sharedItems count="4">
        <s v="ELECTRICITY"/>
        <s v="HYDROGEN"/>
        <s v="HEAT" u="1"/>
        <s v="BIOMETHANE" u="1"/>
      </sharedItems>
    </cacheField>
    <cacheField name="Tech" numFmtId="0">
      <sharedItems count="14">
        <s v="CONDENSING"/>
        <s v="HYDRO-RESERVOIRS"/>
        <s v="ELECTROLYZER"/>
        <s v="SOLAR-PV"/>
        <s v="WIND-ON"/>
        <s v="H2-STORAGE"/>
        <s v="STEAMREFORMING"/>
        <s v="HYDRO-RUN-OF-RIVER" u="1"/>
        <s v="CHP-EXTRACTION" u="1"/>
        <s v="BIOGASUPGRADING" u="1"/>
        <s v="WIND-OFF" u="1"/>
        <s v="INTERSEASONAL-HEAT-STORAGE" u="1"/>
        <s v="INTRASEASONAL-ELECT-STORAGE" u="1"/>
        <s v="FUELCELL" u="1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25.75" maxValue="953.619640655274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029921412039" backgroundQuery="1" createdVersion="8" refreshedVersion="8" minRefreshableVersion="3" recordCount="111" xr:uid="{82EC0780-338A-464F-BB85-3CBE84E49413}">
  <cacheSource type="external" connectionId="11"/>
  <cacheFields count="12">
    <cacheField name="SC" numFmtId="0">
      <sharedItems count="28">
        <s v="TransportBase"/>
        <s v="NoTransport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eur-system-test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3">
        <s v="GNR_GEO_HEAT_EO"/>
        <s v="GNR_RES_WTR_NOPMP"/>
        <s v="GNR_ELYS_ELEC_AEC_Y-2020"/>
        <s v="GNR_H2S_H2-TNKC_Y-2020"/>
        <s v="GNR_STEAM-REFORMING_E-70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WT_ONS-2050"/>
        <s v="GNR_PV-2050"/>
        <s v="GNR_H2S_H2-TNKC_Y-2030"/>
      </sharedItems>
    </cacheField>
    <cacheField name="F" numFmtId="0">
      <sharedItems count="24">
        <s v="WASTEHEAT"/>
        <s v="WATER"/>
        <s v="ELECTRIC"/>
        <s v="HYDROGEN"/>
        <s v="NATGAS"/>
        <s v="SUN"/>
        <s v="WIND"/>
        <s v="MUNIWASTE"/>
        <s v="WOOD" u="1"/>
        <s v="LIGHTOIL" u="1"/>
        <s v="BIOGAS" u="1"/>
        <s v="WOODPELLETS" u="1"/>
        <s v="FUELOIL" u="1"/>
        <s v="NUCLEAR" u="1"/>
        <s v="PEAT" u="1"/>
        <s v="WOODWASTE" u="1"/>
        <s v="LIGNITE" u="1"/>
        <s v="COAL" u="1"/>
        <s v="DUMMY" u="1"/>
        <s v="RETORTGAS" u="1"/>
        <s v="SHALE" u="1"/>
        <s v="STRAW" u="1"/>
        <s v="OTHERGAS" u="1"/>
        <s v="BIOOIL" u="1"/>
      </sharedItems>
    </cacheField>
    <cacheField name="Commodity" numFmtId="0">
      <sharedItems count="3">
        <s v="ELECTRICITY"/>
        <s v="HYDROGEN"/>
        <s v="HEAT" u="1"/>
      </sharedItems>
    </cacheField>
    <cacheField name="Tech" numFmtId="0">
      <sharedItems count="12">
        <s v="CONDENSING"/>
        <s v="HYDRO-RESERVOIRS"/>
        <s v="ELECTROLYZER"/>
        <s v="H2-STORAGE"/>
        <s v="STEAMREFORMING"/>
        <s v="SOLAR-PV"/>
        <s v="WIND-ON"/>
        <s v="HYDRO-RUN-OF-RIVER" u="1"/>
        <s v="FUELCELL" u="1"/>
        <s v="CHP-EXTRACTION" u="1"/>
        <s v="WIND-OFF" u="1"/>
        <s v="INTRASEASONAL-ELECT-STORAGE" u="1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2.7912695354093452E-15" maxValue="125.891438270712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029923263886" backgroundQuery="1" createdVersion="8" refreshedVersion="8" minRefreshableVersion="3" recordCount="8" xr:uid="{0A594989-0DB0-43C1-9736-16C29D0166C3}">
  <cacheSource type="external" connectionId="2"/>
  <cacheFields count="8">
    <cacheField name="SC" numFmtId="0">
      <sharedItems count="3">
        <s v="TransportBase"/>
        <s v="NoTransport"/>
        <s v="%scenario_name%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3">
        <s v="TR"/>
        <s v="DK1" u="1"/>
        <s v="DK2" u="1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10.788603765978005" maxValue="34.157630604974415" count="7">
        <n v="10.788603765978005"/>
        <n v="26.704225986468138"/>
        <n v="30.641771901178167"/>
        <n v="33.528625237013657"/>
        <n v="26.681148828514747"/>
        <n v="31.955003630102475"/>
        <n v="34.1576306049744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0"/>
    <x v="0"/>
    <x v="0"/>
    <x v="0"/>
    <x v="1"/>
  </r>
  <r>
    <x v="1"/>
    <x v="0"/>
    <x v="0"/>
    <x v="0"/>
    <x v="0"/>
    <x v="0"/>
    <x v="0"/>
    <x v="0"/>
    <x v="0"/>
    <x v="0"/>
    <x v="0"/>
  </r>
  <r>
    <x v="1"/>
    <x v="0"/>
    <x v="2"/>
    <x v="0"/>
    <x v="0"/>
    <x v="0"/>
    <x v="0"/>
    <x v="0"/>
    <x v="0"/>
    <x v="0"/>
    <x v="2"/>
  </r>
  <r>
    <x v="1"/>
    <x v="0"/>
    <x v="3"/>
    <x v="0"/>
    <x v="0"/>
    <x v="0"/>
    <x v="0"/>
    <x v="0"/>
    <x v="0"/>
    <x v="0"/>
    <x v="3"/>
  </r>
  <r>
    <x v="1"/>
    <x v="0"/>
    <x v="1"/>
    <x v="0"/>
    <x v="0"/>
    <x v="0"/>
    <x v="0"/>
    <x v="0"/>
    <x v="0"/>
    <x v="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x v="0"/>
    <n v="53.451088374092045"/>
  </r>
  <r>
    <x v="0"/>
    <x v="0"/>
    <x v="0"/>
    <x v="0"/>
    <x v="0"/>
    <x v="1"/>
    <x v="0"/>
    <n v="1154.3842153816881"/>
  </r>
  <r>
    <x v="0"/>
    <x v="0"/>
    <x v="0"/>
    <x v="0"/>
    <x v="0"/>
    <x v="2"/>
    <x v="0"/>
    <n v="125.44257334363498"/>
  </r>
  <r>
    <x v="0"/>
    <x v="0"/>
    <x v="0"/>
    <x v="0"/>
    <x v="0"/>
    <x v="3"/>
    <x v="0"/>
    <n v="4.7588194444042076"/>
  </r>
  <r>
    <x v="0"/>
    <x v="0"/>
    <x v="0"/>
    <x v="0"/>
    <x v="0"/>
    <x v="4"/>
    <x v="0"/>
    <n v="-5.4230860707075413E-14"/>
  </r>
  <r>
    <x v="0"/>
    <x v="0"/>
    <x v="1"/>
    <x v="0"/>
    <x v="0"/>
    <x v="0"/>
    <x v="0"/>
    <n v="1065.3669259820831"/>
  </r>
  <r>
    <x v="0"/>
    <x v="0"/>
    <x v="1"/>
    <x v="0"/>
    <x v="0"/>
    <x v="1"/>
    <x v="0"/>
    <n v="1553.8670957697223"/>
  </r>
  <r>
    <x v="0"/>
    <x v="0"/>
    <x v="1"/>
    <x v="0"/>
    <x v="0"/>
    <x v="2"/>
    <x v="0"/>
    <n v="145.84965459190076"/>
  </r>
  <r>
    <x v="0"/>
    <x v="0"/>
    <x v="1"/>
    <x v="0"/>
    <x v="0"/>
    <x v="3"/>
    <x v="0"/>
    <n v="3.3935954504479438"/>
  </r>
  <r>
    <x v="0"/>
    <x v="0"/>
    <x v="2"/>
    <x v="0"/>
    <x v="0"/>
    <x v="0"/>
    <x v="0"/>
    <n v="4722.671511446044"/>
  </r>
  <r>
    <x v="0"/>
    <x v="0"/>
    <x v="2"/>
    <x v="0"/>
    <x v="0"/>
    <x v="1"/>
    <x v="0"/>
    <n v="2037.3154297155208"/>
  </r>
  <r>
    <x v="0"/>
    <x v="0"/>
    <x v="2"/>
    <x v="0"/>
    <x v="0"/>
    <x v="2"/>
    <x v="0"/>
    <n v="212.44038968514332"/>
  </r>
  <r>
    <x v="0"/>
    <x v="0"/>
    <x v="2"/>
    <x v="0"/>
    <x v="0"/>
    <x v="3"/>
    <x v="0"/>
    <n v="1.1560673724687551"/>
  </r>
  <r>
    <x v="0"/>
    <x v="0"/>
    <x v="3"/>
    <x v="0"/>
    <x v="0"/>
    <x v="0"/>
    <x v="0"/>
    <n v="7125.223207903121"/>
  </r>
  <r>
    <x v="0"/>
    <x v="0"/>
    <x v="3"/>
    <x v="0"/>
    <x v="0"/>
    <x v="1"/>
    <x v="0"/>
    <n v="2449.9968018129712"/>
  </r>
  <r>
    <x v="0"/>
    <x v="0"/>
    <x v="3"/>
    <x v="0"/>
    <x v="0"/>
    <x v="2"/>
    <x v="0"/>
    <n v="365.87840507155556"/>
  </r>
  <r>
    <x v="0"/>
    <x v="0"/>
    <x v="3"/>
    <x v="0"/>
    <x v="0"/>
    <x v="3"/>
    <x v="0"/>
    <n v="-240.35883725928173"/>
  </r>
  <r>
    <x v="0"/>
    <x v="0"/>
    <x v="3"/>
    <x v="0"/>
    <x v="0"/>
    <x v="4"/>
    <x v="0"/>
    <n v="28.05220233410418"/>
  </r>
  <r>
    <x v="1"/>
    <x v="0"/>
    <x v="0"/>
    <x v="0"/>
    <x v="0"/>
    <x v="0"/>
    <x v="0"/>
    <n v="53.451088374092045"/>
  </r>
  <r>
    <x v="1"/>
    <x v="0"/>
    <x v="0"/>
    <x v="0"/>
    <x v="0"/>
    <x v="1"/>
    <x v="0"/>
    <n v="1154.3842153816881"/>
  </r>
  <r>
    <x v="1"/>
    <x v="0"/>
    <x v="0"/>
    <x v="0"/>
    <x v="0"/>
    <x v="2"/>
    <x v="0"/>
    <n v="125.44257334363498"/>
  </r>
  <r>
    <x v="1"/>
    <x v="0"/>
    <x v="0"/>
    <x v="0"/>
    <x v="0"/>
    <x v="3"/>
    <x v="0"/>
    <n v="4.7588194444042076"/>
  </r>
  <r>
    <x v="1"/>
    <x v="0"/>
    <x v="0"/>
    <x v="0"/>
    <x v="0"/>
    <x v="4"/>
    <x v="0"/>
    <n v="-5.4230860707075413E-14"/>
  </r>
  <r>
    <x v="1"/>
    <x v="0"/>
    <x v="1"/>
    <x v="0"/>
    <x v="0"/>
    <x v="0"/>
    <x v="0"/>
    <n v="1016.1466376274921"/>
  </r>
  <r>
    <x v="1"/>
    <x v="0"/>
    <x v="1"/>
    <x v="0"/>
    <x v="0"/>
    <x v="1"/>
    <x v="0"/>
    <n v="1543.1119640236752"/>
  </r>
  <r>
    <x v="1"/>
    <x v="0"/>
    <x v="1"/>
    <x v="0"/>
    <x v="0"/>
    <x v="2"/>
    <x v="0"/>
    <n v="143.6563315292762"/>
  </r>
  <r>
    <x v="1"/>
    <x v="0"/>
    <x v="1"/>
    <x v="0"/>
    <x v="0"/>
    <x v="3"/>
    <x v="0"/>
    <n v="3.3914269962622736"/>
  </r>
  <r>
    <x v="1"/>
    <x v="0"/>
    <x v="1"/>
    <x v="0"/>
    <x v="0"/>
    <x v="4"/>
    <x v="0"/>
    <n v="-5.4198314310997374E-14"/>
  </r>
  <r>
    <x v="1"/>
    <x v="0"/>
    <x v="2"/>
    <x v="0"/>
    <x v="0"/>
    <x v="0"/>
    <x v="0"/>
    <n v="4409.1372352103017"/>
  </r>
  <r>
    <x v="1"/>
    <x v="0"/>
    <x v="2"/>
    <x v="0"/>
    <x v="0"/>
    <x v="1"/>
    <x v="0"/>
    <n v="1976.0287575414543"/>
  </r>
  <r>
    <x v="1"/>
    <x v="0"/>
    <x v="2"/>
    <x v="0"/>
    <x v="0"/>
    <x v="2"/>
    <x v="0"/>
    <n v="196.36664941960234"/>
  </r>
  <r>
    <x v="1"/>
    <x v="0"/>
    <x v="2"/>
    <x v="0"/>
    <x v="0"/>
    <x v="3"/>
    <x v="0"/>
    <n v="17.659205557267502"/>
  </r>
  <r>
    <x v="1"/>
    <x v="0"/>
    <x v="2"/>
    <x v="0"/>
    <x v="0"/>
    <x v="4"/>
    <x v="0"/>
    <n v="55.664050150952072"/>
  </r>
  <r>
    <x v="1"/>
    <x v="0"/>
    <x v="3"/>
    <x v="0"/>
    <x v="0"/>
    <x v="0"/>
    <x v="0"/>
    <n v="6715.0769879587233"/>
  </r>
  <r>
    <x v="1"/>
    <x v="0"/>
    <x v="3"/>
    <x v="0"/>
    <x v="0"/>
    <x v="1"/>
    <x v="0"/>
    <n v="2300.6257748974504"/>
  </r>
  <r>
    <x v="1"/>
    <x v="0"/>
    <x v="3"/>
    <x v="0"/>
    <x v="0"/>
    <x v="2"/>
    <x v="0"/>
    <n v="321.59275006391744"/>
  </r>
  <r>
    <x v="1"/>
    <x v="0"/>
    <x v="3"/>
    <x v="0"/>
    <x v="0"/>
    <x v="3"/>
    <x v="0"/>
    <n v="-227.74487647342789"/>
  </r>
  <r>
    <x v="1"/>
    <x v="0"/>
    <x v="3"/>
    <x v="0"/>
    <x v="0"/>
    <x v="4"/>
    <x v="0"/>
    <n v="85.35966267267978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x v="0"/>
    <x v="0"/>
    <x v="0"/>
    <x v="0"/>
    <x v="0"/>
    <x v="0"/>
    <x v="0"/>
    <x v="0"/>
    <x v="0"/>
    <x v="0"/>
    <x v="0"/>
    <x v="0"/>
    <n v="25.75"/>
  </r>
  <r>
    <x v="0"/>
    <x v="0"/>
    <x v="0"/>
    <x v="0"/>
    <x v="0"/>
    <x v="0"/>
    <x v="0"/>
    <x v="0"/>
    <x v="0"/>
    <x v="0"/>
    <x v="1"/>
    <x v="0"/>
    <n v="-25.75"/>
  </r>
  <r>
    <x v="0"/>
    <x v="0"/>
    <x v="0"/>
    <x v="0"/>
    <x v="0"/>
    <x v="0"/>
    <x v="1"/>
    <x v="1"/>
    <x v="0"/>
    <x v="0"/>
    <x v="0"/>
    <x v="0"/>
    <n v="1.7"/>
  </r>
  <r>
    <x v="0"/>
    <x v="0"/>
    <x v="0"/>
    <x v="0"/>
    <x v="0"/>
    <x v="0"/>
    <x v="2"/>
    <x v="2"/>
    <x v="0"/>
    <x v="1"/>
    <x v="0"/>
    <x v="0"/>
    <n v="31.5"/>
  </r>
  <r>
    <x v="0"/>
    <x v="0"/>
    <x v="0"/>
    <x v="0"/>
    <x v="0"/>
    <x v="0"/>
    <x v="3"/>
    <x v="3"/>
    <x v="0"/>
    <x v="0"/>
    <x v="0"/>
    <x v="0"/>
    <n v="20"/>
  </r>
  <r>
    <x v="0"/>
    <x v="0"/>
    <x v="0"/>
    <x v="0"/>
    <x v="0"/>
    <x v="0"/>
    <x v="3"/>
    <x v="3"/>
    <x v="0"/>
    <x v="0"/>
    <x v="1"/>
    <x v="0"/>
    <n v="-20"/>
  </r>
  <r>
    <x v="0"/>
    <x v="0"/>
    <x v="0"/>
    <x v="0"/>
    <x v="0"/>
    <x v="0"/>
    <x v="4"/>
    <x v="4"/>
    <x v="0"/>
    <x v="0"/>
    <x v="0"/>
    <x v="0"/>
    <n v="1.7"/>
  </r>
  <r>
    <x v="0"/>
    <x v="0"/>
    <x v="0"/>
    <x v="0"/>
    <x v="0"/>
    <x v="0"/>
    <x v="4"/>
    <x v="4"/>
    <x v="0"/>
    <x v="0"/>
    <x v="1"/>
    <x v="0"/>
    <n v="-1.7"/>
  </r>
  <r>
    <x v="0"/>
    <x v="0"/>
    <x v="0"/>
    <x v="0"/>
    <x v="0"/>
    <x v="0"/>
    <x v="5"/>
    <x v="5"/>
    <x v="1"/>
    <x v="2"/>
    <x v="2"/>
    <x v="0"/>
    <n v="0.53574544709786664"/>
  </r>
  <r>
    <x v="0"/>
    <x v="0"/>
    <x v="0"/>
    <x v="0"/>
    <x v="0"/>
    <x v="1"/>
    <x v="6"/>
    <x v="6"/>
    <x v="0"/>
    <x v="3"/>
    <x v="0"/>
    <x v="0"/>
    <n v="8"/>
  </r>
  <r>
    <x v="0"/>
    <x v="0"/>
    <x v="0"/>
    <x v="0"/>
    <x v="0"/>
    <x v="1"/>
    <x v="7"/>
    <x v="7"/>
    <x v="0"/>
    <x v="4"/>
    <x v="0"/>
    <x v="0"/>
    <n v="11"/>
  </r>
  <r>
    <x v="0"/>
    <x v="0"/>
    <x v="0"/>
    <x v="0"/>
    <x v="0"/>
    <x v="1"/>
    <x v="7"/>
    <x v="7"/>
    <x v="0"/>
    <x v="4"/>
    <x v="1"/>
    <x v="0"/>
    <n v="-0.92079379343174794"/>
  </r>
  <r>
    <x v="0"/>
    <x v="0"/>
    <x v="0"/>
    <x v="0"/>
    <x v="0"/>
    <x v="1"/>
    <x v="8"/>
    <x v="7"/>
    <x v="0"/>
    <x v="4"/>
    <x v="0"/>
    <x v="0"/>
    <n v="3.3000000000000003"/>
  </r>
  <r>
    <x v="0"/>
    <x v="0"/>
    <x v="0"/>
    <x v="0"/>
    <x v="0"/>
    <x v="1"/>
    <x v="9"/>
    <x v="7"/>
    <x v="0"/>
    <x v="4"/>
    <x v="0"/>
    <x v="0"/>
    <n v="7.15"/>
  </r>
  <r>
    <x v="0"/>
    <x v="0"/>
    <x v="0"/>
    <x v="0"/>
    <x v="0"/>
    <x v="1"/>
    <x v="9"/>
    <x v="7"/>
    <x v="0"/>
    <x v="4"/>
    <x v="1"/>
    <x v="0"/>
    <n v="-7.15"/>
  </r>
  <r>
    <x v="0"/>
    <x v="0"/>
    <x v="0"/>
    <x v="0"/>
    <x v="0"/>
    <x v="1"/>
    <x v="10"/>
    <x v="7"/>
    <x v="0"/>
    <x v="4"/>
    <x v="0"/>
    <x v="0"/>
    <n v="0.55000000000000004"/>
  </r>
  <r>
    <x v="0"/>
    <x v="0"/>
    <x v="1"/>
    <x v="0"/>
    <x v="0"/>
    <x v="0"/>
    <x v="0"/>
    <x v="0"/>
    <x v="0"/>
    <x v="0"/>
    <x v="0"/>
    <x v="0"/>
    <n v="25.75"/>
  </r>
  <r>
    <x v="0"/>
    <x v="0"/>
    <x v="1"/>
    <x v="0"/>
    <x v="0"/>
    <x v="0"/>
    <x v="0"/>
    <x v="0"/>
    <x v="0"/>
    <x v="0"/>
    <x v="1"/>
    <x v="0"/>
    <n v="-25.75"/>
  </r>
  <r>
    <x v="0"/>
    <x v="0"/>
    <x v="1"/>
    <x v="0"/>
    <x v="0"/>
    <x v="0"/>
    <x v="1"/>
    <x v="1"/>
    <x v="0"/>
    <x v="0"/>
    <x v="0"/>
    <x v="0"/>
    <n v="1.7"/>
  </r>
  <r>
    <x v="0"/>
    <x v="0"/>
    <x v="1"/>
    <x v="0"/>
    <x v="0"/>
    <x v="0"/>
    <x v="1"/>
    <x v="1"/>
    <x v="0"/>
    <x v="0"/>
    <x v="1"/>
    <x v="0"/>
    <n v="-0.42499999999999999"/>
  </r>
  <r>
    <x v="0"/>
    <x v="0"/>
    <x v="1"/>
    <x v="0"/>
    <x v="0"/>
    <x v="0"/>
    <x v="2"/>
    <x v="2"/>
    <x v="0"/>
    <x v="1"/>
    <x v="0"/>
    <x v="0"/>
    <n v="31.5"/>
  </r>
  <r>
    <x v="0"/>
    <x v="0"/>
    <x v="1"/>
    <x v="0"/>
    <x v="0"/>
    <x v="0"/>
    <x v="3"/>
    <x v="3"/>
    <x v="0"/>
    <x v="0"/>
    <x v="0"/>
    <x v="0"/>
    <n v="20"/>
  </r>
  <r>
    <x v="0"/>
    <x v="0"/>
    <x v="1"/>
    <x v="0"/>
    <x v="0"/>
    <x v="0"/>
    <x v="3"/>
    <x v="3"/>
    <x v="0"/>
    <x v="0"/>
    <x v="1"/>
    <x v="0"/>
    <n v="-20"/>
  </r>
  <r>
    <x v="0"/>
    <x v="0"/>
    <x v="1"/>
    <x v="0"/>
    <x v="0"/>
    <x v="0"/>
    <x v="4"/>
    <x v="4"/>
    <x v="0"/>
    <x v="0"/>
    <x v="0"/>
    <x v="0"/>
    <n v="1.7"/>
  </r>
  <r>
    <x v="0"/>
    <x v="0"/>
    <x v="1"/>
    <x v="0"/>
    <x v="0"/>
    <x v="0"/>
    <x v="4"/>
    <x v="4"/>
    <x v="0"/>
    <x v="0"/>
    <x v="1"/>
    <x v="0"/>
    <n v="-1.7"/>
  </r>
  <r>
    <x v="0"/>
    <x v="0"/>
    <x v="1"/>
    <x v="0"/>
    <x v="0"/>
    <x v="0"/>
    <x v="5"/>
    <x v="5"/>
    <x v="1"/>
    <x v="2"/>
    <x v="2"/>
    <x v="0"/>
    <n v="0.53574544709786664"/>
  </r>
  <r>
    <x v="0"/>
    <x v="0"/>
    <x v="1"/>
    <x v="0"/>
    <x v="0"/>
    <x v="0"/>
    <x v="11"/>
    <x v="5"/>
    <x v="1"/>
    <x v="2"/>
    <x v="2"/>
    <x v="0"/>
    <n v="4.0150039674721656"/>
  </r>
  <r>
    <x v="0"/>
    <x v="0"/>
    <x v="1"/>
    <x v="0"/>
    <x v="0"/>
    <x v="1"/>
    <x v="6"/>
    <x v="6"/>
    <x v="0"/>
    <x v="3"/>
    <x v="0"/>
    <x v="0"/>
    <n v="8"/>
  </r>
  <r>
    <x v="0"/>
    <x v="0"/>
    <x v="1"/>
    <x v="0"/>
    <x v="0"/>
    <x v="1"/>
    <x v="6"/>
    <x v="6"/>
    <x v="0"/>
    <x v="3"/>
    <x v="1"/>
    <x v="0"/>
    <n v="-2"/>
  </r>
  <r>
    <x v="0"/>
    <x v="0"/>
    <x v="1"/>
    <x v="0"/>
    <x v="0"/>
    <x v="1"/>
    <x v="7"/>
    <x v="7"/>
    <x v="0"/>
    <x v="4"/>
    <x v="0"/>
    <x v="0"/>
    <n v="11"/>
  </r>
  <r>
    <x v="0"/>
    <x v="0"/>
    <x v="1"/>
    <x v="0"/>
    <x v="0"/>
    <x v="1"/>
    <x v="7"/>
    <x v="7"/>
    <x v="0"/>
    <x v="4"/>
    <x v="1"/>
    <x v="0"/>
    <n v="-2.75"/>
  </r>
  <r>
    <x v="0"/>
    <x v="0"/>
    <x v="1"/>
    <x v="0"/>
    <x v="0"/>
    <x v="1"/>
    <x v="8"/>
    <x v="7"/>
    <x v="0"/>
    <x v="4"/>
    <x v="0"/>
    <x v="0"/>
    <n v="3.3000000000000003"/>
  </r>
  <r>
    <x v="0"/>
    <x v="0"/>
    <x v="1"/>
    <x v="0"/>
    <x v="0"/>
    <x v="1"/>
    <x v="8"/>
    <x v="7"/>
    <x v="0"/>
    <x v="4"/>
    <x v="1"/>
    <x v="0"/>
    <n v="-0.82500000000000007"/>
  </r>
  <r>
    <x v="0"/>
    <x v="0"/>
    <x v="1"/>
    <x v="0"/>
    <x v="0"/>
    <x v="1"/>
    <x v="9"/>
    <x v="7"/>
    <x v="0"/>
    <x v="4"/>
    <x v="0"/>
    <x v="0"/>
    <n v="7.15"/>
  </r>
  <r>
    <x v="0"/>
    <x v="0"/>
    <x v="1"/>
    <x v="0"/>
    <x v="0"/>
    <x v="1"/>
    <x v="9"/>
    <x v="7"/>
    <x v="0"/>
    <x v="4"/>
    <x v="1"/>
    <x v="0"/>
    <n v="-1.7875000000000001"/>
  </r>
  <r>
    <x v="0"/>
    <x v="0"/>
    <x v="1"/>
    <x v="0"/>
    <x v="0"/>
    <x v="1"/>
    <x v="10"/>
    <x v="7"/>
    <x v="0"/>
    <x v="4"/>
    <x v="0"/>
    <x v="0"/>
    <n v="0.55000000000000004"/>
  </r>
  <r>
    <x v="0"/>
    <x v="0"/>
    <x v="1"/>
    <x v="0"/>
    <x v="0"/>
    <x v="1"/>
    <x v="10"/>
    <x v="7"/>
    <x v="0"/>
    <x v="4"/>
    <x v="1"/>
    <x v="0"/>
    <n v="-0.13750000000000001"/>
  </r>
  <r>
    <x v="0"/>
    <x v="0"/>
    <x v="1"/>
    <x v="0"/>
    <x v="0"/>
    <x v="1"/>
    <x v="12"/>
    <x v="7"/>
    <x v="0"/>
    <x v="4"/>
    <x v="2"/>
    <x v="0"/>
    <n v="3.3142180343145085"/>
  </r>
  <r>
    <x v="0"/>
    <x v="0"/>
    <x v="1"/>
    <x v="0"/>
    <x v="0"/>
    <x v="1"/>
    <x v="13"/>
    <x v="6"/>
    <x v="0"/>
    <x v="3"/>
    <x v="2"/>
    <x v="0"/>
    <n v="26.096848004485526"/>
  </r>
  <r>
    <x v="0"/>
    <x v="0"/>
    <x v="2"/>
    <x v="0"/>
    <x v="0"/>
    <x v="0"/>
    <x v="0"/>
    <x v="0"/>
    <x v="0"/>
    <x v="0"/>
    <x v="0"/>
    <x v="0"/>
    <n v="25.75"/>
  </r>
  <r>
    <x v="0"/>
    <x v="0"/>
    <x v="2"/>
    <x v="0"/>
    <x v="0"/>
    <x v="0"/>
    <x v="0"/>
    <x v="0"/>
    <x v="0"/>
    <x v="0"/>
    <x v="1"/>
    <x v="0"/>
    <n v="-25.75"/>
  </r>
  <r>
    <x v="0"/>
    <x v="0"/>
    <x v="2"/>
    <x v="0"/>
    <x v="0"/>
    <x v="0"/>
    <x v="1"/>
    <x v="1"/>
    <x v="0"/>
    <x v="0"/>
    <x v="0"/>
    <x v="0"/>
    <n v="1.7"/>
  </r>
  <r>
    <x v="0"/>
    <x v="0"/>
    <x v="2"/>
    <x v="0"/>
    <x v="0"/>
    <x v="0"/>
    <x v="1"/>
    <x v="1"/>
    <x v="0"/>
    <x v="0"/>
    <x v="1"/>
    <x v="0"/>
    <n v="-1.2750000000000001"/>
  </r>
  <r>
    <x v="0"/>
    <x v="0"/>
    <x v="2"/>
    <x v="0"/>
    <x v="0"/>
    <x v="0"/>
    <x v="2"/>
    <x v="2"/>
    <x v="0"/>
    <x v="1"/>
    <x v="0"/>
    <x v="0"/>
    <n v="31.5"/>
  </r>
  <r>
    <x v="0"/>
    <x v="0"/>
    <x v="2"/>
    <x v="0"/>
    <x v="0"/>
    <x v="0"/>
    <x v="3"/>
    <x v="3"/>
    <x v="0"/>
    <x v="0"/>
    <x v="0"/>
    <x v="0"/>
    <n v="20"/>
  </r>
  <r>
    <x v="0"/>
    <x v="0"/>
    <x v="2"/>
    <x v="0"/>
    <x v="0"/>
    <x v="0"/>
    <x v="3"/>
    <x v="3"/>
    <x v="0"/>
    <x v="0"/>
    <x v="1"/>
    <x v="0"/>
    <n v="-20"/>
  </r>
  <r>
    <x v="0"/>
    <x v="0"/>
    <x v="2"/>
    <x v="0"/>
    <x v="0"/>
    <x v="0"/>
    <x v="4"/>
    <x v="4"/>
    <x v="0"/>
    <x v="0"/>
    <x v="0"/>
    <x v="0"/>
    <n v="1.7"/>
  </r>
  <r>
    <x v="0"/>
    <x v="0"/>
    <x v="2"/>
    <x v="0"/>
    <x v="0"/>
    <x v="0"/>
    <x v="4"/>
    <x v="4"/>
    <x v="0"/>
    <x v="0"/>
    <x v="1"/>
    <x v="0"/>
    <n v="-1.7"/>
  </r>
  <r>
    <x v="0"/>
    <x v="0"/>
    <x v="2"/>
    <x v="0"/>
    <x v="0"/>
    <x v="0"/>
    <x v="5"/>
    <x v="5"/>
    <x v="1"/>
    <x v="2"/>
    <x v="2"/>
    <x v="0"/>
    <n v="0.53574544709786664"/>
  </r>
  <r>
    <x v="0"/>
    <x v="0"/>
    <x v="2"/>
    <x v="0"/>
    <x v="0"/>
    <x v="0"/>
    <x v="11"/>
    <x v="5"/>
    <x v="1"/>
    <x v="2"/>
    <x v="2"/>
    <x v="0"/>
    <n v="4.0150039674721656"/>
  </r>
  <r>
    <x v="0"/>
    <x v="0"/>
    <x v="2"/>
    <x v="0"/>
    <x v="0"/>
    <x v="0"/>
    <x v="14"/>
    <x v="5"/>
    <x v="1"/>
    <x v="2"/>
    <x v="2"/>
    <x v="0"/>
    <n v="9.8214495109105577"/>
  </r>
  <r>
    <x v="0"/>
    <x v="0"/>
    <x v="2"/>
    <x v="0"/>
    <x v="0"/>
    <x v="0"/>
    <x v="15"/>
    <x v="8"/>
    <x v="1"/>
    <x v="5"/>
    <x v="2"/>
    <x v="0"/>
    <n v="94.02129126955829"/>
  </r>
  <r>
    <x v="0"/>
    <x v="0"/>
    <x v="2"/>
    <x v="0"/>
    <x v="0"/>
    <x v="1"/>
    <x v="6"/>
    <x v="6"/>
    <x v="0"/>
    <x v="3"/>
    <x v="0"/>
    <x v="0"/>
    <n v="8"/>
  </r>
  <r>
    <x v="0"/>
    <x v="0"/>
    <x v="2"/>
    <x v="0"/>
    <x v="0"/>
    <x v="1"/>
    <x v="6"/>
    <x v="6"/>
    <x v="0"/>
    <x v="3"/>
    <x v="1"/>
    <x v="0"/>
    <n v="-6"/>
  </r>
  <r>
    <x v="0"/>
    <x v="0"/>
    <x v="2"/>
    <x v="0"/>
    <x v="0"/>
    <x v="1"/>
    <x v="7"/>
    <x v="7"/>
    <x v="0"/>
    <x v="4"/>
    <x v="0"/>
    <x v="0"/>
    <n v="11"/>
  </r>
  <r>
    <x v="0"/>
    <x v="0"/>
    <x v="2"/>
    <x v="0"/>
    <x v="0"/>
    <x v="1"/>
    <x v="7"/>
    <x v="7"/>
    <x v="0"/>
    <x v="4"/>
    <x v="1"/>
    <x v="0"/>
    <n v="-8.25"/>
  </r>
  <r>
    <x v="0"/>
    <x v="0"/>
    <x v="2"/>
    <x v="0"/>
    <x v="0"/>
    <x v="1"/>
    <x v="8"/>
    <x v="7"/>
    <x v="0"/>
    <x v="4"/>
    <x v="0"/>
    <x v="0"/>
    <n v="3.3000000000000003"/>
  </r>
  <r>
    <x v="0"/>
    <x v="0"/>
    <x v="2"/>
    <x v="0"/>
    <x v="0"/>
    <x v="1"/>
    <x v="8"/>
    <x v="7"/>
    <x v="0"/>
    <x v="4"/>
    <x v="1"/>
    <x v="0"/>
    <n v="-2.4750000000000001"/>
  </r>
  <r>
    <x v="0"/>
    <x v="0"/>
    <x v="2"/>
    <x v="0"/>
    <x v="0"/>
    <x v="1"/>
    <x v="9"/>
    <x v="7"/>
    <x v="0"/>
    <x v="4"/>
    <x v="0"/>
    <x v="0"/>
    <n v="7.15"/>
  </r>
  <r>
    <x v="0"/>
    <x v="0"/>
    <x v="2"/>
    <x v="0"/>
    <x v="0"/>
    <x v="1"/>
    <x v="9"/>
    <x v="7"/>
    <x v="0"/>
    <x v="4"/>
    <x v="1"/>
    <x v="0"/>
    <n v="-5.3624999999999998"/>
  </r>
  <r>
    <x v="0"/>
    <x v="0"/>
    <x v="2"/>
    <x v="0"/>
    <x v="0"/>
    <x v="1"/>
    <x v="10"/>
    <x v="7"/>
    <x v="0"/>
    <x v="4"/>
    <x v="0"/>
    <x v="0"/>
    <n v="0.55000000000000004"/>
  </r>
  <r>
    <x v="0"/>
    <x v="0"/>
    <x v="2"/>
    <x v="0"/>
    <x v="0"/>
    <x v="1"/>
    <x v="10"/>
    <x v="7"/>
    <x v="0"/>
    <x v="4"/>
    <x v="1"/>
    <x v="0"/>
    <n v="-0.41250000000000003"/>
  </r>
  <r>
    <x v="0"/>
    <x v="0"/>
    <x v="2"/>
    <x v="0"/>
    <x v="0"/>
    <x v="1"/>
    <x v="12"/>
    <x v="7"/>
    <x v="0"/>
    <x v="4"/>
    <x v="2"/>
    <x v="0"/>
    <n v="3.3142180343145085"/>
  </r>
  <r>
    <x v="0"/>
    <x v="0"/>
    <x v="2"/>
    <x v="0"/>
    <x v="0"/>
    <x v="1"/>
    <x v="16"/>
    <x v="7"/>
    <x v="0"/>
    <x v="4"/>
    <x v="2"/>
    <x v="0"/>
    <n v="44.886851250774008"/>
  </r>
  <r>
    <x v="0"/>
    <x v="0"/>
    <x v="2"/>
    <x v="0"/>
    <x v="0"/>
    <x v="1"/>
    <x v="13"/>
    <x v="6"/>
    <x v="0"/>
    <x v="3"/>
    <x v="2"/>
    <x v="0"/>
    <n v="26.096848004485526"/>
  </r>
  <r>
    <x v="0"/>
    <x v="0"/>
    <x v="2"/>
    <x v="0"/>
    <x v="0"/>
    <x v="1"/>
    <x v="17"/>
    <x v="6"/>
    <x v="0"/>
    <x v="3"/>
    <x v="2"/>
    <x v="0"/>
    <n v="18.659298529708089"/>
  </r>
  <r>
    <x v="0"/>
    <x v="0"/>
    <x v="3"/>
    <x v="0"/>
    <x v="0"/>
    <x v="0"/>
    <x v="0"/>
    <x v="0"/>
    <x v="0"/>
    <x v="0"/>
    <x v="0"/>
    <x v="0"/>
    <n v="25.75"/>
  </r>
  <r>
    <x v="0"/>
    <x v="0"/>
    <x v="3"/>
    <x v="0"/>
    <x v="0"/>
    <x v="0"/>
    <x v="0"/>
    <x v="0"/>
    <x v="0"/>
    <x v="0"/>
    <x v="1"/>
    <x v="0"/>
    <n v="-25.75"/>
  </r>
  <r>
    <x v="0"/>
    <x v="0"/>
    <x v="3"/>
    <x v="0"/>
    <x v="0"/>
    <x v="0"/>
    <x v="1"/>
    <x v="1"/>
    <x v="0"/>
    <x v="0"/>
    <x v="0"/>
    <x v="0"/>
    <n v="1.7"/>
  </r>
  <r>
    <x v="0"/>
    <x v="0"/>
    <x v="3"/>
    <x v="0"/>
    <x v="0"/>
    <x v="0"/>
    <x v="1"/>
    <x v="1"/>
    <x v="0"/>
    <x v="0"/>
    <x v="1"/>
    <x v="0"/>
    <n v="-1.7"/>
  </r>
  <r>
    <x v="0"/>
    <x v="0"/>
    <x v="3"/>
    <x v="0"/>
    <x v="0"/>
    <x v="0"/>
    <x v="2"/>
    <x v="2"/>
    <x v="0"/>
    <x v="1"/>
    <x v="0"/>
    <x v="0"/>
    <n v="31.5"/>
  </r>
  <r>
    <x v="0"/>
    <x v="0"/>
    <x v="3"/>
    <x v="0"/>
    <x v="0"/>
    <x v="0"/>
    <x v="3"/>
    <x v="3"/>
    <x v="0"/>
    <x v="0"/>
    <x v="0"/>
    <x v="0"/>
    <n v="20"/>
  </r>
  <r>
    <x v="0"/>
    <x v="0"/>
    <x v="3"/>
    <x v="0"/>
    <x v="0"/>
    <x v="0"/>
    <x v="3"/>
    <x v="3"/>
    <x v="0"/>
    <x v="0"/>
    <x v="1"/>
    <x v="0"/>
    <n v="-20"/>
  </r>
  <r>
    <x v="0"/>
    <x v="0"/>
    <x v="3"/>
    <x v="0"/>
    <x v="0"/>
    <x v="0"/>
    <x v="18"/>
    <x v="9"/>
    <x v="0"/>
    <x v="0"/>
    <x v="2"/>
    <x v="0"/>
    <n v="0.60771718948039632"/>
  </r>
  <r>
    <x v="0"/>
    <x v="0"/>
    <x v="3"/>
    <x v="0"/>
    <x v="0"/>
    <x v="0"/>
    <x v="4"/>
    <x v="4"/>
    <x v="0"/>
    <x v="0"/>
    <x v="0"/>
    <x v="0"/>
    <n v="1.7"/>
  </r>
  <r>
    <x v="0"/>
    <x v="0"/>
    <x v="3"/>
    <x v="0"/>
    <x v="0"/>
    <x v="0"/>
    <x v="4"/>
    <x v="4"/>
    <x v="0"/>
    <x v="0"/>
    <x v="1"/>
    <x v="0"/>
    <n v="-1.7"/>
  </r>
  <r>
    <x v="0"/>
    <x v="0"/>
    <x v="3"/>
    <x v="0"/>
    <x v="0"/>
    <x v="0"/>
    <x v="11"/>
    <x v="5"/>
    <x v="1"/>
    <x v="2"/>
    <x v="2"/>
    <x v="0"/>
    <n v="4.0150039674721656"/>
  </r>
  <r>
    <x v="0"/>
    <x v="0"/>
    <x v="3"/>
    <x v="0"/>
    <x v="0"/>
    <x v="0"/>
    <x v="14"/>
    <x v="5"/>
    <x v="1"/>
    <x v="2"/>
    <x v="2"/>
    <x v="0"/>
    <n v="9.8214495109105577"/>
  </r>
  <r>
    <x v="0"/>
    <x v="0"/>
    <x v="3"/>
    <x v="0"/>
    <x v="0"/>
    <x v="0"/>
    <x v="19"/>
    <x v="5"/>
    <x v="1"/>
    <x v="2"/>
    <x v="2"/>
    <x v="0"/>
    <n v="9.6814878536552396"/>
  </r>
  <r>
    <x v="0"/>
    <x v="0"/>
    <x v="3"/>
    <x v="0"/>
    <x v="0"/>
    <x v="0"/>
    <x v="15"/>
    <x v="8"/>
    <x v="1"/>
    <x v="5"/>
    <x v="2"/>
    <x v="0"/>
    <n v="94.02129126955829"/>
  </r>
  <r>
    <x v="0"/>
    <x v="0"/>
    <x v="3"/>
    <x v="0"/>
    <x v="0"/>
    <x v="0"/>
    <x v="20"/>
    <x v="8"/>
    <x v="1"/>
    <x v="5"/>
    <x v="2"/>
    <x v="0"/>
    <n v="365.89401881197841"/>
  </r>
  <r>
    <x v="0"/>
    <x v="0"/>
    <x v="3"/>
    <x v="0"/>
    <x v="0"/>
    <x v="0"/>
    <x v="21"/>
    <x v="0"/>
    <x v="1"/>
    <x v="6"/>
    <x v="2"/>
    <x v="0"/>
    <n v="1.3648352228478458"/>
  </r>
  <r>
    <x v="0"/>
    <x v="0"/>
    <x v="3"/>
    <x v="0"/>
    <x v="0"/>
    <x v="1"/>
    <x v="6"/>
    <x v="6"/>
    <x v="0"/>
    <x v="3"/>
    <x v="0"/>
    <x v="0"/>
    <n v="8"/>
  </r>
  <r>
    <x v="0"/>
    <x v="0"/>
    <x v="3"/>
    <x v="0"/>
    <x v="0"/>
    <x v="1"/>
    <x v="6"/>
    <x v="6"/>
    <x v="0"/>
    <x v="3"/>
    <x v="1"/>
    <x v="0"/>
    <n v="-8"/>
  </r>
  <r>
    <x v="0"/>
    <x v="0"/>
    <x v="3"/>
    <x v="0"/>
    <x v="0"/>
    <x v="1"/>
    <x v="7"/>
    <x v="7"/>
    <x v="0"/>
    <x v="4"/>
    <x v="0"/>
    <x v="0"/>
    <n v="11"/>
  </r>
  <r>
    <x v="0"/>
    <x v="0"/>
    <x v="3"/>
    <x v="0"/>
    <x v="0"/>
    <x v="1"/>
    <x v="7"/>
    <x v="7"/>
    <x v="0"/>
    <x v="4"/>
    <x v="1"/>
    <x v="0"/>
    <n v="-11"/>
  </r>
  <r>
    <x v="0"/>
    <x v="0"/>
    <x v="3"/>
    <x v="0"/>
    <x v="0"/>
    <x v="1"/>
    <x v="8"/>
    <x v="7"/>
    <x v="0"/>
    <x v="4"/>
    <x v="0"/>
    <x v="0"/>
    <n v="3.3000000000000003"/>
  </r>
  <r>
    <x v="0"/>
    <x v="0"/>
    <x v="3"/>
    <x v="0"/>
    <x v="0"/>
    <x v="1"/>
    <x v="8"/>
    <x v="7"/>
    <x v="0"/>
    <x v="4"/>
    <x v="1"/>
    <x v="0"/>
    <n v="-3.3000000000000003"/>
  </r>
  <r>
    <x v="0"/>
    <x v="0"/>
    <x v="3"/>
    <x v="0"/>
    <x v="0"/>
    <x v="1"/>
    <x v="9"/>
    <x v="7"/>
    <x v="0"/>
    <x v="4"/>
    <x v="0"/>
    <x v="0"/>
    <n v="7.15"/>
  </r>
  <r>
    <x v="0"/>
    <x v="0"/>
    <x v="3"/>
    <x v="0"/>
    <x v="0"/>
    <x v="1"/>
    <x v="9"/>
    <x v="7"/>
    <x v="0"/>
    <x v="4"/>
    <x v="1"/>
    <x v="0"/>
    <n v="-7.15"/>
  </r>
  <r>
    <x v="0"/>
    <x v="0"/>
    <x v="3"/>
    <x v="0"/>
    <x v="0"/>
    <x v="1"/>
    <x v="10"/>
    <x v="7"/>
    <x v="0"/>
    <x v="4"/>
    <x v="0"/>
    <x v="0"/>
    <n v="0.55000000000000004"/>
  </r>
  <r>
    <x v="0"/>
    <x v="0"/>
    <x v="3"/>
    <x v="0"/>
    <x v="0"/>
    <x v="1"/>
    <x v="10"/>
    <x v="7"/>
    <x v="0"/>
    <x v="4"/>
    <x v="1"/>
    <x v="0"/>
    <n v="-0.55000000000000004"/>
  </r>
  <r>
    <x v="0"/>
    <x v="0"/>
    <x v="3"/>
    <x v="0"/>
    <x v="0"/>
    <x v="1"/>
    <x v="12"/>
    <x v="7"/>
    <x v="0"/>
    <x v="4"/>
    <x v="2"/>
    <x v="0"/>
    <n v="3.3142180343145085"/>
  </r>
  <r>
    <x v="0"/>
    <x v="0"/>
    <x v="3"/>
    <x v="0"/>
    <x v="0"/>
    <x v="1"/>
    <x v="16"/>
    <x v="7"/>
    <x v="0"/>
    <x v="4"/>
    <x v="2"/>
    <x v="0"/>
    <n v="44.886851250774008"/>
  </r>
  <r>
    <x v="0"/>
    <x v="0"/>
    <x v="3"/>
    <x v="0"/>
    <x v="0"/>
    <x v="1"/>
    <x v="22"/>
    <x v="7"/>
    <x v="0"/>
    <x v="4"/>
    <x v="2"/>
    <x v="0"/>
    <n v="22.193817233418393"/>
  </r>
  <r>
    <x v="0"/>
    <x v="0"/>
    <x v="3"/>
    <x v="0"/>
    <x v="0"/>
    <x v="1"/>
    <x v="13"/>
    <x v="6"/>
    <x v="0"/>
    <x v="3"/>
    <x v="2"/>
    <x v="0"/>
    <n v="26.096848004485526"/>
  </r>
  <r>
    <x v="0"/>
    <x v="0"/>
    <x v="3"/>
    <x v="0"/>
    <x v="0"/>
    <x v="1"/>
    <x v="17"/>
    <x v="6"/>
    <x v="0"/>
    <x v="3"/>
    <x v="2"/>
    <x v="0"/>
    <n v="18.659298529708089"/>
  </r>
  <r>
    <x v="0"/>
    <x v="0"/>
    <x v="3"/>
    <x v="0"/>
    <x v="0"/>
    <x v="1"/>
    <x v="23"/>
    <x v="6"/>
    <x v="0"/>
    <x v="3"/>
    <x v="2"/>
    <x v="0"/>
    <n v="16.684985750813873"/>
  </r>
  <r>
    <x v="1"/>
    <x v="0"/>
    <x v="0"/>
    <x v="0"/>
    <x v="0"/>
    <x v="0"/>
    <x v="0"/>
    <x v="0"/>
    <x v="0"/>
    <x v="0"/>
    <x v="0"/>
    <x v="0"/>
    <n v="25.75"/>
  </r>
  <r>
    <x v="1"/>
    <x v="0"/>
    <x v="0"/>
    <x v="0"/>
    <x v="0"/>
    <x v="0"/>
    <x v="0"/>
    <x v="0"/>
    <x v="0"/>
    <x v="0"/>
    <x v="1"/>
    <x v="0"/>
    <n v="-25.75"/>
  </r>
  <r>
    <x v="1"/>
    <x v="0"/>
    <x v="0"/>
    <x v="0"/>
    <x v="0"/>
    <x v="0"/>
    <x v="1"/>
    <x v="1"/>
    <x v="0"/>
    <x v="0"/>
    <x v="0"/>
    <x v="0"/>
    <n v="1.7"/>
  </r>
  <r>
    <x v="1"/>
    <x v="0"/>
    <x v="0"/>
    <x v="0"/>
    <x v="0"/>
    <x v="0"/>
    <x v="2"/>
    <x v="2"/>
    <x v="0"/>
    <x v="1"/>
    <x v="0"/>
    <x v="0"/>
    <n v="31.5"/>
  </r>
  <r>
    <x v="1"/>
    <x v="0"/>
    <x v="0"/>
    <x v="0"/>
    <x v="0"/>
    <x v="0"/>
    <x v="3"/>
    <x v="3"/>
    <x v="0"/>
    <x v="0"/>
    <x v="0"/>
    <x v="0"/>
    <n v="20"/>
  </r>
  <r>
    <x v="1"/>
    <x v="0"/>
    <x v="0"/>
    <x v="0"/>
    <x v="0"/>
    <x v="0"/>
    <x v="3"/>
    <x v="3"/>
    <x v="0"/>
    <x v="0"/>
    <x v="1"/>
    <x v="0"/>
    <n v="-20"/>
  </r>
  <r>
    <x v="1"/>
    <x v="0"/>
    <x v="0"/>
    <x v="0"/>
    <x v="0"/>
    <x v="0"/>
    <x v="4"/>
    <x v="4"/>
    <x v="0"/>
    <x v="0"/>
    <x v="0"/>
    <x v="0"/>
    <n v="1.7"/>
  </r>
  <r>
    <x v="1"/>
    <x v="0"/>
    <x v="0"/>
    <x v="0"/>
    <x v="0"/>
    <x v="0"/>
    <x v="4"/>
    <x v="4"/>
    <x v="0"/>
    <x v="0"/>
    <x v="1"/>
    <x v="0"/>
    <n v="-1.7"/>
  </r>
  <r>
    <x v="1"/>
    <x v="0"/>
    <x v="0"/>
    <x v="0"/>
    <x v="0"/>
    <x v="0"/>
    <x v="5"/>
    <x v="5"/>
    <x v="1"/>
    <x v="2"/>
    <x v="2"/>
    <x v="0"/>
    <n v="0.53574544709786664"/>
  </r>
  <r>
    <x v="1"/>
    <x v="0"/>
    <x v="0"/>
    <x v="0"/>
    <x v="0"/>
    <x v="1"/>
    <x v="6"/>
    <x v="6"/>
    <x v="0"/>
    <x v="3"/>
    <x v="0"/>
    <x v="0"/>
    <n v="8"/>
  </r>
  <r>
    <x v="1"/>
    <x v="0"/>
    <x v="0"/>
    <x v="0"/>
    <x v="0"/>
    <x v="1"/>
    <x v="7"/>
    <x v="7"/>
    <x v="0"/>
    <x v="4"/>
    <x v="0"/>
    <x v="0"/>
    <n v="11"/>
  </r>
  <r>
    <x v="1"/>
    <x v="0"/>
    <x v="0"/>
    <x v="0"/>
    <x v="0"/>
    <x v="1"/>
    <x v="7"/>
    <x v="7"/>
    <x v="0"/>
    <x v="4"/>
    <x v="1"/>
    <x v="0"/>
    <n v="-0.92079379343174794"/>
  </r>
  <r>
    <x v="1"/>
    <x v="0"/>
    <x v="0"/>
    <x v="0"/>
    <x v="0"/>
    <x v="1"/>
    <x v="8"/>
    <x v="7"/>
    <x v="0"/>
    <x v="4"/>
    <x v="0"/>
    <x v="0"/>
    <n v="3.3000000000000003"/>
  </r>
  <r>
    <x v="1"/>
    <x v="0"/>
    <x v="0"/>
    <x v="0"/>
    <x v="0"/>
    <x v="1"/>
    <x v="9"/>
    <x v="7"/>
    <x v="0"/>
    <x v="4"/>
    <x v="0"/>
    <x v="0"/>
    <n v="7.15"/>
  </r>
  <r>
    <x v="1"/>
    <x v="0"/>
    <x v="0"/>
    <x v="0"/>
    <x v="0"/>
    <x v="1"/>
    <x v="9"/>
    <x v="7"/>
    <x v="0"/>
    <x v="4"/>
    <x v="1"/>
    <x v="0"/>
    <n v="-7.15"/>
  </r>
  <r>
    <x v="1"/>
    <x v="0"/>
    <x v="0"/>
    <x v="0"/>
    <x v="0"/>
    <x v="1"/>
    <x v="10"/>
    <x v="7"/>
    <x v="0"/>
    <x v="4"/>
    <x v="0"/>
    <x v="0"/>
    <n v="0.55000000000000004"/>
  </r>
  <r>
    <x v="1"/>
    <x v="0"/>
    <x v="1"/>
    <x v="0"/>
    <x v="0"/>
    <x v="0"/>
    <x v="0"/>
    <x v="0"/>
    <x v="0"/>
    <x v="0"/>
    <x v="0"/>
    <x v="0"/>
    <n v="25.75"/>
  </r>
  <r>
    <x v="1"/>
    <x v="0"/>
    <x v="1"/>
    <x v="0"/>
    <x v="0"/>
    <x v="0"/>
    <x v="0"/>
    <x v="0"/>
    <x v="0"/>
    <x v="0"/>
    <x v="1"/>
    <x v="0"/>
    <n v="-25.75"/>
  </r>
  <r>
    <x v="1"/>
    <x v="0"/>
    <x v="1"/>
    <x v="0"/>
    <x v="0"/>
    <x v="0"/>
    <x v="1"/>
    <x v="1"/>
    <x v="0"/>
    <x v="0"/>
    <x v="0"/>
    <x v="0"/>
    <n v="1.7"/>
  </r>
  <r>
    <x v="1"/>
    <x v="0"/>
    <x v="1"/>
    <x v="0"/>
    <x v="0"/>
    <x v="0"/>
    <x v="1"/>
    <x v="1"/>
    <x v="0"/>
    <x v="0"/>
    <x v="1"/>
    <x v="0"/>
    <n v="-0.42499999999999999"/>
  </r>
  <r>
    <x v="1"/>
    <x v="0"/>
    <x v="1"/>
    <x v="0"/>
    <x v="0"/>
    <x v="0"/>
    <x v="2"/>
    <x v="2"/>
    <x v="0"/>
    <x v="1"/>
    <x v="0"/>
    <x v="0"/>
    <n v="31.5"/>
  </r>
  <r>
    <x v="1"/>
    <x v="0"/>
    <x v="1"/>
    <x v="0"/>
    <x v="0"/>
    <x v="0"/>
    <x v="3"/>
    <x v="3"/>
    <x v="0"/>
    <x v="0"/>
    <x v="0"/>
    <x v="0"/>
    <n v="20"/>
  </r>
  <r>
    <x v="1"/>
    <x v="0"/>
    <x v="1"/>
    <x v="0"/>
    <x v="0"/>
    <x v="0"/>
    <x v="3"/>
    <x v="3"/>
    <x v="0"/>
    <x v="0"/>
    <x v="1"/>
    <x v="0"/>
    <n v="-20"/>
  </r>
  <r>
    <x v="1"/>
    <x v="0"/>
    <x v="1"/>
    <x v="0"/>
    <x v="0"/>
    <x v="0"/>
    <x v="4"/>
    <x v="4"/>
    <x v="0"/>
    <x v="0"/>
    <x v="0"/>
    <x v="0"/>
    <n v="1.7"/>
  </r>
  <r>
    <x v="1"/>
    <x v="0"/>
    <x v="1"/>
    <x v="0"/>
    <x v="0"/>
    <x v="0"/>
    <x v="4"/>
    <x v="4"/>
    <x v="0"/>
    <x v="0"/>
    <x v="1"/>
    <x v="0"/>
    <n v="-1.7"/>
  </r>
  <r>
    <x v="1"/>
    <x v="0"/>
    <x v="1"/>
    <x v="0"/>
    <x v="0"/>
    <x v="0"/>
    <x v="5"/>
    <x v="5"/>
    <x v="1"/>
    <x v="2"/>
    <x v="2"/>
    <x v="0"/>
    <n v="0.53574544709786664"/>
  </r>
  <r>
    <x v="1"/>
    <x v="0"/>
    <x v="1"/>
    <x v="0"/>
    <x v="0"/>
    <x v="0"/>
    <x v="11"/>
    <x v="5"/>
    <x v="1"/>
    <x v="2"/>
    <x v="2"/>
    <x v="0"/>
    <n v="3.8703375749161051"/>
  </r>
  <r>
    <x v="1"/>
    <x v="0"/>
    <x v="1"/>
    <x v="0"/>
    <x v="0"/>
    <x v="1"/>
    <x v="6"/>
    <x v="6"/>
    <x v="0"/>
    <x v="3"/>
    <x v="0"/>
    <x v="0"/>
    <n v="8"/>
  </r>
  <r>
    <x v="1"/>
    <x v="0"/>
    <x v="1"/>
    <x v="0"/>
    <x v="0"/>
    <x v="1"/>
    <x v="6"/>
    <x v="6"/>
    <x v="0"/>
    <x v="3"/>
    <x v="1"/>
    <x v="0"/>
    <n v="-2"/>
  </r>
  <r>
    <x v="1"/>
    <x v="0"/>
    <x v="1"/>
    <x v="0"/>
    <x v="0"/>
    <x v="1"/>
    <x v="7"/>
    <x v="7"/>
    <x v="0"/>
    <x v="4"/>
    <x v="0"/>
    <x v="0"/>
    <n v="11"/>
  </r>
  <r>
    <x v="1"/>
    <x v="0"/>
    <x v="1"/>
    <x v="0"/>
    <x v="0"/>
    <x v="1"/>
    <x v="7"/>
    <x v="7"/>
    <x v="0"/>
    <x v="4"/>
    <x v="1"/>
    <x v="0"/>
    <n v="-2.75"/>
  </r>
  <r>
    <x v="1"/>
    <x v="0"/>
    <x v="1"/>
    <x v="0"/>
    <x v="0"/>
    <x v="1"/>
    <x v="8"/>
    <x v="7"/>
    <x v="0"/>
    <x v="4"/>
    <x v="0"/>
    <x v="0"/>
    <n v="3.3000000000000003"/>
  </r>
  <r>
    <x v="1"/>
    <x v="0"/>
    <x v="1"/>
    <x v="0"/>
    <x v="0"/>
    <x v="1"/>
    <x v="8"/>
    <x v="7"/>
    <x v="0"/>
    <x v="4"/>
    <x v="1"/>
    <x v="0"/>
    <n v="-0.82500000000000007"/>
  </r>
  <r>
    <x v="1"/>
    <x v="0"/>
    <x v="1"/>
    <x v="0"/>
    <x v="0"/>
    <x v="1"/>
    <x v="9"/>
    <x v="7"/>
    <x v="0"/>
    <x v="4"/>
    <x v="0"/>
    <x v="0"/>
    <n v="7.15"/>
  </r>
  <r>
    <x v="1"/>
    <x v="0"/>
    <x v="1"/>
    <x v="0"/>
    <x v="0"/>
    <x v="1"/>
    <x v="9"/>
    <x v="7"/>
    <x v="0"/>
    <x v="4"/>
    <x v="1"/>
    <x v="0"/>
    <n v="-1.7875000000000001"/>
  </r>
  <r>
    <x v="1"/>
    <x v="0"/>
    <x v="1"/>
    <x v="0"/>
    <x v="0"/>
    <x v="1"/>
    <x v="10"/>
    <x v="7"/>
    <x v="0"/>
    <x v="4"/>
    <x v="0"/>
    <x v="0"/>
    <n v="0.55000000000000004"/>
  </r>
  <r>
    <x v="1"/>
    <x v="0"/>
    <x v="1"/>
    <x v="0"/>
    <x v="0"/>
    <x v="1"/>
    <x v="10"/>
    <x v="7"/>
    <x v="0"/>
    <x v="4"/>
    <x v="1"/>
    <x v="0"/>
    <n v="-0.13750000000000001"/>
  </r>
  <r>
    <x v="1"/>
    <x v="0"/>
    <x v="1"/>
    <x v="0"/>
    <x v="0"/>
    <x v="1"/>
    <x v="12"/>
    <x v="7"/>
    <x v="0"/>
    <x v="4"/>
    <x v="2"/>
    <x v="0"/>
    <n v="2.7545327138464106"/>
  </r>
  <r>
    <x v="1"/>
    <x v="0"/>
    <x v="1"/>
    <x v="0"/>
    <x v="0"/>
    <x v="1"/>
    <x v="13"/>
    <x v="6"/>
    <x v="0"/>
    <x v="3"/>
    <x v="2"/>
    <x v="0"/>
    <n v="25.978288495255512"/>
  </r>
  <r>
    <x v="1"/>
    <x v="0"/>
    <x v="2"/>
    <x v="0"/>
    <x v="0"/>
    <x v="0"/>
    <x v="0"/>
    <x v="0"/>
    <x v="0"/>
    <x v="0"/>
    <x v="0"/>
    <x v="0"/>
    <n v="25.75"/>
  </r>
  <r>
    <x v="1"/>
    <x v="0"/>
    <x v="2"/>
    <x v="0"/>
    <x v="0"/>
    <x v="0"/>
    <x v="0"/>
    <x v="0"/>
    <x v="0"/>
    <x v="0"/>
    <x v="1"/>
    <x v="0"/>
    <n v="-25.75"/>
  </r>
  <r>
    <x v="1"/>
    <x v="0"/>
    <x v="2"/>
    <x v="0"/>
    <x v="0"/>
    <x v="0"/>
    <x v="1"/>
    <x v="1"/>
    <x v="0"/>
    <x v="0"/>
    <x v="0"/>
    <x v="0"/>
    <n v="1.7"/>
  </r>
  <r>
    <x v="1"/>
    <x v="0"/>
    <x v="2"/>
    <x v="0"/>
    <x v="0"/>
    <x v="0"/>
    <x v="1"/>
    <x v="1"/>
    <x v="0"/>
    <x v="0"/>
    <x v="1"/>
    <x v="0"/>
    <n v="-1.2750000000000001"/>
  </r>
  <r>
    <x v="1"/>
    <x v="0"/>
    <x v="2"/>
    <x v="0"/>
    <x v="0"/>
    <x v="0"/>
    <x v="2"/>
    <x v="2"/>
    <x v="0"/>
    <x v="1"/>
    <x v="0"/>
    <x v="0"/>
    <n v="31.5"/>
  </r>
  <r>
    <x v="1"/>
    <x v="0"/>
    <x v="2"/>
    <x v="0"/>
    <x v="0"/>
    <x v="0"/>
    <x v="3"/>
    <x v="3"/>
    <x v="0"/>
    <x v="0"/>
    <x v="0"/>
    <x v="0"/>
    <n v="20"/>
  </r>
  <r>
    <x v="1"/>
    <x v="0"/>
    <x v="2"/>
    <x v="0"/>
    <x v="0"/>
    <x v="0"/>
    <x v="3"/>
    <x v="3"/>
    <x v="0"/>
    <x v="0"/>
    <x v="1"/>
    <x v="0"/>
    <n v="-20"/>
  </r>
  <r>
    <x v="1"/>
    <x v="0"/>
    <x v="2"/>
    <x v="0"/>
    <x v="0"/>
    <x v="0"/>
    <x v="4"/>
    <x v="4"/>
    <x v="0"/>
    <x v="0"/>
    <x v="0"/>
    <x v="0"/>
    <n v="1.7"/>
  </r>
  <r>
    <x v="1"/>
    <x v="0"/>
    <x v="2"/>
    <x v="0"/>
    <x v="0"/>
    <x v="0"/>
    <x v="4"/>
    <x v="4"/>
    <x v="0"/>
    <x v="0"/>
    <x v="1"/>
    <x v="0"/>
    <n v="-1.7"/>
  </r>
  <r>
    <x v="1"/>
    <x v="0"/>
    <x v="2"/>
    <x v="0"/>
    <x v="0"/>
    <x v="0"/>
    <x v="5"/>
    <x v="5"/>
    <x v="1"/>
    <x v="2"/>
    <x v="2"/>
    <x v="0"/>
    <n v="0.53574544709786664"/>
  </r>
  <r>
    <x v="1"/>
    <x v="0"/>
    <x v="2"/>
    <x v="0"/>
    <x v="0"/>
    <x v="0"/>
    <x v="11"/>
    <x v="5"/>
    <x v="1"/>
    <x v="2"/>
    <x v="2"/>
    <x v="0"/>
    <n v="3.8703375749161051"/>
  </r>
  <r>
    <x v="1"/>
    <x v="0"/>
    <x v="2"/>
    <x v="0"/>
    <x v="0"/>
    <x v="0"/>
    <x v="14"/>
    <x v="5"/>
    <x v="1"/>
    <x v="2"/>
    <x v="2"/>
    <x v="0"/>
    <n v="8.6210649531716808"/>
  </r>
  <r>
    <x v="1"/>
    <x v="0"/>
    <x v="2"/>
    <x v="0"/>
    <x v="0"/>
    <x v="0"/>
    <x v="15"/>
    <x v="8"/>
    <x v="1"/>
    <x v="5"/>
    <x v="2"/>
    <x v="0"/>
    <n v="102.07564346155594"/>
  </r>
  <r>
    <x v="1"/>
    <x v="0"/>
    <x v="2"/>
    <x v="0"/>
    <x v="0"/>
    <x v="0"/>
    <x v="21"/>
    <x v="0"/>
    <x v="1"/>
    <x v="6"/>
    <x v="2"/>
    <x v="0"/>
    <n v="0.18880047727272004"/>
  </r>
  <r>
    <x v="1"/>
    <x v="0"/>
    <x v="2"/>
    <x v="0"/>
    <x v="0"/>
    <x v="1"/>
    <x v="6"/>
    <x v="6"/>
    <x v="0"/>
    <x v="3"/>
    <x v="0"/>
    <x v="0"/>
    <n v="8"/>
  </r>
  <r>
    <x v="1"/>
    <x v="0"/>
    <x v="2"/>
    <x v="0"/>
    <x v="0"/>
    <x v="1"/>
    <x v="6"/>
    <x v="6"/>
    <x v="0"/>
    <x v="3"/>
    <x v="1"/>
    <x v="0"/>
    <n v="-6"/>
  </r>
  <r>
    <x v="1"/>
    <x v="0"/>
    <x v="2"/>
    <x v="0"/>
    <x v="0"/>
    <x v="1"/>
    <x v="7"/>
    <x v="7"/>
    <x v="0"/>
    <x v="4"/>
    <x v="0"/>
    <x v="0"/>
    <n v="11"/>
  </r>
  <r>
    <x v="1"/>
    <x v="0"/>
    <x v="2"/>
    <x v="0"/>
    <x v="0"/>
    <x v="1"/>
    <x v="7"/>
    <x v="7"/>
    <x v="0"/>
    <x v="4"/>
    <x v="1"/>
    <x v="0"/>
    <n v="-8.25"/>
  </r>
  <r>
    <x v="1"/>
    <x v="0"/>
    <x v="2"/>
    <x v="0"/>
    <x v="0"/>
    <x v="1"/>
    <x v="8"/>
    <x v="7"/>
    <x v="0"/>
    <x v="4"/>
    <x v="0"/>
    <x v="0"/>
    <n v="3.3000000000000003"/>
  </r>
  <r>
    <x v="1"/>
    <x v="0"/>
    <x v="2"/>
    <x v="0"/>
    <x v="0"/>
    <x v="1"/>
    <x v="8"/>
    <x v="7"/>
    <x v="0"/>
    <x v="4"/>
    <x v="1"/>
    <x v="0"/>
    <n v="-2.4750000000000001"/>
  </r>
  <r>
    <x v="1"/>
    <x v="0"/>
    <x v="2"/>
    <x v="0"/>
    <x v="0"/>
    <x v="1"/>
    <x v="9"/>
    <x v="7"/>
    <x v="0"/>
    <x v="4"/>
    <x v="0"/>
    <x v="0"/>
    <n v="7.15"/>
  </r>
  <r>
    <x v="1"/>
    <x v="0"/>
    <x v="2"/>
    <x v="0"/>
    <x v="0"/>
    <x v="1"/>
    <x v="9"/>
    <x v="7"/>
    <x v="0"/>
    <x v="4"/>
    <x v="1"/>
    <x v="0"/>
    <n v="-5.3624999999999998"/>
  </r>
  <r>
    <x v="1"/>
    <x v="0"/>
    <x v="2"/>
    <x v="0"/>
    <x v="0"/>
    <x v="1"/>
    <x v="10"/>
    <x v="7"/>
    <x v="0"/>
    <x v="4"/>
    <x v="0"/>
    <x v="0"/>
    <n v="0.55000000000000004"/>
  </r>
  <r>
    <x v="1"/>
    <x v="0"/>
    <x v="2"/>
    <x v="0"/>
    <x v="0"/>
    <x v="1"/>
    <x v="10"/>
    <x v="7"/>
    <x v="0"/>
    <x v="4"/>
    <x v="1"/>
    <x v="0"/>
    <n v="-0.41250000000000003"/>
  </r>
  <r>
    <x v="1"/>
    <x v="0"/>
    <x v="2"/>
    <x v="0"/>
    <x v="0"/>
    <x v="1"/>
    <x v="12"/>
    <x v="7"/>
    <x v="0"/>
    <x v="4"/>
    <x v="2"/>
    <x v="0"/>
    <n v="2.7545327138464106"/>
  </r>
  <r>
    <x v="1"/>
    <x v="0"/>
    <x v="2"/>
    <x v="0"/>
    <x v="0"/>
    <x v="1"/>
    <x v="16"/>
    <x v="7"/>
    <x v="0"/>
    <x v="4"/>
    <x v="2"/>
    <x v="0"/>
    <n v="41.408637207071379"/>
  </r>
  <r>
    <x v="1"/>
    <x v="0"/>
    <x v="2"/>
    <x v="0"/>
    <x v="0"/>
    <x v="1"/>
    <x v="13"/>
    <x v="6"/>
    <x v="0"/>
    <x v="3"/>
    <x v="2"/>
    <x v="0"/>
    <n v="25.978288495255512"/>
  </r>
  <r>
    <x v="1"/>
    <x v="0"/>
    <x v="2"/>
    <x v="0"/>
    <x v="0"/>
    <x v="1"/>
    <x v="17"/>
    <x v="6"/>
    <x v="0"/>
    <x v="3"/>
    <x v="2"/>
    <x v="0"/>
    <n v="18.431331789402435"/>
  </r>
  <r>
    <x v="1"/>
    <x v="0"/>
    <x v="3"/>
    <x v="0"/>
    <x v="0"/>
    <x v="0"/>
    <x v="0"/>
    <x v="0"/>
    <x v="0"/>
    <x v="0"/>
    <x v="0"/>
    <x v="0"/>
    <n v="25.75"/>
  </r>
  <r>
    <x v="1"/>
    <x v="0"/>
    <x v="3"/>
    <x v="0"/>
    <x v="0"/>
    <x v="0"/>
    <x v="0"/>
    <x v="0"/>
    <x v="0"/>
    <x v="0"/>
    <x v="1"/>
    <x v="0"/>
    <n v="-25.75"/>
  </r>
  <r>
    <x v="1"/>
    <x v="0"/>
    <x v="3"/>
    <x v="0"/>
    <x v="0"/>
    <x v="0"/>
    <x v="1"/>
    <x v="1"/>
    <x v="0"/>
    <x v="0"/>
    <x v="0"/>
    <x v="0"/>
    <n v="1.7"/>
  </r>
  <r>
    <x v="1"/>
    <x v="0"/>
    <x v="3"/>
    <x v="0"/>
    <x v="0"/>
    <x v="0"/>
    <x v="1"/>
    <x v="1"/>
    <x v="0"/>
    <x v="0"/>
    <x v="1"/>
    <x v="0"/>
    <n v="-1.7"/>
  </r>
  <r>
    <x v="1"/>
    <x v="0"/>
    <x v="3"/>
    <x v="0"/>
    <x v="0"/>
    <x v="0"/>
    <x v="2"/>
    <x v="2"/>
    <x v="0"/>
    <x v="1"/>
    <x v="0"/>
    <x v="0"/>
    <n v="31.5"/>
  </r>
  <r>
    <x v="1"/>
    <x v="0"/>
    <x v="3"/>
    <x v="0"/>
    <x v="0"/>
    <x v="0"/>
    <x v="3"/>
    <x v="3"/>
    <x v="0"/>
    <x v="0"/>
    <x v="0"/>
    <x v="0"/>
    <n v="20"/>
  </r>
  <r>
    <x v="1"/>
    <x v="0"/>
    <x v="3"/>
    <x v="0"/>
    <x v="0"/>
    <x v="0"/>
    <x v="3"/>
    <x v="3"/>
    <x v="0"/>
    <x v="0"/>
    <x v="1"/>
    <x v="0"/>
    <n v="-20"/>
  </r>
  <r>
    <x v="1"/>
    <x v="0"/>
    <x v="3"/>
    <x v="0"/>
    <x v="0"/>
    <x v="0"/>
    <x v="18"/>
    <x v="9"/>
    <x v="0"/>
    <x v="0"/>
    <x v="2"/>
    <x v="0"/>
    <n v="0.60771718948039632"/>
  </r>
  <r>
    <x v="1"/>
    <x v="0"/>
    <x v="3"/>
    <x v="0"/>
    <x v="0"/>
    <x v="0"/>
    <x v="4"/>
    <x v="4"/>
    <x v="0"/>
    <x v="0"/>
    <x v="0"/>
    <x v="0"/>
    <n v="1.7"/>
  </r>
  <r>
    <x v="1"/>
    <x v="0"/>
    <x v="3"/>
    <x v="0"/>
    <x v="0"/>
    <x v="0"/>
    <x v="4"/>
    <x v="4"/>
    <x v="0"/>
    <x v="0"/>
    <x v="1"/>
    <x v="0"/>
    <n v="-1.7"/>
  </r>
  <r>
    <x v="1"/>
    <x v="0"/>
    <x v="3"/>
    <x v="0"/>
    <x v="0"/>
    <x v="0"/>
    <x v="11"/>
    <x v="5"/>
    <x v="1"/>
    <x v="2"/>
    <x v="2"/>
    <x v="0"/>
    <n v="3.8703375749161051"/>
  </r>
  <r>
    <x v="1"/>
    <x v="0"/>
    <x v="3"/>
    <x v="0"/>
    <x v="0"/>
    <x v="0"/>
    <x v="14"/>
    <x v="5"/>
    <x v="1"/>
    <x v="2"/>
    <x v="2"/>
    <x v="0"/>
    <n v="8.6210649531716808"/>
  </r>
  <r>
    <x v="1"/>
    <x v="0"/>
    <x v="3"/>
    <x v="0"/>
    <x v="0"/>
    <x v="0"/>
    <x v="19"/>
    <x v="5"/>
    <x v="1"/>
    <x v="2"/>
    <x v="2"/>
    <x v="0"/>
    <n v="11.823679944749566"/>
  </r>
  <r>
    <x v="1"/>
    <x v="0"/>
    <x v="3"/>
    <x v="0"/>
    <x v="0"/>
    <x v="0"/>
    <x v="15"/>
    <x v="8"/>
    <x v="1"/>
    <x v="5"/>
    <x v="2"/>
    <x v="0"/>
    <n v="102.07564346155594"/>
  </r>
  <r>
    <x v="1"/>
    <x v="0"/>
    <x v="3"/>
    <x v="0"/>
    <x v="0"/>
    <x v="0"/>
    <x v="20"/>
    <x v="8"/>
    <x v="1"/>
    <x v="5"/>
    <x v="2"/>
    <x v="0"/>
    <n v="953.61964065527457"/>
  </r>
  <r>
    <x v="1"/>
    <x v="0"/>
    <x v="3"/>
    <x v="0"/>
    <x v="0"/>
    <x v="0"/>
    <x v="21"/>
    <x v="0"/>
    <x v="1"/>
    <x v="6"/>
    <x v="2"/>
    <x v="0"/>
    <n v="0.55511453668695532"/>
  </r>
  <r>
    <x v="1"/>
    <x v="0"/>
    <x v="3"/>
    <x v="0"/>
    <x v="0"/>
    <x v="1"/>
    <x v="6"/>
    <x v="6"/>
    <x v="0"/>
    <x v="3"/>
    <x v="0"/>
    <x v="0"/>
    <n v="8"/>
  </r>
  <r>
    <x v="1"/>
    <x v="0"/>
    <x v="3"/>
    <x v="0"/>
    <x v="0"/>
    <x v="1"/>
    <x v="6"/>
    <x v="6"/>
    <x v="0"/>
    <x v="3"/>
    <x v="1"/>
    <x v="0"/>
    <n v="-8"/>
  </r>
  <r>
    <x v="1"/>
    <x v="0"/>
    <x v="3"/>
    <x v="0"/>
    <x v="0"/>
    <x v="1"/>
    <x v="7"/>
    <x v="7"/>
    <x v="0"/>
    <x v="4"/>
    <x v="0"/>
    <x v="0"/>
    <n v="11"/>
  </r>
  <r>
    <x v="1"/>
    <x v="0"/>
    <x v="3"/>
    <x v="0"/>
    <x v="0"/>
    <x v="1"/>
    <x v="7"/>
    <x v="7"/>
    <x v="0"/>
    <x v="4"/>
    <x v="1"/>
    <x v="0"/>
    <n v="-11"/>
  </r>
  <r>
    <x v="1"/>
    <x v="0"/>
    <x v="3"/>
    <x v="0"/>
    <x v="0"/>
    <x v="1"/>
    <x v="8"/>
    <x v="7"/>
    <x v="0"/>
    <x v="4"/>
    <x v="0"/>
    <x v="0"/>
    <n v="3.3000000000000003"/>
  </r>
  <r>
    <x v="1"/>
    <x v="0"/>
    <x v="3"/>
    <x v="0"/>
    <x v="0"/>
    <x v="1"/>
    <x v="8"/>
    <x v="7"/>
    <x v="0"/>
    <x v="4"/>
    <x v="1"/>
    <x v="0"/>
    <n v="-3.3000000000000003"/>
  </r>
  <r>
    <x v="1"/>
    <x v="0"/>
    <x v="3"/>
    <x v="0"/>
    <x v="0"/>
    <x v="1"/>
    <x v="9"/>
    <x v="7"/>
    <x v="0"/>
    <x v="4"/>
    <x v="0"/>
    <x v="0"/>
    <n v="7.15"/>
  </r>
  <r>
    <x v="1"/>
    <x v="0"/>
    <x v="3"/>
    <x v="0"/>
    <x v="0"/>
    <x v="1"/>
    <x v="9"/>
    <x v="7"/>
    <x v="0"/>
    <x v="4"/>
    <x v="1"/>
    <x v="0"/>
    <n v="-7.15"/>
  </r>
  <r>
    <x v="1"/>
    <x v="0"/>
    <x v="3"/>
    <x v="0"/>
    <x v="0"/>
    <x v="1"/>
    <x v="10"/>
    <x v="7"/>
    <x v="0"/>
    <x v="4"/>
    <x v="0"/>
    <x v="0"/>
    <n v="0.55000000000000004"/>
  </r>
  <r>
    <x v="1"/>
    <x v="0"/>
    <x v="3"/>
    <x v="0"/>
    <x v="0"/>
    <x v="1"/>
    <x v="10"/>
    <x v="7"/>
    <x v="0"/>
    <x v="4"/>
    <x v="1"/>
    <x v="0"/>
    <n v="-0.55000000000000004"/>
  </r>
  <r>
    <x v="1"/>
    <x v="0"/>
    <x v="3"/>
    <x v="0"/>
    <x v="0"/>
    <x v="1"/>
    <x v="12"/>
    <x v="7"/>
    <x v="0"/>
    <x v="4"/>
    <x v="2"/>
    <x v="0"/>
    <n v="2.7545327138464106"/>
  </r>
  <r>
    <x v="1"/>
    <x v="0"/>
    <x v="3"/>
    <x v="0"/>
    <x v="0"/>
    <x v="1"/>
    <x v="16"/>
    <x v="7"/>
    <x v="0"/>
    <x v="4"/>
    <x v="2"/>
    <x v="0"/>
    <n v="41.408637207071379"/>
  </r>
  <r>
    <x v="1"/>
    <x v="0"/>
    <x v="3"/>
    <x v="0"/>
    <x v="0"/>
    <x v="1"/>
    <x v="22"/>
    <x v="7"/>
    <x v="0"/>
    <x v="4"/>
    <x v="2"/>
    <x v="0"/>
    <n v="12.943043674268166"/>
  </r>
  <r>
    <x v="1"/>
    <x v="0"/>
    <x v="3"/>
    <x v="0"/>
    <x v="0"/>
    <x v="1"/>
    <x v="13"/>
    <x v="6"/>
    <x v="0"/>
    <x v="3"/>
    <x v="2"/>
    <x v="0"/>
    <n v="25.978288495255512"/>
  </r>
  <r>
    <x v="1"/>
    <x v="0"/>
    <x v="3"/>
    <x v="0"/>
    <x v="0"/>
    <x v="1"/>
    <x v="17"/>
    <x v="6"/>
    <x v="0"/>
    <x v="3"/>
    <x v="2"/>
    <x v="0"/>
    <n v="18.431331789402435"/>
  </r>
  <r>
    <x v="1"/>
    <x v="0"/>
    <x v="3"/>
    <x v="0"/>
    <x v="0"/>
    <x v="1"/>
    <x v="23"/>
    <x v="6"/>
    <x v="0"/>
    <x v="3"/>
    <x v="2"/>
    <x v="0"/>
    <n v="21.8800270081078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x v="0"/>
    <x v="0"/>
    <x v="0"/>
    <x v="0"/>
    <x v="0"/>
    <x v="0"/>
    <x v="0"/>
    <x v="0"/>
    <x v="0"/>
    <x v="0"/>
    <x v="0"/>
    <n v="14.774699999999889"/>
  </r>
  <r>
    <x v="0"/>
    <x v="0"/>
    <x v="0"/>
    <x v="0"/>
    <x v="0"/>
    <x v="0"/>
    <x v="1"/>
    <x v="1"/>
    <x v="0"/>
    <x v="1"/>
    <x v="0"/>
    <n v="94.759614626630693"/>
  </r>
  <r>
    <x v="0"/>
    <x v="0"/>
    <x v="0"/>
    <x v="0"/>
    <x v="0"/>
    <x v="0"/>
    <x v="2"/>
    <x v="2"/>
    <x v="1"/>
    <x v="2"/>
    <x v="0"/>
    <n v="4.6674143351165958"/>
  </r>
  <r>
    <x v="0"/>
    <x v="0"/>
    <x v="0"/>
    <x v="0"/>
    <x v="0"/>
    <x v="0"/>
    <x v="3"/>
    <x v="3"/>
    <x v="1"/>
    <x v="3"/>
    <x v="0"/>
    <n v="-2.7912695354093452E-15"/>
  </r>
  <r>
    <x v="0"/>
    <x v="0"/>
    <x v="0"/>
    <x v="0"/>
    <x v="0"/>
    <x v="0"/>
    <x v="4"/>
    <x v="4"/>
    <x v="1"/>
    <x v="4"/>
    <x v="0"/>
    <n v="-2.4060663595814181E-15"/>
  </r>
  <r>
    <x v="0"/>
    <x v="0"/>
    <x v="0"/>
    <x v="0"/>
    <x v="0"/>
    <x v="1"/>
    <x v="5"/>
    <x v="5"/>
    <x v="0"/>
    <x v="5"/>
    <x v="0"/>
    <n v="15.101039999999987"/>
  </r>
  <r>
    <x v="0"/>
    <x v="0"/>
    <x v="0"/>
    <x v="0"/>
    <x v="0"/>
    <x v="1"/>
    <x v="6"/>
    <x v="6"/>
    <x v="0"/>
    <x v="6"/>
    <x v="0"/>
    <n v="32.367556475276764"/>
  </r>
  <r>
    <x v="0"/>
    <x v="0"/>
    <x v="0"/>
    <x v="0"/>
    <x v="0"/>
    <x v="1"/>
    <x v="7"/>
    <x v="6"/>
    <x v="0"/>
    <x v="6"/>
    <x v="0"/>
    <n v="10.59735600000001"/>
  </r>
  <r>
    <x v="0"/>
    <x v="0"/>
    <x v="0"/>
    <x v="0"/>
    <x v="0"/>
    <x v="1"/>
    <x v="8"/>
    <x v="6"/>
    <x v="0"/>
    <x v="6"/>
    <x v="0"/>
    <n v="-1.1603974923803291E-15"/>
  </r>
  <r>
    <x v="0"/>
    <x v="0"/>
    <x v="0"/>
    <x v="0"/>
    <x v="0"/>
    <x v="1"/>
    <x v="9"/>
    <x v="6"/>
    <x v="0"/>
    <x v="6"/>
    <x v="0"/>
    <n v="1.7662259999999994"/>
  </r>
  <r>
    <x v="0"/>
    <x v="0"/>
    <x v="1"/>
    <x v="0"/>
    <x v="0"/>
    <x v="0"/>
    <x v="0"/>
    <x v="0"/>
    <x v="0"/>
    <x v="0"/>
    <x v="0"/>
    <n v="10.536090996410794"/>
  </r>
  <r>
    <x v="0"/>
    <x v="0"/>
    <x v="1"/>
    <x v="0"/>
    <x v="0"/>
    <x v="0"/>
    <x v="1"/>
    <x v="1"/>
    <x v="0"/>
    <x v="1"/>
    <x v="0"/>
    <n v="94.759614626630523"/>
  </r>
  <r>
    <x v="0"/>
    <x v="0"/>
    <x v="1"/>
    <x v="0"/>
    <x v="0"/>
    <x v="0"/>
    <x v="2"/>
    <x v="2"/>
    <x v="1"/>
    <x v="2"/>
    <x v="0"/>
    <n v="4.6674143351165966"/>
  </r>
  <r>
    <x v="0"/>
    <x v="0"/>
    <x v="1"/>
    <x v="0"/>
    <x v="0"/>
    <x v="0"/>
    <x v="10"/>
    <x v="2"/>
    <x v="1"/>
    <x v="2"/>
    <x v="0"/>
    <n v="34.978714564617064"/>
  </r>
  <r>
    <x v="0"/>
    <x v="0"/>
    <x v="1"/>
    <x v="0"/>
    <x v="0"/>
    <x v="1"/>
    <x v="5"/>
    <x v="5"/>
    <x v="0"/>
    <x v="5"/>
    <x v="0"/>
    <n v="10.066781560407874"/>
  </r>
  <r>
    <x v="0"/>
    <x v="0"/>
    <x v="1"/>
    <x v="0"/>
    <x v="0"/>
    <x v="1"/>
    <x v="6"/>
    <x v="6"/>
    <x v="0"/>
    <x v="6"/>
    <x v="0"/>
    <n v="24.154483950261948"/>
  </r>
  <r>
    <x v="0"/>
    <x v="0"/>
    <x v="1"/>
    <x v="0"/>
    <x v="0"/>
    <x v="1"/>
    <x v="7"/>
    <x v="6"/>
    <x v="0"/>
    <x v="6"/>
    <x v="0"/>
    <n v="6.5845981583641251"/>
  </r>
  <r>
    <x v="0"/>
    <x v="0"/>
    <x v="1"/>
    <x v="0"/>
    <x v="0"/>
    <x v="1"/>
    <x v="8"/>
    <x v="6"/>
    <x v="0"/>
    <x v="6"/>
    <x v="0"/>
    <n v="14.88071984862121"/>
  </r>
  <r>
    <x v="0"/>
    <x v="0"/>
    <x v="1"/>
    <x v="0"/>
    <x v="0"/>
    <x v="1"/>
    <x v="9"/>
    <x v="6"/>
    <x v="0"/>
    <x v="6"/>
    <x v="0"/>
    <n v="1.0876694812290069"/>
  </r>
  <r>
    <x v="0"/>
    <x v="0"/>
    <x v="1"/>
    <x v="0"/>
    <x v="0"/>
    <x v="1"/>
    <x v="11"/>
    <x v="6"/>
    <x v="0"/>
    <x v="6"/>
    <x v="0"/>
    <n v="10.100508486168124"/>
  </r>
  <r>
    <x v="0"/>
    <x v="0"/>
    <x v="1"/>
    <x v="0"/>
    <x v="0"/>
    <x v="1"/>
    <x v="12"/>
    <x v="5"/>
    <x v="0"/>
    <x v="5"/>
    <x v="0"/>
    <n v="49.236904675815317"/>
  </r>
  <r>
    <x v="0"/>
    <x v="0"/>
    <x v="2"/>
    <x v="0"/>
    <x v="0"/>
    <x v="0"/>
    <x v="0"/>
    <x v="0"/>
    <x v="0"/>
    <x v="0"/>
    <x v="0"/>
    <n v="3.589240736607116"/>
  </r>
  <r>
    <x v="0"/>
    <x v="0"/>
    <x v="2"/>
    <x v="0"/>
    <x v="0"/>
    <x v="0"/>
    <x v="1"/>
    <x v="1"/>
    <x v="0"/>
    <x v="1"/>
    <x v="0"/>
    <n v="94.759614626630679"/>
  </r>
  <r>
    <x v="0"/>
    <x v="0"/>
    <x v="2"/>
    <x v="0"/>
    <x v="0"/>
    <x v="0"/>
    <x v="2"/>
    <x v="2"/>
    <x v="1"/>
    <x v="2"/>
    <x v="0"/>
    <n v="1.1373302332617667"/>
  </r>
  <r>
    <x v="0"/>
    <x v="0"/>
    <x v="2"/>
    <x v="0"/>
    <x v="0"/>
    <x v="0"/>
    <x v="10"/>
    <x v="2"/>
    <x v="1"/>
    <x v="2"/>
    <x v="0"/>
    <n v="30.639235060194913"/>
  </r>
  <r>
    <x v="0"/>
    <x v="0"/>
    <x v="2"/>
    <x v="0"/>
    <x v="0"/>
    <x v="0"/>
    <x v="13"/>
    <x v="2"/>
    <x v="1"/>
    <x v="2"/>
    <x v="0"/>
    <n v="85.564468139051442"/>
  </r>
  <r>
    <x v="0"/>
    <x v="0"/>
    <x v="2"/>
    <x v="0"/>
    <x v="0"/>
    <x v="0"/>
    <x v="14"/>
    <x v="3"/>
    <x v="1"/>
    <x v="3"/>
    <x v="0"/>
    <n v="0.83679778162546081"/>
  </r>
  <r>
    <x v="0"/>
    <x v="0"/>
    <x v="2"/>
    <x v="0"/>
    <x v="0"/>
    <x v="1"/>
    <x v="5"/>
    <x v="5"/>
    <x v="0"/>
    <x v="5"/>
    <x v="0"/>
    <n v="3.7752599999999967"/>
  </r>
  <r>
    <x v="0"/>
    <x v="0"/>
    <x v="2"/>
    <x v="0"/>
    <x v="0"/>
    <x v="1"/>
    <x v="6"/>
    <x v="6"/>
    <x v="0"/>
    <x v="6"/>
    <x v="0"/>
    <n v="5.8133012147605845"/>
  </r>
  <r>
    <x v="0"/>
    <x v="0"/>
    <x v="2"/>
    <x v="0"/>
    <x v="0"/>
    <x v="1"/>
    <x v="7"/>
    <x v="6"/>
    <x v="0"/>
    <x v="6"/>
    <x v="0"/>
    <n v="1.6300219888830163"/>
  </r>
  <r>
    <x v="0"/>
    <x v="0"/>
    <x v="2"/>
    <x v="0"/>
    <x v="0"/>
    <x v="1"/>
    <x v="8"/>
    <x v="6"/>
    <x v="0"/>
    <x v="6"/>
    <x v="0"/>
    <n v="3.6193626876402551"/>
  </r>
  <r>
    <x v="0"/>
    <x v="0"/>
    <x v="2"/>
    <x v="0"/>
    <x v="0"/>
    <x v="1"/>
    <x v="9"/>
    <x v="6"/>
    <x v="0"/>
    <x v="6"/>
    <x v="0"/>
    <n v="0.26918522438503772"/>
  </r>
  <r>
    <x v="0"/>
    <x v="0"/>
    <x v="2"/>
    <x v="0"/>
    <x v="0"/>
    <x v="1"/>
    <x v="11"/>
    <x v="6"/>
    <x v="0"/>
    <x v="6"/>
    <x v="0"/>
    <n v="7.3583027991922529"/>
  </r>
  <r>
    <x v="0"/>
    <x v="0"/>
    <x v="2"/>
    <x v="0"/>
    <x v="0"/>
    <x v="1"/>
    <x v="15"/>
    <x v="6"/>
    <x v="0"/>
    <x v="6"/>
    <x v="0"/>
    <n v="125.89143827071246"/>
  </r>
  <r>
    <x v="0"/>
    <x v="0"/>
    <x v="2"/>
    <x v="0"/>
    <x v="0"/>
    <x v="1"/>
    <x v="12"/>
    <x v="5"/>
    <x v="0"/>
    <x v="5"/>
    <x v="0"/>
    <n v="48.695451565194425"/>
  </r>
  <r>
    <x v="0"/>
    <x v="0"/>
    <x v="2"/>
    <x v="0"/>
    <x v="0"/>
    <x v="1"/>
    <x v="16"/>
    <x v="5"/>
    <x v="0"/>
    <x v="5"/>
    <x v="0"/>
    <n v="35.221851683632842"/>
  </r>
  <r>
    <x v="0"/>
    <x v="0"/>
    <x v="3"/>
    <x v="0"/>
    <x v="0"/>
    <x v="0"/>
    <x v="1"/>
    <x v="1"/>
    <x v="0"/>
    <x v="1"/>
    <x v="0"/>
    <n v="94.75961462663075"/>
  </r>
  <r>
    <x v="0"/>
    <x v="0"/>
    <x v="3"/>
    <x v="0"/>
    <x v="0"/>
    <x v="0"/>
    <x v="17"/>
    <x v="7"/>
    <x v="0"/>
    <x v="0"/>
    <x v="0"/>
    <n v="5.1400719886252002"/>
  </r>
  <r>
    <x v="0"/>
    <x v="0"/>
    <x v="3"/>
    <x v="0"/>
    <x v="0"/>
    <x v="0"/>
    <x v="10"/>
    <x v="2"/>
    <x v="1"/>
    <x v="2"/>
    <x v="0"/>
    <n v="7.9258914250411445"/>
  </r>
  <r>
    <x v="0"/>
    <x v="0"/>
    <x v="3"/>
    <x v="0"/>
    <x v="0"/>
    <x v="0"/>
    <x v="13"/>
    <x v="2"/>
    <x v="1"/>
    <x v="2"/>
    <x v="0"/>
    <n v="77.921691758242019"/>
  </r>
  <r>
    <x v="0"/>
    <x v="0"/>
    <x v="3"/>
    <x v="0"/>
    <x v="0"/>
    <x v="0"/>
    <x v="18"/>
    <x v="2"/>
    <x v="1"/>
    <x v="2"/>
    <x v="0"/>
    <n v="84.345122181044971"/>
  </r>
  <r>
    <x v="0"/>
    <x v="0"/>
    <x v="3"/>
    <x v="0"/>
    <x v="0"/>
    <x v="0"/>
    <x v="14"/>
    <x v="3"/>
    <x v="1"/>
    <x v="3"/>
    <x v="0"/>
    <n v="0.98189354528629802"/>
  </r>
  <r>
    <x v="0"/>
    <x v="0"/>
    <x v="3"/>
    <x v="0"/>
    <x v="0"/>
    <x v="0"/>
    <x v="19"/>
    <x v="3"/>
    <x v="1"/>
    <x v="3"/>
    <x v="0"/>
    <n v="3.9672062673230903"/>
  </r>
  <r>
    <x v="0"/>
    <x v="0"/>
    <x v="3"/>
    <x v="0"/>
    <x v="0"/>
    <x v="0"/>
    <x v="4"/>
    <x v="4"/>
    <x v="1"/>
    <x v="4"/>
    <x v="0"/>
    <n v="0.38831365303979881"/>
  </r>
  <r>
    <x v="0"/>
    <x v="0"/>
    <x v="3"/>
    <x v="0"/>
    <x v="0"/>
    <x v="1"/>
    <x v="5"/>
    <x v="5"/>
    <x v="0"/>
    <x v="5"/>
    <x v="0"/>
    <n v="-9.1438729603916247E-16"/>
  </r>
  <r>
    <x v="0"/>
    <x v="0"/>
    <x v="3"/>
    <x v="0"/>
    <x v="0"/>
    <x v="1"/>
    <x v="6"/>
    <x v="6"/>
    <x v="0"/>
    <x v="6"/>
    <x v="0"/>
    <n v="-8.8178353507828464E-16"/>
  </r>
  <r>
    <x v="0"/>
    <x v="0"/>
    <x v="3"/>
    <x v="0"/>
    <x v="0"/>
    <x v="1"/>
    <x v="7"/>
    <x v="6"/>
    <x v="0"/>
    <x v="6"/>
    <x v="0"/>
    <n v="-3.1418169653209434E-16"/>
  </r>
  <r>
    <x v="0"/>
    <x v="0"/>
    <x v="3"/>
    <x v="0"/>
    <x v="0"/>
    <x v="1"/>
    <x v="8"/>
    <x v="6"/>
    <x v="0"/>
    <x v="6"/>
    <x v="0"/>
    <n v="-6.802330127746764E-16"/>
  </r>
  <r>
    <x v="0"/>
    <x v="0"/>
    <x v="3"/>
    <x v="0"/>
    <x v="0"/>
    <x v="1"/>
    <x v="11"/>
    <x v="6"/>
    <x v="0"/>
    <x v="6"/>
    <x v="0"/>
    <n v="5.6009991244678732"/>
  </r>
  <r>
    <x v="0"/>
    <x v="0"/>
    <x v="3"/>
    <x v="0"/>
    <x v="0"/>
    <x v="1"/>
    <x v="15"/>
    <x v="6"/>
    <x v="0"/>
    <x v="6"/>
    <x v="0"/>
    <n v="110.24485612039135"/>
  </r>
  <r>
    <x v="0"/>
    <x v="0"/>
    <x v="3"/>
    <x v="0"/>
    <x v="0"/>
    <x v="1"/>
    <x v="20"/>
    <x v="6"/>
    <x v="0"/>
    <x v="6"/>
    <x v="0"/>
    <n v="66.934719140116528"/>
  </r>
  <r>
    <x v="0"/>
    <x v="0"/>
    <x v="3"/>
    <x v="0"/>
    <x v="0"/>
    <x v="1"/>
    <x v="12"/>
    <x v="5"/>
    <x v="0"/>
    <x v="5"/>
    <x v="0"/>
    <n v="48.844141804581533"/>
  </r>
  <r>
    <x v="0"/>
    <x v="0"/>
    <x v="3"/>
    <x v="0"/>
    <x v="0"/>
    <x v="1"/>
    <x v="16"/>
    <x v="5"/>
    <x v="0"/>
    <x v="5"/>
    <x v="0"/>
    <n v="35.003274155229811"/>
  </r>
  <r>
    <x v="0"/>
    <x v="0"/>
    <x v="3"/>
    <x v="0"/>
    <x v="0"/>
    <x v="1"/>
    <x v="21"/>
    <x v="5"/>
    <x v="0"/>
    <x v="5"/>
    <x v="0"/>
    <n v="31.495079652808787"/>
  </r>
  <r>
    <x v="1"/>
    <x v="0"/>
    <x v="0"/>
    <x v="0"/>
    <x v="0"/>
    <x v="0"/>
    <x v="0"/>
    <x v="0"/>
    <x v="0"/>
    <x v="0"/>
    <x v="0"/>
    <n v="14.774699999999889"/>
  </r>
  <r>
    <x v="1"/>
    <x v="0"/>
    <x v="0"/>
    <x v="0"/>
    <x v="0"/>
    <x v="0"/>
    <x v="1"/>
    <x v="1"/>
    <x v="0"/>
    <x v="1"/>
    <x v="0"/>
    <n v="94.759614626630693"/>
  </r>
  <r>
    <x v="1"/>
    <x v="0"/>
    <x v="0"/>
    <x v="0"/>
    <x v="0"/>
    <x v="0"/>
    <x v="2"/>
    <x v="2"/>
    <x v="1"/>
    <x v="2"/>
    <x v="0"/>
    <n v="4.6674143351165958"/>
  </r>
  <r>
    <x v="1"/>
    <x v="0"/>
    <x v="0"/>
    <x v="0"/>
    <x v="0"/>
    <x v="0"/>
    <x v="3"/>
    <x v="3"/>
    <x v="1"/>
    <x v="3"/>
    <x v="0"/>
    <n v="-2.7912695354093452E-15"/>
  </r>
  <r>
    <x v="1"/>
    <x v="0"/>
    <x v="0"/>
    <x v="0"/>
    <x v="0"/>
    <x v="0"/>
    <x v="4"/>
    <x v="4"/>
    <x v="1"/>
    <x v="4"/>
    <x v="0"/>
    <n v="-2.4060663595814181E-15"/>
  </r>
  <r>
    <x v="1"/>
    <x v="0"/>
    <x v="0"/>
    <x v="0"/>
    <x v="0"/>
    <x v="1"/>
    <x v="5"/>
    <x v="5"/>
    <x v="0"/>
    <x v="5"/>
    <x v="0"/>
    <n v="15.101039999999987"/>
  </r>
  <r>
    <x v="1"/>
    <x v="0"/>
    <x v="0"/>
    <x v="0"/>
    <x v="0"/>
    <x v="1"/>
    <x v="6"/>
    <x v="6"/>
    <x v="0"/>
    <x v="6"/>
    <x v="0"/>
    <n v="32.367556475276764"/>
  </r>
  <r>
    <x v="1"/>
    <x v="0"/>
    <x v="0"/>
    <x v="0"/>
    <x v="0"/>
    <x v="1"/>
    <x v="7"/>
    <x v="6"/>
    <x v="0"/>
    <x v="6"/>
    <x v="0"/>
    <n v="10.59735600000001"/>
  </r>
  <r>
    <x v="1"/>
    <x v="0"/>
    <x v="0"/>
    <x v="0"/>
    <x v="0"/>
    <x v="1"/>
    <x v="8"/>
    <x v="6"/>
    <x v="0"/>
    <x v="6"/>
    <x v="0"/>
    <n v="-1.1603974923803291E-15"/>
  </r>
  <r>
    <x v="1"/>
    <x v="0"/>
    <x v="0"/>
    <x v="0"/>
    <x v="0"/>
    <x v="1"/>
    <x v="9"/>
    <x v="6"/>
    <x v="0"/>
    <x v="6"/>
    <x v="0"/>
    <n v="1.7662259999999994"/>
  </r>
  <r>
    <x v="1"/>
    <x v="0"/>
    <x v="1"/>
    <x v="0"/>
    <x v="0"/>
    <x v="0"/>
    <x v="0"/>
    <x v="0"/>
    <x v="0"/>
    <x v="0"/>
    <x v="0"/>
    <n v="10.529358599766852"/>
  </r>
  <r>
    <x v="1"/>
    <x v="0"/>
    <x v="1"/>
    <x v="0"/>
    <x v="0"/>
    <x v="0"/>
    <x v="1"/>
    <x v="1"/>
    <x v="0"/>
    <x v="1"/>
    <x v="0"/>
    <n v="94.759614626630665"/>
  </r>
  <r>
    <x v="1"/>
    <x v="0"/>
    <x v="1"/>
    <x v="0"/>
    <x v="0"/>
    <x v="0"/>
    <x v="2"/>
    <x v="2"/>
    <x v="1"/>
    <x v="2"/>
    <x v="0"/>
    <n v="4.6674143351165966"/>
  </r>
  <r>
    <x v="1"/>
    <x v="0"/>
    <x v="1"/>
    <x v="0"/>
    <x v="0"/>
    <x v="0"/>
    <x v="10"/>
    <x v="2"/>
    <x v="1"/>
    <x v="2"/>
    <x v="0"/>
    <n v="33.718380952668674"/>
  </r>
  <r>
    <x v="1"/>
    <x v="0"/>
    <x v="1"/>
    <x v="0"/>
    <x v="0"/>
    <x v="0"/>
    <x v="22"/>
    <x v="3"/>
    <x v="1"/>
    <x v="3"/>
    <x v="0"/>
    <n v="-5.6463786027701633E-16"/>
  </r>
  <r>
    <x v="1"/>
    <x v="0"/>
    <x v="1"/>
    <x v="0"/>
    <x v="0"/>
    <x v="0"/>
    <x v="4"/>
    <x v="4"/>
    <x v="1"/>
    <x v="4"/>
    <x v="0"/>
    <n v="-1.3397181776651578E-15"/>
  </r>
  <r>
    <x v="1"/>
    <x v="0"/>
    <x v="1"/>
    <x v="0"/>
    <x v="0"/>
    <x v="1"/>
    <x v="5"/>
    <x v="5"/>
    <x v="0"/>
    <x v="5"/>
    <x v="0"/>
    <n v="10.024034083113445"/>
  </r>
  <r>
    <x v="1"/>
    <x v="0"/>
    <x v="1"/>
    <x v="0"/>
    <x v="0"/>
    <x v="1"/>
    <x v="6"/>
    <x v="6"/>
    <x v="0"/>
    <x v="6"/>
    <x v="0"/>
    <n v="24.197961553926376"/>
  </r>
  <r>
    <x v="1"/>
    <x v="0"/>
    <x v="1"/>
    <x v="0"/>
    <x v="0"/>
    <x v="1"/>
    <x v="7"/>
    <x v="6"/>
    <x v="0"/>
    <x v="6"/>
    <x v="0"/>
    <n v="6.6115050710732817"/>
  </r>
  <r>
    <x v="1"/>
    <x v="0"/>
    <x v="1"/>
    <x v="0"/>
    <x v="0"/>
    <x v="1"/>
    <x v="8"/>
    <x v="6"/>
    <x v="0"/>
    <x v="6"/>
    <x v="0"/>
    <n v="14.921991153665672"/>
  </r>
  <r>
    <x v="1"/>
    <x v="0"/>
    <x v="1"/>
    <x v="0"/>
    <x v="0"/>
    <x v="1"/>
    <x v="9"/>
    <x v="6"/>
    <x v="0"/>
    <x v="6"/>
    <x v="0"/>
    <n v="1.0899975180786317"/>
  </r>
  <r>
    <x v="1"/>
    <x v="0"/>
    <x v="1"/>
    <x v="0"/>
    <x v="0"/>
    <x v="1"/>
    <x v="11"/>
    <x v="6"/>
    <x v="0"/>
    <x v="6"/>
    <x v="0"/>
    <n v="8.3929526674663819"/>
  </r>
  <r>
    <x v="1"/>
    <x v="0"/>
    <x v="1"/>
    <x v="0"/>
    <x v="0"/>
    <x v="1"/>
    <x v="12"/>
    <x v="5"/>
    <x v="0"/>
    <x v="5"/>
    <x v="0"/>
    <n v="49.004848479070773"/>
  </r>
  <r>
    <x v="1"/>
    <x v="0"/>
    <x v="2"/>
    <x v="0"/>
    <x v="0"/>
    <x v="0"/>
    <x v="0"/>
    <x v="0"/>
    <x v="0"/>
    <x v="0"/>
    <x v="0"/>
    <n v="3.5537852401351961"/>
  </r>
  <r>
    <x v="1"/>
    <x v="0"/>
    <x v="2"/>
    <x v="0"/>
    <x v="0"/>
    <x v="0"/>
    <x v="1"/>
    <x v="1"/>
    <x v="0"/>
    <x v="1"/>
    <x v="0"/>
    <n v="94.759614626630722"/>
  </r>
  <r>
    <x v="1"/>
    <x v="0"/>
    <x v="2"/>
    <x v="0"/>
    <x v="0"/>
    <x v="0"/>
    <x v="2"/>
    <x v="2"/>
    <x v="1"/>
    <x v="2"/>
    <x v="0"/>
    <n v="1.0160884899304954"/>
  </r>
  <r>
    <x v="1"/>
    <x v="0"/>
    <x v="2"/>
    <x v="0"/>
    <x v="0"/>
    <x v="0"/>
    <x v="10"/>
    <x v="2"/>
    <x v="1"/>
    <x v="2"/>
    <x v="0"/>
    <n v="31.878753410303258"/>
  </r>
  <r>
    <x v="1"/>
    <x v="0"/>
    <x v="2"/>
    <x v="0"/>
    <x v="0"/>
    <x v="0"/>
    <x v="13"/>
    <x v="2"/>
    <x v="1"/>
    <x v="2"/>
    <x v="0"/>
    <n v="75.106717872031709"/>
  </r>
  <r>
    <x v="1"/>
    <x v="0"/>
    <x v="2"/>
    <x v="0"/>
    <x v="0"/>
    <x v="0"/>
    <x v="14"/>
    <x v="3"/>
    <x v="1"/>
    <x v="3"/>
    <x v="0"/>
    <n v="1.0766948514720736"/>
  </r>
  <r>
    <x v="1"/>
    <x v="0"/>
    <x v="2"/>
    <x v="0"/>
    <x v="0"/>
    <x v="0"/>
    <x v="4"/>
    <x v="4"/>
    <x v="1"/>
    <x v="4"/>
    <x v="0"/>
    <n v="0.93967278330960791"/>
  </r>
  <r>
    <x v="1"/>
    <x v="0"/>
    <x v="2"/>
    <x v="0"/>
    <x v="0"/>
    <x v="1"/>
    <x v="5"/>
    <x v="5"/>
    <x v="0"/>
    <x v="5"/>
    <x v="0"/>
    <n v="3.7752599999999967"/>
  </r>
  <r>
    <x v="1"/>
    <x v="0"/>
    <x v="2"/>
    <x v="0"/>
    <x v="0"/>
    <x v="1"/>
    <x v="6"/>
    <x v="6"/>
    <x v="0"/>
    <x v="6"/>
    <x v="0"/>
    <n v="5.8895774527375941"/>
  </r>
  <r>
    <x v="1"/>
    <x v="0"/>
    <x v="2"/>
    <x v="0"/>
    <x v="0"/>
    <x v="1"/>
    <x v="7"/>
    <x v="6"/>
    <x v="0"/>
    <x v="6"/>
    <x v="0"/>
    <n v="1.6565242873953303"/>
  </r>
  <r>
    <x v="1"/>
    <x v="0"/>
    <x v="2"/>
    <x v="0"/>
    <x v="0"/>
    <x v="1"/>
    <x v="8"/>
    <x v="6"/>
    <x v="0"/>
    <x v="6"/>
    <x v="0"/>
    <n v="3.6859214855681013"/>
  </r>
  <r>
    <x v="1"/>
    <x v="0"/>
    <x v="2"/>
    <x v="0"/>
    <x v="0"/>
    <x v="1"/>
    <x v="9"/>
    <x v="6"/>
    <x v="0"/>
    <x v="6"/>
    <x v="0"/>
    <n v="0.27466033480854307"/>
  </r>
  <r>
    <x v="1"/>
    <x v="0"/>
    <x v="2"/>
    <x v="0"/>
    <x v="0"/>
    <x v="1"/>
    <x v="11"/>
    <x v="6"/>
    <x v="0"/>
    <x v="6"/>
    <x v="0"/>
    <n v="6.1937017515751984"/>
  </r>
  <r>
    <x v="1"/>
    <x v="0"/>
    <x v="2"/>
    <x v="0"/>
    <x v="0"/>
    <x v="1"/>
    <x v="15"/>
    <x v="6"/>
    <x v="0"/>
    <x v="6"/>
    <x v="0"/>
    <n v="114.88356702738616"/>
  </r>
  <r>
    <x v="1"/>
    <x v="0"/>
    <x v="2"/>
    <x v="0"/>
    <x v="0"/>
    <x v="1"/>
    <x v="12"/>
    <x v="5"/>
    <x v="0"/>
    <x v="5"/>
    <x v="0"/>
    <n v="48.022638080368267"/>
  </r>
  <r>
    <x v="1"/>
    <x v="0"/>
    <x v="2"/>
    <x v="0"/>
    <x v="0"/>
    <x v="1"/>
    <x v="16"/>
    <x v="5"/>
    <x v="0"/>
    <x v="5"/>
    <x v="0"/>
    <n v="34.791534825629739"/>
  </r>
  <r>
    <x v="1"/>
    <x v="0"/>
    <x v="3"/>
    <x v="0"/>
    <x v="0"/>
    <x v="0"/>
    <x v="1"/>
    <x v="1"/>
    <x v="0"/>
    <x v="1"/>
    <x v="0"/>
    <n v="94.759614626630793"/>
  </r>
  <r>
    <x v="1"/>
    <x v="0"/>
    <x v="3"/>
    <x v="0"/>
    <x v="0"/>
    <x v="0"/>
    <x v="17"/>
    <x v="7"/>
    <x v="0"/>
    <x v="0"/>
    <x v="0"/>
    <n v="5.1400719886252002"/>
  </r>
  <r>
    <x v="1"/>
    <x v="0"/>
    <x v="3"/>
    <x v="0"/>
    <x v="0"/>
    <x v="0"/>
    <x v="10"/>
    <x v="2"/>
    <x v="1"/>
    <x v="2"/>
    <x v="0"/>
    <n v="5.1729940498463378"/>
  </r>
  <r>
    <x v="1"/>
    <x v="0"/>
    <x v="3"/>
    <x v="0"/>
    <x v="0"/>
    <x v="0"/>
    <x v="13"/>
    <x v="2"/>
    <x v="1"/>
    <x v="2"/>
    <x v="0"/>
    <n v="45.325550363755895"/>
  </r>
  <r>
    <x v="1"/>
    <x v="0"/>
    <x v="3"/>
    <x v="0"/>
    <x v="0"/>
    <x v="0"/>
    <x v="18"/>
    <x v="2"/>
    <x v="1"/>
    <x v="2"/>
    <x v="0"/>
    <n v="103.00259397129886"/>
  </r>
  <r>
    <x v="1"/>
    <x v="0"/>
    <x v="3"/>
    <x v="0"/>
    <x v="0"/>
    <x v="0"/>
    <x v="14"/>
    <x v="3"/>
    <x v="1"/>
    <x v="3"/>
    <x v="0"/>
    <n v="1.0401546980782224"/>
  </r>
  <r>
    <x v="1"/>
    <x v="0"/>
    <x v="3"/>
    <x v="0"/>
    <x v="0"/>
    <x v="0"/>
    <x v="19"/>
    <x v="3"/>
    <x v="1"/>
    <x v="3"/>
    <x v="0"/>
    <n v="10.43694777585125"/>
  </r>
  <r>
    <x v="1"/>
    <x v="0"/>
    <x v="3"/>
    <x v="0"/>
    <x v="0"/>
    <x v="0"/>
    <x v="4"/>
    <x v="4"/>
    <x v="1"/>
    <x v="4"/>
    <x v="0"/>
    <n v="1.1815943019338595"/>
  </r>
  <r>
    <x v="1"/>
    <x v="0"/>
    <x v="3"/>
    <x v="0"/>
    <x v="0"/>
    <x v="1"/>
    <x v="5"/>
    <x v="5"/>
    <x v="0"/>
    <x v="5"/>
    <x v="0"/>
    <n v="-8.5510773065574844E-16"/>
  </r>
  <r>
    <x v="1"/>
    <x v="0"/>
    <x v="3"/>
    <x v="0"/>
    <x v="0"/>
    <x v="1"/>
    <x v="6"/>
    <x v="6"/>
    <x v="0"/>
    <x v="6"/>
    <x v="0"/>
    <n v="-9.3958111132711369E-16"/>
  </r>
  <r>
    <x v="1"/>
    <x v="0"/>
    <x v="3"/>
    <x v="0"/>
    <x v="0"/>
    <x v="1"/>
    <x v="7"/>
    <x v="6"/>
    <x v="0"/>
    <x v="6"/>
    <x v="0"/>
    <n v="-3.2159164220502116E-16"/>
  </r>
  <r>
    <x v="1"/>
    <x v="0"/>
    <x v="3"/>
    <x v="0"/>
    <x v="0"/>
    <x v="1"/>
    <x v="8"/>
    <x v="6"/>
    <x v="0"/>
    <x v="6"/>
    <x v="0"/>
    <n v="-7.246926868122369E-16"/>
  </r>
  <r>
    <x v="1"/>
    <x v="0"/>
    <x v="3"/>
    <x v="0"/>
    <x v="0"/>
    <x v="1"/>
    <x v="11"/>
    <x v="6"/>
    <x v="0"/>
    <x v="6"/>
    <x v="0"/>
    <n v="5.0767895675817876"/>
  </r>
  <r>
    <x v="1"/>
    <x v="0"/>
    <x v="3"/>
    <x v="0"/>
    <x v="0"/>
    <x v="1"/>
    <x v="15"/>
    <x v="6"/>
    <x v="0"/>
    <x v="6"/>
    <x v="0"/>
    <n v="106.68782551917299"/>
  </r>
  <r>
    <x v="1"/>
    <x v="0"/>
    <x v="3"/>
    <x v="0"/>
    <x v="0"/>
    <x v="1"/>
    <x v="20"/>
    <x v="6"/>
    <x v="0"/>
    <x v="6"/>
    <x v="0"/>
    <n v="37.794564296903779"/>
  </r>
  <r>
    <x v="1"/>
    <x v="0"/>
    <x v="3"/>
    <x v="0"/>
    <x v="0"/>
    <x v="1"/>
    <x v="12"/>
    <x v="5"/>
    <x v="0"/>
    <x v="5"/>
    <x v="0"/>
    <n v="47.925747531941873"/>
  </r>
  <r>
    <x v="1"/>
    <x v="0"/>
    <x v="3"/>
    <x v="0"/>
    <x v="0"/>
    <x v="1"/>
    <x v="16"/>
    <x v="5"/>
    <x v="0"/>
    <x v="5"/>
    <x v="0"/>
    <n v="34.284115378987536"/>
  </r>
  <r>
    <x v="1"/>
    <x v="0"/>
    <x v="3"/>
    <x v="0"/>
    <x v="0"/>
    <x v="1"/>
    <x v="21"/>
    <x v="5"/>
    <x v="0"/>
    <x v="5"/>
    <x v="0"/>
    <n v="41.30139538131453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x v="0"/>
    <x v="0"/>
    <x v="0"/>
    <x v="0"/>
    <x v="0"/>
  </r>
  <r>
    <x v="0"/>
    <x v="0"/>
    <x v="1"/>
    <x v="0"/>
    <x v="0"/>
    <x v="0"/>
    <x v="0"/>
    <x v="1"/>
  </r>
  <r>
    <x v="0"/>
    <x v="0"/>
    <x v="2"/>
    <x v="0"/>
    <x v="0"/>
    <x v="0"/>
    <x v="0"/>
    <x v="2"/>
  </r>
  <r>
    <x v="0"/>
    <x v="0"/>
    <x v="3"/>
    <x v="0"/>
    <x v="0"/>
    <x v="0"/>
    <x v="0"/>
    <x v="3"/>
  </r>
  <r>
    <x v="1"/>
    <x v="0"/>
    <x v="0"/>
    <x v="0"/>
    <x v="0"/>
    <x v="0"/>
    <x v="0"/>
    <x v="0"/>
  </r>
  <r>
    <x v="1"/>
    <x v="0"/>
    <x v="1"/>
    <x v="0"/>
    <x v="0"/>
    <x v="0"/>
    <x v="0"/>
    <x v="4"/>
  </r>
  <r>
    <x v="1"/>
    <x v="0"/>
    <x v="2"/>
    <x v="0"/>
    <x v="0"/>
    <x v="0"/>
    <x v="0"/>
    <x v="5"/>
  </r>
  <r>
    <x v="1"/>
    <x v="0"/>
    <x v="3"/>
    <x v="0"/>
    <x v="0"/>
    <x v="0"/>
    <x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4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 fieldListSortAscending="1">
  <location ref="P6:U28" firstHeaderRow="1" firstDataRow="2" firstDataCol="1" rowPageCount="2" colPageCount="1"/>
  <pivotFields count="13">
    <pivotField axis="axisRow" showAll="0">
      <items count="27">
        <item m="1" x="25"/>
        <item m="1" x="24"/>
        <item m="1" x="23"/>
        <item m="1" x="22"/>
        <item m="1" x="21"/>
        <item m="1" x="20"/>
        <item m="1" x="16"/>
        <item m="1" x="17"/>
        <item m="1" x="18"/>
        <item m="1" x="19"/>
        <item m="1" x="5"/>
        <item m="1" x="13"/>
        <item m="1" x="15"/>
        <item m="1" x="11"/>
        <item m="1" x="14"/>
        <item m="1" x="12"/>
        <item m="1" x="9"/>
        <item m="1" x="10"/>
        <item m="1" x="2"/>
        <item m="1" x="6"/>
        <item m="1" x="7"/>
        <item m="1" x="8"/>
        <item m="1" x="3"/>
        <item m="1" x="4"/>
        <item x="0"/>
        <item x="1"/>
        <item t="default"/>
      </items>
    </pivotField>
    <pivotField axis="axisRow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multipleItemSelectionAllowed="1" showAll="0"/>
    <pivotField showAll="0"/>
    <pivotField showAll="0"/>
    <pivotField axis="axisPage" multipleItemSelectionAllowed="1" showAll="0">
      <items count="26">
        <item m="1" x="11"/>
        <item x="3"/>
        <item x="5"/>
        <item m="1" x="13"/>
        <item x="8"/>
        <item m="1" x="10"/>
        <item m="1" x="18"/>
        <item x="9"/>
        <item x="0"/>
        <item m="1" x="14"/>
        <item x="6"/>
        <item x="1"/>
        <item x="2"/>
        <item x="7"/>
        <item m="1" x="12"/>
        <item m="1" x="15"/>
        <item m="1" x="16"/>
        <item m="1" x="17"/>
        <item x="4"/>
        <item m="1" x="19"/>
        <item m="1" x="20"/>
        <item m="1" x="21"/>
        <item m="1" x="22"/>
        <item m="1" x="23"/>
        <item m="1" x="24"/>
        <item t="default"/>
      </items>
    </pivotField>
    <pivotField axis="axisRow" showAll="0">
      <items count="5">
        <item h="1" m="1" x="3"/>
        <item x="0"/>
        <item h="1" m="1" x="2"/>
        <item h="1" x="1"/>
        <item t="default"/>
      </items>
    </pivotField>
    <pivotField axis="axisCol" multipleItemSelectionAllowed="1" showAll="0">
      <items count="15">
        <item m="1" x="9"/>
        <item m="1" x="8"/>
        <item x="0"/>
        <item x="2"/>
        <item m="1" x="13"/>
        <item x="5"/>
        <item x="1"/>
        <item m="1" x="7"/>
        <item m="1" x="12"/>
        <item x="3"/>
        <item x="6"/>
        <item m="1" x="10"/>
        <item x="4"/>
        <item m="1" x="11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4">
    <field x="0"/>
    <field x="8"/>
    <field x="2"/>
    <field x="1"/>
  </rowFields>
  <rowItems count="21">
    <i>
      <x v="24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>
      <x v="25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 t="grand">
      <x/>
    </i>
  </rowItems>
  <colFields count="1">
    <field x="9"/>
  </colFields>
  <colItems count="5">
    <i>
      <x v="2"/>
    </i>
    <i>
      <x v="6"/>
    </i>
    <i>
      <x v="9"/>
    </i>
    <i>
      <x v="12"/>
    </i>
    <i t="grand">
      <x/>
    </i>
  </colItems>
  <pageFields count="2">
    <pageField fld="7" hier="-1"/>
    <pageField fld="10" hier="-1"/>
  </pageFields>
  <dataFields count="1">
    <dataField name="Sum of Value" fld="12" baseField="0" baseItem="12"/>
  </dataFields>
  <chartFormats count="4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45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fieldListSortAscending="1">
  <location ref="O4:W28" firstHeaderRow="1" firstDataRow="2" firstDataCol="1" rowPageCount="2" colPageCount="1"/>
  <pivotFields count="12">
    <pivotField axis="axisRow" showAll="0">
      <items count="29">
        <item m="1" x="24"/>
        <item m="1" x="26"/>
        <item m="1" x="27"/>
        <item m="1" x="25"/>
        <item m="1" x="23"/>
        <item m="1" x="22"/>
        <item m="1" x="21"/>
        <item m="1" x="20"/>
        <item m="1" x="16"/>
        <item m="1" x="17"/>
        <item m="1" x="18"/>
        <item m="1" x="19"/>
        <item m="1" x="11"/>
        <item m="1" x="13"/>
        <item m="1" x="15"/>
        <item m="1" x="10"/>
        <item m="1" x="14"/>
        <item m="1" x="12"/>
        <item m="1" x="8"/>
        <item m="1" x="9"/>
        <item m="1" x="2"/>
        <item m="1" x="5"/>
        <item m="1" x="6"/>
        <item m="1" x="7"/>
        <item m="1" x="3"/>
        <item m="1" x="4"/>
        <item x="0"/>
        <item x="1"/>
        <item t="default"/>
      </items>
    </pivotField>
    <pivotField axis="axisPage" showAll="0">
      <items count="6">
        <item m="1" x="1"/>
        <item m="1" x="2"/>
        <item m="1" x="3"/>
        <item x="0"/>
        <item m="1" x="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Page" showAll="0">
      <items count="25">
        <item m="1" x="10"/>
        <item x="2"/>
        <item x="3"/>
        <item x="7"/>
        <item x="4"/>
        <item x="5"/>
        <item x="1"/>
        <item x="6"/>
        <item m="1" x="9"/>
        <item m="1" x="11"/>
        <item m="1" x="12"/>
        <item m="1" x="13"/>
        <item m="1" x="14"/>
        <item m="1" x="15"/>
        <item x="0"/>
        <item m="1" x="16"/>
        <item m="1" x="8"/>
        <item m="1" x="22"/>
        <item m="1" x="18"/>
        <item m="1" x="19"/>
        <item m="1" x="20"/>
        <item m="1" x="17"/>
        <item m="1" x="21"/>
        <item m="1" x="23"/>
        <item t="default"/>
      </items>
    </pivotField>
    <pivotField axis="axisRow" showAll="0">
      <items count="4">
        <item x="0"/>
        <item x="1"/>
        <item h="1" m="1" x="2"/>
        <item t="default"/>
      </items>
    </pivotField>
    <pivotField axis="axisCol" showAll="0">
      <items count="13">
        <item x="0"/>
        <item x="2"/>
        <item m="1" x="8"/>
        <item x="3"/>
        <item x="1"/>
        <item m="1" x="7"/>
        <item m="1" x="11"/>
        <item x="5"/>
        <item m="1" x="10"/>
        <item x="6"/>
        <item m="1" x="9"/>
        <item x="4"/>
        <item t="default"/>
      </items>
    </pivotField>
    <pivotField showAll="0"/>
    <pivotField dataField="1" showAll="0"/>
  </pivotFields>
  <rowFields count="3">
    <field x="0"/>
    <field x="8"/>
    <field x="2"/>
  </rowFields>
  <rowItems count="23">
    <i>
      <x v="2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7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8">
    <i>
      <x/>
    </i>
    <i>
      <x v="1"/>
    </i>
    <i>
      <x v="3"/>
    </i>
    <i>
      <x v="4"/>
    </i>
    <i>
      <x v="7"/>
    </i>
    <i>
      <x v="9"/>
    </i>
    <i>
      <x v="11"/>
    </i>
    <i t="grand">
      <x/>
    </i>
  </colItems>
  <pageFields count="2">
    <pageField fld="7" hier="-1"/>
    <pageField fld="1" hier="-1"/>
  </pageFields>
  <dataFields count="1">
    <dataField name="Sum of Value" fld="11" baseField="0" baseItem="0"/>
  </dataFields>
  <chartFormats count="1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4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fieldListSortAscending="1">
  <location ref="K6:Q18" firstHeaderRow="1" firstDataRow="2" firstDataCol="1"/>
  <pivotFields count="8">
    <pivotField axis="axisRow" showAll="0">
      <items count="9">
        <item m="1" x="2"/>
        <item m="1" x="5"/>
        <item m="1" x="6"/>
        <item m="1" x="7"/>
        <item m="1" x="3"/>
        <item m="1" x="4"/>
        <item x="0"/>
        <item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6">
        <item x="0"/>
        <item x="1"/>
        <item x="3"/>
        <item x="2"/>
        <item x="4"/>
        <item t="default"/>
      </items>
    </pivotField>
    <pivotField showAll="0"/>
    <pivotField dataField="1" showAll="0"/>
  </pivotFields>
  <rowFields count="2">
    <field x="0"/>
    <field x="2"/>
  </rowFields>
  <rowItems count="11">
    <i>
      <x v="6"/>
    </i>
    <i r="1">
      <x/>
    </i>
    <i r="1">
      <x v="1"/>
    </i>
    <i r="1">
      <x v="2"/>
    </i>
    <i r="1">
      <x v="3"/>
    </i>
    <i>
      <x v="7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4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fieldListSortAscending="1">
  <location ref="K6:L25" firstHeaderRow="1" firstDataRow="1" firstDataCol="1"/>
  <pivotFields count="8">
    <pivotField axis="axisRow" showAll="0">
      <items count="4">
        <item x="1"/>
        <item x="0"/>
        <item m="1"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4">
        <item x="0"/>
        <item m="1" x="1"/>
        <item m="1" x="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19">
    <i>
      <x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>
      <x v="1"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4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R15" firstHeaderRow="1" firstDataRow="2" firstDataCol="1"/>
  <pivotFields count="11">
    <pivotField axis="axisRow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11">
    <i>
      <x/>
    </i>
    <i r="1">
      <x/>
    </i>
    <i r="2">
      <x/>
    </i>
    <i r="2">
      <x v="3"/>
    </i>
    <i>
      <x v="1"/>
    </i>
    <i r="1">
      <x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10" baseField="0" baseItem="0"/>
  </dataFields>
  <chartFormats count="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198" tableType="queryTable" totalsRowShown="0">
  <autoFilter ref="A1:M198" xr:uid="{CCA8806C-4BDF-41AB-B21E-D78809CC581B}"/>
  <tableColumns count="13">
    <tableColumn id="12" xr3:uid="{A87EE95D-64E6-43B0-8E52-9976CF6CA5CA}" uniqueName="12" name="SC" queryTableFieldId="12" dataDxfId="36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35"/>
    <tableColumn id="16" xr3:uid="{B5FC5AC4-A970-44E8-BB41-0EF24A354DF6}" uniqueName="16" name="R" queryTableFieldId="16" dataDxfId="34"/>
    <tableColumn id="17" xr3:uid="{B0C78441-0175-4D0E-8735-145FD4CD0A9D}" uniqueName="17" name="A" queryTableFieldId="17" dataDxfId="33"/>
    <tableColumn id="18" xr3:uid="{3B5FE575-3E7C-486B-810C-209D48F1579F}" uniqueName="18" name="G" queryTableFieldId="18" dataDxfId="32"/>
    <tableColumn id="19" xr3:uid="{10C5B027-2913-42AA-93F5-BA53E73A2829}" uniqueName="19" name="F" queryTableFieldId="19" dataDxfId="31"/>
    <tableColumn id="20" xr3:uid="{82AEDD69-2645-4593-BE9E-B92D84E8E4A8}" uniqueName="20" name="Commodity" queryTableFieldId="20" dataDxfId="30"/>
    <tableColumn id="21" xr3:uid="{C0B7007E-6AB4-4423-B252-2D4709139BCE}" uniqueName="21" name="Tech" queryTableFieldId="21" dataDxfId="29"/>
    <tableColumn id="22" xr3:uid="{C1AD6756-CE3C-4D21-AA8B-DA067571614A}" uniqueName="22" name="Var" queryTableFieldId="22" dataDxfId="28"/>
    <tableColumn id="23" xr3:uid="{316EBCF8-D00C-4BFF-9AC8-0861DB5BE9F1}" uniqueName="23" name="Unit" queryTableFieldId="23" dataDxfId="27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112" tableType="queryTable" totalsRowShown="0">
  <autoFilter ref="A1:L112" xr:uid="{88BB2D17-A45E-4248-BBB5-D7A5E6952AB9}"/>
  <tableColumns count="12">
    <tableColumn id="1" xr3:uid="{140A7DBF-E6F7-47BA-9234-FCE7041095D7}" uniqueName="1" name="SC" queryTableFieldId="1" dataDxfId="26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25"/>
    <tableColumn id="5" xr3:uid="{D4011418-7A13-46B4-A5CF-9077A36B709D}" uniqueName="5" name="R" queryTableFieldId="5" dataDxfId="24"/>
    <tableColumn id="6" xr3:uid="{8A65D2DE-E04B-4790-8955-03167059A2AA}" uniqueName="6" name="A" queryTableFieldId="6" dataDxfId="23"/>
    <tableColumn id="7" xr3:uid="{8DC058C2-7D1D-43B2-A9AB-5E4729719728}" uniqueName="7" name="G" queryTableFieldId="7" dataDxfId="22"/>
    <tableColumn id="8" xr3:uid="{5A4B5E12-7101-4A59-88FE-60F3339D5C0D}" uniqueName="8" name="F" queryTableFieldId="8" dataDxfId="21"/>
    <tableColumn id="9" xr3:uid="{83DE7851-93C1-4BBA-9981-873079B4A690}" uniqueName="9" name="Commodity" queryTableFieldId="9" dataDxfId="20"/>
    <tableColumn id="10" xr3:uid="{35CD9127-C3ED-42D4-85B2-840B5405D4D8}" uniqueName="10" name="Tech" queryTableFieldId="10" dataDxfId="19"/>
    <tableColumn id="11" xr3:uid="{353DF4D7-FDEE-4117-92BE-205A17E4DF16}" uniqueName="11" name="Unit" queryTableFieldId="11" dataDxfId="18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39" tableType="queryTable" totalsRowShown="0">
  <autoFilter ref="A1:H39" xr:uid="{CD7F178F-8465-4916-A027-26B7DD9D98E7}"/>
  <tableColumns count="8">
    <tableColumn id="1" xr3:uid="{924C8124-AA83-4B80-995C-624ED9DC678D}" uniqueName="1" name="SC" queryTableFieldId="1" dataDxfId="17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16"/>
    <tableColumn id="5" xr3:uid="{06E85795-8847-4A66-B809-7D8C405441F2}" uniqueName="5" name="R" queryTableFieldId="5" dataDxfId="15"/>
    <tableColumn id="6" xr3:uid="{AFE4840F-E1F7-49A7-BB52-1EA4F150D6B0}" uniqueName="6" name="Var" queryTableFieldId="6" dataDxfId="14"/>
    <tableColumn id="7" xr3:uid="{79F780C3-ABE4-4044-9E83-F39DF2111C93}" uniqueName="7" name="Unit" queryTableFieldId="7" dataDxfId="13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9" tableType="queryTable" totalsRowShown="0">
  <autoFilter ref="A1:H9" xr:uid="{5871C3E5-C841-402D-957B-0C86FD322F7A}"/>
  <tableColumns count="8">
    <tableColumn id="7" xr3:uid="{9BDA21A7-E76B-44E0-9F2E-AF61F8D319EE}" uniqueName="7" name="SC" queryTableFieldId="7" dataDxfId="12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11"/>
    <tableColumn id="11" xr3:uid="{62C890E1-5108-4F86-82C0-4F024B0944CE}" uniqueName="11" name="R" queryTableFieldId="11" dataDxfId="10"/>
    <tableColumn id="12" xr3:uid="{A248EEFD-56D4-40E8-B4B8-69479C69727F}" uniqueName="12" name="Type" queryTableFieldId="12" dataDxfId="9"/>
    <tableColumn id="13" xr3:uid="{271AEA7A-E306-42B3-A387-E65A4AB5CD35}" uniqueName="13" name="Unit" queryTableFieldId="13" dataDxfId="8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7" tableType="queryTable" totalsRowShown="0">
  <autoFilter ref="A1:K7" xr:uid="{43573979-2DCC-416A-8662-A4951EB0033D}"/>
  <tableColumns count="11">
    <tableColumn id="1" xr3:uid="{21779955-9268-4AB1-8271-CC772D829952}" uniqueName="1" name="SC" queryTableFieldId="1" dataDxfId="7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6"/>
    <tableColumn id="5" xr3:uid="{5B04FE08-B956-411C-A37F-B2A247AF2843}" uniqueName="5" name="R" queryTableFieldId="5" dataDxfId="5"/>
    <tableColumn id="6" xr3:uid="{8D39DF00-2602-43AF-9C57-4243D91CDF51}" uniqueName="6" name="A" queryTableFieldId="6" dataDxfId="4"/>
    <tableColumn id="7" xr3:uid="{799A6035-1185-4E95-9EAD-7DA9E4DFA905}" uniqueName="7" name="G" queryTableFieldId="7" dataDxfId="3"/>
    <tableColumn id="8" xr3:uid="{B906439C-3D2A-4E42-8A48-76E6500D4903}" uniqueName="8" name="F" queryTableFieldId="8" dataDxfId="2"/>
    <tableColumn id="9" xr3:uid="{338A363A-82D5-4348-B50C-B0E91B98A32E}" uniqueName="9" name="Tech" queryTableFieldId="9" dataDxfId="1"/>
    <tableColumn id="10" xr3:uid="{0CAD7D16-A6AC-43CC-9F76-0D47DE189DE0}" uniqueName="10" name="Unit" queryTableFieldId="10" dataDxfId="0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3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09"/>
  <sheetViews>
    <sheetView zoomScaleNormal="100" workbookViewId="0">
      <selection activeCell="Q47" sqref="Q47"/>
    </sheetView>
  </sheetViews>
  <sheetFormatPr defaultRowHeight="14.4" x14ac:dyDescent="0.3"/>
  <cols>
    <col min="1" max="16384" width="8.88671875" style="9"/>
  </cols>
  <sheetData>
    <row r="2" spans="1:11" ht="28.2" x14ac:dyDescent="0.6">
      <c r="B2" s="22" t="s">
        <v>101</v>
      </c>
    </row>
    <row r="4" spans="1:11" s="7" customFormat="1" ht="28.2" x14ac:dyDescent="0.6">
      <c r="B4" s="8" t="s">
        <v>87</v>
      </c>
    </row>
    <row r="7" spans="1:11" ht="19.2" x14ac:dyDescent="0.4">
      <c r="B7" s="24" t="s">
        <v>107</v>
      </c>
    </row>
    <row r="8" spans="1:11" ht="19.2" x14ac:dyDescent="0.4">
      <c r="B8" s="18" t="s">
        <v>90</v>
      </c>
      <c r="C8" s="18"/>
      <c r="D8" s="18"/>
      <c r="E8" s="18"/>
    </row>
    <row r="9" spans="1:11" ht="17.399999999999999" x14ac:dyDescent="0.4">
      <c r="B9" s="18" t="s">
        <v>89</v>
      </c>
      <c r="C9" s="18"/>
      <c r="D9" s="18"/>
      <c r="E9" s="18"/>
    </row>
    <row r="10" spans="1:11" ht="17.399999999999999" x14ac:dyDescent="0.4">
      <c r="B10" s="18" t="s">
        <v>108</v>
      </c>
      <c r="C10" s="18"/>
      <c r="D10" s="18"/>
      <c r="E10" s="18"/>
    </row>
    <row r="11" spans="1:11" ht="17.399999999999999" x14ac:dyDescent="0.4">
      <c r="B11" s="18" t="s">
        <v>109</v>
      </c>
      <c r="C11" s="18"/>
      <c r="D11" s="18"/>
      <c r="E11" s="18"/>
    </row>
    <row r="12" spans="1:11" ht="19.2" x14ac:dyDescent="0.4">
      <c r="B12" s="18" t="s">
        <v>91</v>
      </c>
      <c r="C12" s="18"/>
      <c r="D12" s="19" t="s">
        <v>88</v>
      </c>
      <c r="E12" s="18"/>
    </row>
    <row r="13" spans="1:11" ht="15.6" x14ac:dyDescent="0.35">
      <c r="B13" s="20"/>
      <c r="C13" s="20"/>
      <c r="D13" s="20"/>
      <c r="E13" s="20"/>
    </row>
    <row r="14" spans="1:11" x14ac:dyDescent="0.3">
      <c r="A14" s="9">
        <v>1</v>
      </c>
      <c r="B14" s="10" t="s">
        <v>103</v>
      </c>
      <c r="C14" s="11"/>
      <c r="D14" s="11"/>
      <c r="E14" s="11"/>
      <c r="F14" s="11"/>
      <c r="G14" s="11"/>
      <c r="H14" s="11"/>
      <c r="I14" s="11"/>
      <c r="J14" s="11"/>
      <c r="K14" s="12"/>
    </row>
    <row r="15" spans="1:11" x14ac:dyDescent="0.3">
      <c r="A15" s="9">
        <v>2</v>
      </c>
      <c r="B15" s="13" t="s">
        <v>96</v>
      </c>
      <c r="K15" s="14"/>
    </row>
    <row r="16" spans="1:11" x14ac:dyDescent="0.3">
      <c r="A16" s="9">
        <v>3</v>
      </c>
      <c r="B16" s="13" t="s">
        <v>97</v>
      </c>
      <c r="K16" s="14"/>
    </row>
    <row r="17" spans="1:11" x14ac:dyDescent="0.3">
      <c r="A17" s="9">
        <v>4</v>
      </c>
      <c r="B17" s="13" t="s">
        <v>92</v>
      </c>
      <c r="K17" s="14"/>
    </row>
    <row r="18" spans="1:11" x14ac:dyDescent="0.3">
      <c r="A18" s="9">
        <v>5</v>
      </c>
      <c r="B18" s="13" t="s">
        <v>93</v>
      </c>
      <c r="K18" s="14"/>
    </row>
    <row r="19" spans="1:11" x14ac:dyDescent="0.3">
      <c r="A19" s="9">
        <v>6</v>
      </c>
      <c r="B19" s="15" t="s">
        <v>122</v>
      </c>
      <c r="C19" s="16"/>
      <c r="D19" s="16"/>
      <c r="E19" s="16"/>
      <c r="F19" s="16"/>
      <c r="G19" s="16"/>
      <c r="H19" s="16"/>
      <c r="I19" s="16"/>
      <c r="J19" s="16"/>
      <c r="K19" s="17"/>
    </row>
    <row r="20" spans="1:11" ht="17.399999999999999" x14ac:dyDescent="0.4">
      <c r="B20" s="18" t="s">
        <v>94</v>
      </c>
    </row>
    <row r="21" spans="1:11" ht="17.399999999999999" x14ac:dyDescent="0.4">
      <c r="B21" s="18" t="s">
        <v>104</v>
      </c>
    </row>
    <row r="22" spans="1:11" ht="17.399999999999999" x14ac:dyDescent="0.4">
      <c r="B22" s="18" t="s">
        <v>105</v>
      </c>
    </row>
    <row r="23" spans="1:11" ht="17.399999999999999" x14ac:dyDescent="0.4">
      <c r="B23" s="18"/>
    </row>
    <row r="24" spans="1:11" x14ac:dyDescent="0.3">
      <c r="B24" s="21"/>
    </row>
    <row r="25" spans="1:11" x14ac:dyDescent="0.3">
      <c r="A25" s="9">
        <v>1</v>
      </c>
      <c r="B25" s="10" t="s">
        <v>95</v>
      </c>
      <c r="C25" s="11"/>
      <c r="D25" s="11"/>
      <c r="E25" s="11"/>
      <c r="F25" s="11"/>
      <c r="G25" s="11"/>
      <c r="H25" s="11"/>
      <c r="I25" s="11"/>
      <c r="J25" s="11"/>
      <c r="K25" s="12"/>
    </row>
    <row r="26" spans="1:11" x14ac:dyDescent="0.3">
      <c r="A26" s="9">
        <v>2</v>
      </c>
      <c r="B26" s="13" t="s">
        <v>100</v>
      </c>
      <c r="K26" s="14"/>
    </row>
    <row r="27" spans="1:11" x14ac:dyDescent="0.3">
      <c r="A27" s="9">
        <v>3</v>
      </c>
      <c r="B27" s="13" t="s">
        <v>99</v>
      </c>
      <c r="K27" s="14"/>
    </row>
    <row r="28" spans="1:11" x14ac:dyDescent="0.3">
      <c r="A28" s="9">
        <v>4</v>
      </c>
      <c r="B28" s="13" t="s">
        <v>123</v>
      </c>
      <c r="K28" s="14"/>
    </row>
    <row r="29" spans="1:11" x14ac:dyDescent="0.3">
      <c r="A29" s="9">
        <v>5</v>
      </c>
      <c r="B29" s="13" t="s">
        <v>124</v>
      </c>
      <c r="K29" s="14"/>
    </row>
    <row r="30" spans="1:11" x14ac:dyDescent="0.3">
      <c r="A30" s="9">
        <v>6</v>
      </c>
      <c r="B30" s="15" t="s">
        <v>102</v>
      </c>
      <c r="C30" s="16"/>
      <c r="D30" s="16"/>
      <c r="E30" s="16"/>
      <c r="F30" s="16"/>
      <c r="G30" s="16"/>
      <c r="H30" s="16"/>
      <c r="I30" s="16"/>
      <c r="J30" s="16"/>
      <c r="K30" s="17"/>
    </row>
    <row r="31" spans="1:11" ht="17.399999999999999" x14ac:dyDescent="0.4">
      <c r="B31" s="18" t="s">
        <v>98</v>
      </c>
    </row>
    <row r="32" spans="1:11" ht="17.399999999999999" x14ac:dyDescent="0.4">
      <c r="B32" s="18" t="s">
        <v>104</v>
      </c>
    </row>
    <row r="33" spans="1:11" ht="17.399999999999999" x14ac:dyDescent="0.4">
      <c r="B33" s="18" t="s">
        <v>106</v>
      </c>
    </row>
    <row r="34" spans="1:11" ht="17.399999999999999" x14ac:dyDescent="0.4">
      <c r="B34" s="18"/>
    </row>
    <row r="36" spans="1:11" ht="19.2" x14ac:dyDescent="0.4">
      <c r="B36" s="24" t="s">
        <v>110</v>
      </c>
    </row>
    <row r="37" spans="1:11" ht="17.399999999999999" x14ac:dyDescent="0.4">
      <c r="B37" s="18" t="s">
        <v>111</v>
      </c>
    </row>
    <row r="38" spans="1:11" ht="17.399999999999999" x14ac:dyDescent="0.4">
      <c r="B38" s="18" t="s">
        <v>112</v>
      </c>
    </row>
    <row r="40" spans="1:11" x14ac:dyDescent="0.3">
      <c r="A40" s="9">
        <v>1</v>
      </c>
      <c r="B40" s="10" t="s">
        <v>113</v>
      </c>
      <c r="C40" s="11"/>
      <c r="D40" s="11"/>
      <c r="E40" s="11"/>
      <c r="F40" s="11"/>
      <c r="G40" s="11"/>
      <c r="H40" s="11"/>
      <c r="I40" s="11"/>
      <c r="J40" s="11"/>
      <c r="K40" s="12"/>
    </row>
    <row r="41" spans="1:11" x14ac:dyDescent="0.3">
      <c r="A41" s="9">
        <v>2</v>
      </c>
      <c r="B41" s="13" t="s">
        <v>114</v>
      </c>
      <c r="K41" s="14"/>
    </row>
    <row r="42" spans="1:11" x14ac:dyDescent="0.3">
      <c r="A42" s="9">
        <v>3</v>
      </c>
      <c r="B42" s="13" t="s">
        <v>97</v>
      </c>
      <c r="K42" s="14"/>
    </row>
    <row r="43" spans="1:11" x14ac:dyDescent="0.3">
      <c r="A43" s="9">
        <v>4</v>
      </c>
      <c r="B43" s="13" t="s">
        <v>115</v>
      </c>
      <c r="K43" s="14"/>
    </row>
    <row r="44" spans="1:11" x14ac:dyDescent="0.3">
      <c r="A44" s="9">
        <v>5</v>
      </c>
      <c r="B44" s="23" t="s">
        <v>118</v>
      </c>
      <c r="C44" s="16"/>
      <c r="D44" s="16"/>
      <c r="E44" s="16"/>
      <c r="F44" s="16"/>
      <c r="G44" s="16"/>
      <c r="H44" s="16"/>
      <c r="I44" s="16"/>
      <c r="J44" s="16"/>
      <c r="K44" s="17"/>
    </row>
    <row r="45" spans="1:11" ht="17.399999999999999" x14ac:dyDescent="0.4">
      <c r="B45" s="18" t="s">
        <v>116</v>
      </c>
    </row>
    <row r="46" spans="1:11" ht="17.399999999999999" x14ac:dyDescent="0.4">
      <c r="B46" s="18" t="s">
        <v>117</v>
      </c>
    </row>
    <row r="47" spans="1:11" ht="17.399999999999999" x14ac:dyDescent="0.4">
      <c r="B47" s="18" t="s">
        <v>119</v>
      </c>
    </row>
    <row r="48" spans="1:11" ht="17.399999999999999" x14ac:dyDescent="0.4">
      <c r="B48" s="18" t="s">
        <v>120</v>
      </c>
    </row>
    <row r="49" spans="1:11" x14ac:dyDescent="0.3">
      <c r="A49" s="9">
        <v>1</v>
      </c>
      <c r="B49" s="10" t="s">
        <v>102</v>
      </c>
      <c r="C49" s="11"/>
      <c r="D49" s="11"/>
      <c r="E49" s="11"/>
      <c r="F49" s="11"/>
      <c r="G49" s="11"/>
      <c r="H49" s="11"/>
      <c r="I49" s="11"/>
      <c r="J49" s="11"/>
      <c r="K49" s="12"/>
    </row>
    <row r="50" spans="1:11" x14ac:dyDescent="0.3">
      <c r="A50" s="9">
        <v>2</v>
      </c>
      <c r="B50" s="15" t="s">
        <v>121</v>
      </c>
      <c r="C50" s="16"/>
      <c r="D50" s="16"/>
      <c r="E50" s="16"/>
      <c r="F50" s="16"/>
      <c r="G50" s="16"/>
      <c r="H50" s="16"/>
      <c r="I50" s="16"/>
      <c r="J50" s="16"/>
      <c r="K50" s="17"/>
    </row>
    <row r="53" spans="1:11" s="7" customFormat="1" ht="28.2" x14ac:dyDescent="0.6">
      <c r="B53" s="8" t="s">
        <v>125</v>
      </c>
    </row>
    <row r="56" spans="1:11" ht="19.2" x14ac:dyDescent="0.4">
      <c r="B56" s="24" t="s">
        <v>126</v>
      </c>
    </row>
    <row r="58" spans="1:11" ht="17.399999999999999" x14ac:dyDescent="0.4">
      <c r="B58" s="18" t="s">
        <v>127</v>
      </c>
    </row>
    <row r="59" spans="1:11" ht="17.399999999999999" x14ac:dyDescent="0.4">
      <c r="B59" s="18" t="s">
        <v>128</v>
      </c>
    </row>
    <row r="60" spans="1:11" ht="17.399999999999999" x14ac:dyDescent="0.4">
      <c r="B60" s="18" t="s">
        <v>138</v>
      </c>
    </row>
    <row r="61" spans="1:11" ht="17.399999999999999" x14ac:dyDescent="0.4">
      <c r="B61" s="18" t="s">
        <v>129</v>
      </c>
    </row>
    <row r="62" spans="1:11" ht="17.399999999999999" x14ac:dyDescent="0.4">
      <c r="B62" s="18" t="s">
        <v>135</v>
      </c>
    </row>
    <row r="63" spans="1:11" ht="17.399999999999999" x14ac:dyDescent="0.4">
      <c r="B63" s="18" t="s">
        <v>136</v>
      </c>
    </row>
    <row r="64" spans="1:11" ht="17.399999999999999" x14ac:dyDescent="0.4">
      <c r="B64" s="18" t="s">
        <v>137</v>
      </c>
    </row>
    <row r="66" spans="2:2" ht="17.399999999999999" x14ac:dyDescent="0.4">
      <c r="B66" s="18" t="s">
        <v>130</v>
      </c>
    </row>
    <row r="67" spans="2:2" ht="17.399999999999999" x14ac:dyDescent="0.4">
      <c r="B67" s="18" t="s">
        <v>131</v>
      </c>
    </row>
    <row r="68" spans="2:2" ht="17.399999999999999" x14ac:dyDescent="0.4">
      <c r="B68" s="18" t="s">
        <v>160</v>
      </c>
    </row>
    <row r="69" spans="2:2" ht="17.399999999999999" x14ac:dyDescent="0.4">
      <c r="B69" s="18" t="s">
        <v>161</v>
      </c>
    </row>
    <row r="71" spans="2:2" ht="19.2" x14ac:dyDescent="0.4">
      <c r="B71" s="24" t="s">
        <v>158</v>
      </c>
    </row>
    <row r="73" spans="2:2" ht="17.399999999999999" x14ac:dyDescent="0.4">
      <c r="B73" s="18" t="s">
        <v>179</v>
      </c>
    </row>
    <row r="74" spans="2:2" ht="17.399999999999999" x14ac:dyDescent="0.4">
      <c r="B74" s="18" t="s">
        <v>132</v>
      </c>
    </row>
    <row r="75" spans="2:2" ht="17.399999999999999" x14ac:dyDescent="0.4">
      <c r="B75" s="18" t="s">
        <v>133</v>
      </c>
    </row>
    <row r="76" spans="2:2" ht="17.399999999999999" x14ac:dyDescent="0.4">
      <c r="B76" s="18" t="s">
        <v>140</v>
      </c>
    </row>
    <row r="77" spans="2:2" ht="17.399999999999999" x14ac:dyDescent="0.4">
      <c r="B77" s="18" t="s">
        <v>139</v>
      </c>
    </row>
    <row r="79" spans="2:2" x14ac:dyDescent="0.3">
      <c r="B79" s="9" t="s">
        <v>141</v>
      </c>
    </row>
    <row r="97" spans="2:2" x14ac:dyDescent="0.3">
      <c r="B97" s="9" t="s">
        <v>148</v>
      </c>
    </row>
    <row r="98" spans="2:2" x14ac:dyDescent="0.3">
      <c r="B98" s="13" t="s">
        <v>151</v>
      </c>
    </row>
    <row r="99" spans="2:2" x14ac:dyDescent="0.3">
      <c r="B99" s="9" t="s">
        <v>152</v>
      </c>
    </row>
    <row r="100" spans="2:2" x14ac:dyDescent="0.3">
      <c r="B100" s="9" t="s">
        <v>149</v>
      </c>
    </row>
    <row r="111" spans="2:2" x14ac:dyDescent="0.3">
      <c r="B111" s="9" t="s">
        <v>150</v>
      </c>
    </row>
    <row r="123" spans="2:2" x14ac:dyDescent="0.3">
      <c r="B123" s="9" t="s">
        <v>153</v>
      </c>
    </row>
    <row r="124" spans="2:2" x14ac:dyDescent="0.3">
      <c r="B124" s="9" t="s">
        <v>145</v>
      </c>
    </row>
    <row r="125" spans="2:2" x14ac:dyDescent="0.3">
      <c r="B125" s="9" t="s">
        <v>146</v>
      </c>
    </row>
    <row r="126" spans="2:2" x14ac:dyDescent="0.3">
      <c r="B126" s="9" t="s">
        <v>147</v>
      </c>
    </row>
    <row r="161" spans="2:2" x14ac:dyDescent="0.3">
      <c r="B161" s="9" t="s">
        <v>155</v>
      </c>
    </row>
    <row r="162" spans="2:2" x14ac:dyDescent="0.3">
      <c r="B162" s="9" t="s">
        <v>156</v>
      </c>
    </row>
    <row r="209" spans="2:2" x14ac:dyDescent="0.3">
      <c r="B209" s="9" t="s">
        <v>157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F24"/>
  <sheetViews>
    <sheetView tabSelected="1" zoomScale="85" zoomScaleNormal="85" workbookViewId="0">
      <selection activeCell="F26" sqref="F26"/>
    </sheetView>
  </sheetViews>
  <sheetFormatPr defaultRowHeight="14.4" x14ac:dyDescent="0.3"/>
  <cols>
    <col min="1" max="1" width="8.88671875" style="9"/>
    <col min="2" max="2" width="28.109375" style="9" customWidth="1"/>
    <col min="3" max="3" width="80.88671875" style="9" customWidth="1"/>
    <col min="4" max="4" width="13.109375" style="9" bestFit="1" customWidth="1"/>
    <col min="5" max="5" width="29.88671875" style="9" customWidth="1"/>
    <col min="6" max="6" width="46.77734375" style="9" customWidth="1"/>
    <col min="7" max="7" width="17.77734375" style="9" bestFit="1" customWidth="1"/>
    <col min="8" max="8" width="19.21875" style="9" bestFit="1" customWidth="1"/>
    <col min="9" max="9" width="13" style="9" bestFit="1" customWidth="1"/>
    <col min="10" max="10" width="10.109375" style="9" bestFit="1" customWidth="1"/>
    <col min="11" max="13" width="11.77734375" style="9" bestFit="1" customWidth="1"/>
    <col min="14" max="18" width="8.88671875" style="9"/>
    <col min="19" max="19" width="13.5546875" style="9" bestFit="1" customWidth="1"/>
    <col min="20" max="20" width="16.6640625" style="9" bestFit="1" customWidth="1"/>
    <col min="21" max="21" width="23.44140625" style="9" bestFit="1" customWidth="1"/>
    <col min="22" max="22" width="22.6640625" style="9" bestFit="1" customWidth="1"/>
    <col min="23" max="23" width="10.77734375" style="9" bestFit="1" customWidth="1"/>
    <col min="24" max="26" width="8.88671875" style="9"/>
    <col min="27" max="27" width="13" style="9" bestFit="1" customWidth="1"/>
    <col min="28" max="28" width="23.6640625" style="9" bestFit="1" customWidth="1"/>
    <col min="29" max="29" width="9.5546875" style="9" bestFit="1" customWidth="1"/>
    <col min="30" max="30" width="23" style="9" bestFit="1" customWidth="1"/>
    <col min="31" max="31" width="12.77734375" style="9" bestFit="1" customWidth="1"/>
    <col min="32" max="42" width="9.6640625" style="9" bestFit="1" customWidth="1"/>
    <col min="43" max="43" width="10.6640625" style="9" bestFit="1" customWidth="1"/>
    <col min="44" max="16384" width="8.88671875" style="9"/>
  </cols>
  <sheetData>
    <row r="2" spans="2:6" ht="15.6" x14ac:dyDescent="0.3">
      <c r="B2" s="32" t="s">
        <v>165</v>
      </c>
      <c r="C2" s="32" t="s">
        <v>0</v>
      </c>
      <c r="D2" s="16"/>
      <c r="E2" s="16"/>
      <c r="F2" s="16"/>
    </row>
    <row r="3" spans="2:6" x14ac:dyDescent="0.3">
      <c r="B3" s="9" t="s">
        <v>78</v>
      </c>
      <c r="C3" s="25" t="s">
        <v>184</v>
      </c>
      <c r="D3" s="27"/>
      <c r="E3" s="27"/>
      <c r="F3" s="27"/>
    </row>
    <row r="4" spans="2:6" x14ac:dyDescent="0.3">
      <c r="B4" s="9" t="s">
        <v>159</v>
      </c>
      <c r="C4" s="25" t="s">
        <v>79</v>
      </c>
      <c r="D4" s="27"/>
      <c r="E4" s="27"/>
      <c r="F4" s="27"/>
    </row>
    <row r="7" spans="2:6" ht="15.6" x14ac:dyDescent="0.3">
      <c r="B7" s="32" t="s">
        <v>164</v>
      </c>
      <c r="C7" s="32" t="s">
        <v>0</v>
      </c>
      <c r="E7" s="32" t="s">
        <v>175</v>
      </c>
      <c r="F7" s="32" t="s">
        <v>0</v>
      </c>
    </row>
    <row r="8" spans="2:6" x14ac:dyDescent="0.3">
      <c r="B8" s="9" t="s">
        <v>166</v>
      </c>
      <c r="C8" s="25" t="s">
        <v>182</v>
      </c>
      <c r="E8" s="9" t="s">
        <v>169</v>
      </c>
      <c r="F8" s="25" t="s">
        <v>80</v>
      </c>
    </row>
    <row r="9" spans="2:6" x14ac:dyDescent="0.3">
      <c r="B9" s="9" t="s">
        <v>167</v>
      </c>
      <c r="C9" s="28">
        <v>0</v>
      </c>
      <c r="E9" s="9" t="s">
        <v>37</v>
      </c>
      <c r="F9" s="29">
        <v>0</v>
      </c>
    </row>
    <row r="10" spans="2:6" x14ac:dyDescent="0.3">
      <c r="B10" s="9" t="s">
        <v>168</v>
      </c>
      <c r="C10" s="25" t="s">
        <v>180</v>
      </c>
      <c r="E10" s="9" t="s">
        <v>170</v>
      </c>
      <c r="F10" s="25" t="s">
        <v>56</v>
      </c>
    </row>
    <row r="11" spans="2:6" x14ac:dyDescent="0.3">
      <c r="E11" s="9" t="s">
        <v>171</v>
      </c>
      <c r="F11" s="26">
        <v>2050</v>
      </c>
    </row>
    <row r="12" spans="2:6" x14ac:dyDescent="0.3">
      <c r="E12" s="9" t="s">
        <v>173</v>
      </c>
      <c r="F12" s="25" t="s">
        <v>172</v>
      </c>
    </row>
    <row r="13" spans="2:6" x14ac:dyDescent="0.3">
      <c r="E13" s="9" t="s">
        <v>163</v>
      </c>
      <c r="F13" s="25" t="s">
        <v>174</v>
      </c>
    </row>
    <row r="19" spans="2:6" x14ac:dyDescent="0.3">
      <c r="C19" s="35"/>
    </row>
    <row r="20" spans="2:6" ht="18" x14ac:dyDescent="0.35">
      <c r="B20" s="30" t="s">
        <v>176</v>
      </c>
      <c r="C20" s="16"/>
      <c r="D20" s="16"/>
      <c r="E20" s="16"/>
      <c r="F20" s="16"/>
    </row>
    <row r="21" spans="2:6" x14ac:dyDescent="0.3">
      <c r="B21" s="31" t="s">
        <v>178</v>
      </c>
      <c r="C21" s="33" t="s">
        <v>177</v>
      </c>
    </row>
    <row r="23" spans="2:6" x14ac:dyDescent="0.3">
      <c r="B23" s="9" t="s">
        <v>38</v>
      </c>
    </row>
    <row r="24" spans="2:6" x14ac:dyDescent="0.3">
      <c r="B24" s="9" t="s">
        <v>77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X8481"/>
  <sheetViews>
    <sheetView workbookViewId="0">
      <selection activeCell="G8" sqref="A2:M198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6.88671875" bestFit="1" customWidth="1"/>
    <col min="7" max="7" width="43.6640625" bestFit="1" customWidth="1"/>
    <col min="8" max="8" width="11.109375" bestFit="1" customWidth="1"/>
    <col min="9" max="9" width="13" bestFit="1" customWidth="1"/>
    <col min="10" max="10" width="18.109375" bestFit="1" customWidth="1"/>
    <col min="11" max="11" width="17.5546875" bestFit="1" customWidth="1"/>
    <col min="12" max="12" width="6.664062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4.5546875" bestFit="1" customWidth="1"/>
    <col min="17" max="17" width="15.5546875" bestFit="1" customWidth="1"/>
    <col min="18" max="18" width="18.44140625" bestFit="1" customWidth="1"/>
    <col min="19" max="21" width="12" bestFit="1" customWidth="1"/>
    <col min="22" max="22" width="25.109375" bestFit="1" customWidth="1"/>
    <col min="23" max="23" width="20.21875" bestFit="1" customWidth="1"/>
    <col min="24" max="24" width="13" bestFit="1" customWidth="1"/>
    <col min="25" max="25" width="16.33203125" bestFit="1" customWidth="1"/>
    <col min="26" max="26" width="12" bestFit="1" customWidth="1"/>
    <col min="27" max="27" width="12.21875" bestFit="1" customWidth="1"/>
    <col min="28" max="28" width="14.5546875" bestFit="1" customWidth="1"/>
    <col min="29" max="30" width="12" bestFit="1" customWidth="1"/>
    <col min="31" max="32" width="18.21875" bestFit="1" customWidth="1"/>
    <col min="33" max="33" width="19.5546875" bestFit="1" customWidth="1"/>
    <col min="34" max="36" width="24.109375" bestFit="1" customWidth="1"/>
    <col min="37" max="37" width="14.44140625" bestFit="1" customWidth="1"/>
    <col min="38" max="38" width="12" bestFit="1" customWidth="1"/>
    <col min="39" max="41" width="42.21875" bestFit="1" customWidth="1"/>
    <col min="42" max="42" width="14.44140625" bestFit="1" customWidth="1"/>
    <col min="43" max="43" width="12" bestFit="1" customWidth="1"/>
    <col min="44" max="44" width="6" bestFit="1" customWidth="1"/>
    <col min="45" max="45" width="7" bestFit="1" customWidth="1"/>
    <col min="46" max="47" width="8" bestFit="1" customWidth="1"/>
    <col min="48" max="49" width="9" bestFit="1" customWidth="1"/>
    <col min="50" max="51" width="8" bestFit="1" customWidth="1"/>
    <col min="52" max="52" width="12" bestFit="1" customWidth="1"/>
    <col min="53" max="54" width="7" bestFit="1" customWidth="1"/>
    <col min="55" max="55" width="5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1" x14ac:dyDescent="0.3">
      <c r="A2" s="34" t="s">
        <v>80</v>
      </c>
      <c r="B2">
        <v>-1</v>
      </c>
      <c r="C2">
        <v>2020</v>
      </c>
      <c r="D2" s="34" t="s">
        <v>55</v>
      </c>
      <c r="E2" s="34" t="s">
        <v>56</v>
      </c>
      <c r="F2" s="34" t="s">
        <v>57</v>
      </c>
      <c r="G2" s="34" t="s">
        <v>43</v>
      </c>
      <c r="H2" s="34" t="s">
        <v>40</v>
      </c>
      <c r="I2" s="34" t="s">
        <v>19</v>
      </c>
      <c r="J2" s="34" t="s">
        <v>27</v>
      </c>
      <c r="K2" s="34" t="s">
        <v>46</v>
      </c>
      <c r="L2" s="34" t="s">
        <v>47</v>
      </c>
      <c r="M2">
        <v>25.75</v>
      </c>
    </row>
    <row r="3" spans="1:21" x14ac:dyDescent="0.3">
      <c r="A3" s="34" t="s">
        <v>80</v>
      </c>
      <c r="B3">
        <v>-1</v>
      </c>
      <c r="C3">
        <v>2020</v>
      </c>
      <c r="D3" s="34" t="s">
        <v>55</v>
      </c>
      <c r="E3" s="34" t="s">
        <v>56</v>
      </c>
      <c r="F3" s="34" t="s">
        <v>57</v>
      </c>
      <c r="G3" s="34" t="s">
        <v>43</v>
      </c>
      <c r="H3" s="34" t="s">
        <v>40</v>
      </c>
      <c r="I3" s="34" t="s">
        <v>19</v>
      </c>
      <c r="J3" s="34" t="s">
        <v>27</v>
      </c>
      <c r="K3" s="34" t="s">
        <v>48</v>
      </c>
      <c r="L3" s="34" t="s">
        <v>47</v>
      </c>
      <c r="M3">
        <v>-25.75</v>
      </c>
      <c r="P3" s="1" t="s">
        <v>7</v>
      </c>
      <c r="Q3" t="s">
        <v>51</v>
      </c>
    </row>
    <row r="4" spans="1:21" x14ac:dyDescent="0.3">
      <c r="A4" s="34" t="s">
        <v>80</v>
      </c>
      <c r="B4">
        <v>-1</v>
      </c>
      <c r="C4">
        <v>2020</v>
      </c>
      <c r="D4" s="34" t="s">
        <v>55</v>
      </c>
      <c r="E4" s="34" t="s">
        <v>56</v>
      </c>
      <c r="F4" s="34" t="s">
        <v>57</v>
      </c>
      <c r="G4" s="34" t="s">
        <v>44</v>
      </c>
      <c r="H4" s="34" t="s">
        <v>45</v>
      </c>
      <c r="I4" s="34" t="s">
        <v>19</v>
      </c>
      <c r="J4" s="34" t="s">
        <v>27</v>
      </c>
      <c r="K4" s="34" t="s">
        <v>46</v>
      </c>
      <c r="L4" s="34" t="s">
        <v>47</v>
      </c>
      <c r="M4">
        <v>1.7</v>
      </c>
      <c r="P4" s="1" t="s">
        <v>50</v>
      </c>
      <c r="Q4" t="s">
        <v>51</v>
      </c>
    </row>
    <row r="5" spans="1:21" x14ac:dyDescent="0.3">
      <c r="A5" s="34" t="s">
        <v>80</v>
      </c>
      <c r="B5">
        <v>-1</v>
      </c>
      <c r="C5">
        <v>2020</v>
      </c>
      <c r="D5" s="34" t="s">
        <v>55</v>
      </c>
      <c r="E5" s="34" t="s">
        <v>56</v>
      </c>
      <c r="F5" s="34" t="s">
        <v>57</v>
      </c>
      <c r="G5" s="34" t="s">
        <v>31</v>
      </c>
      <c r="H5" s="34" t="s">
        <v>18</v>
      </c>
      <c r="I5" s="34" t="s">
        <v>19</v>
      </c>
      <c r="J5" s="34" t="s">
        <v>32</v>
      </c>
      <c r="K5" s="34" t="s">
        <v>46</v>
      </c>
      <c r="L5" s="34" t="s">
        <v>47</v>
      </c>
      <c r="M5">
        <v>31.5</v>
      </c>
    </row>
    <row r="6" spans="1:21" x14ac:dyDescent="0.3">
      <c r="A6" s="34" t="s">
        <v>80</v>
      </c>
      <c r="B6">
        <v>-1</v>
      </c>
      <c r="C6">
        <v>2020</v>
      </c>
      <c r="D6" s="34" t="s">
        <v>55</v>
      </c>
      <c r="E6" s="34" t="s">
        <v>56</v>
      </c>
      <c r="F6" s="34" t="s">
        <v>57</v>
      </c>
      <c r="G6" s="34" t="s">
        <v>54</v>
      </c>
      <c r="H6" s="34" t="s">
        <v>39</v>
      </c>
      <c r="I6" s="34" t="s">
        <v>19</v>
      </c>
      <c r="J6" s="34" t="s">
        <v>27</v>
      </c>
      <c r="K6" s="34" t="s">
        <v>46</v>
      </c>
      <c r="L6" s="34" t="s">
        <v>47</v>
      </c>
      <c r="M6">
        <v>20</v>
      </c>
      <c r="P6" s="1" t="s">
        <v>35</v>
      </c>
      <c r="Q6" s="1" t="s">
        <v>36</v>
      </c>
    </row>
    <row r="7" spans="1:21" x14ac:dyDescent="0.3">
      <c r="A7" s="34" t="s">
        <v>80</v>
      </c>
      <c r="B7">
        <v>-1</v>
      </c>
      <c r="C7">
        <v>2020</v>
      </c>
      <c r="D7" s="34" t="s">
        <v>55</v>
      </c>
      <c r="E7" s="34" t="s">
        <v>56</v>
      </c>
      <c r="F7" s="34" t="s">
        <v>57</v>
      </c>
      <c r="G7" s="34" t="s">
        <v>54</v>
      </c>
      <c r="H7" s="34" t="s">
        <v>39</v>
      </c>
      <c r="I7" s="34" t="s">
        <v>19</v>
      </c>
      <c r="J7" s="34" t="s">
        <v>27</v>
      </c>
      <c r="K7" s="34" t="s">
        <v>48</v>
      </c>
      <c r="L7" s="34" t="s">
        <v>47</v>
      </c>
      <c r="M7">
        <v>-20</v>
      </c>
      <c r="P7" s="1" t="s">
        <v>33</v>
      </c>
      <c r="Q7" t="s">
        <v>27</v>
      </c>
      <c r="R7" t="s">
        <v>32</v>
      </c>
      <c r="S7" t="s">
        <v>24</v>
      </c>
      <c r="T7" t="s">
        <v>22</v>
      </c>
      <c r="U7" t="s">
        <v>34</v>
      </c>
    </row>
    <row r="8" spans="1:21" x14ac:dyDescent="0.3">
      <c r="A8" s="34" t="s">
        <v>80</v>
      </c>
      <c r="B8">
        <v>-1</v>
      </c>
      <c r="C8">
        <v>2020</v>
      </c>
      <c r="D8" s="34" t="s">
        <v>55</v>
      </c>
      <c r="E8" s="34" t="s">
        <v>56</v>
      </c>
      <c r="F8" s="34" t="s">
        <v>57</v>
      </c>
      <c r="G8" s="34" t="s">
        <v>52</v>
      </c>
      <c r="H8" s="34" t="s">
        <v>53</v>
      </c>
      <c r="I8" s="34" t="s">
        <v>19</v>
      </c>
      <c r="J8" s="34" t="s">
        <v>27</v>
      </c>
      <c r="K8" s="34" t="s">
        <v>46</v>
      </c>
      <c r="L8" s="34" t="s">
        <v>47</v>
      </c>
      <c r="M8">
        <v>1.7</v>
      </c>
      <c r="P8" s="2" t="s">
        <v>80</v>
      </c>
      <c r="Q8" s="34">
        <v>4.0077171894803953</v>
      </c>
      <c r="R8" s="34">
        <v>126</v>
      </c>
      <c r="S8" s="34">
        <v>148.29412682368664</v>
      </c>
      <c r="T8" s="34">
        <v>157.83938004447819</v>
      </c>
      <c r="U8" s="34">
        <v>436.14122405764522</v>
      </c>
    </row>
    <row r="9" spans="1:21" x14ac:dyDescent="0.3">
      <c r="A9" s="34" t="s">
        <v>80</v>
      </c>
      <c r="B9">
        <v>-1</v>
      </c>
      <c r="C9">
        <v>2020</v>
      </c>
      <c r="D9" s="34" t="s">
        <v>55</v>
      </c>
      <c r="E9" s="34" t="s">
        <v>56</v>
      </c>
      <c r="F9" s="34" t="s">
        <v>57</v>
      </c>
      <c r="G9" s="34" t="s">
        <v>52</v>
      </c>
      <c r="H9" s="34" t="s">
        <v>53</v>
      </c>
      <c r="I9" s="34" t="s">
        <v>19</v>
      </c>
      <c r="J9" s="34" t="s">
        <v>27</v>
      </c>
      <c r="K9" s="34" t="s">
        <v>48</v>
      </c>
      <c r="L9" s="34" t="s">
        <v>47</v>
      </c>
      <c r="M9">
        <v>-1.7</v>
      </c>
      <c r="P9" s="3" t="s">
        <v>19</v>
      </c>
      <c r="Q9" s="34">
        <v>4.0077171894803953</v>
      </c>
      <c r="R9" s="34">
        <v>126</v>
      </c>
      <c r="S9" s="34">
        <v>148.29412682368664</v>
      </c>
      <c r="T9" s="34">
        <v>157.83938004447819</v>
      </c>
      <c r="U9" s="34">
        <v>436.14122405764522</v>
      </c>
    </row>
    <row r="10" spans="1:21" x14ac:dyDescent="0.3">
      <c r="A10" s="34" t="s">
        <v>80</v>
      </c>
      <c r="B10">
        <v>-1</v>
      </c>
      <c r="C10">
        <v>2020</v>
      </c>
      <c r="D10" s="34" t="s">
        <v>55</v>
      </c>
      <c r="E10" s="34" t="s">
        <v>56</v>
      </c>
      <c r="F10" s="34" t="s">
        <v>57</v>
      </c>
      <c r="G10" s="34" t="s">
        <v>11</v>
      </c>
      <c r="H10" s="34" t="s">
        <v>12</v>
      </c>
      <c r="I10" s="34" t="s">
        <v>13</v>
      </c>
      <c r="J10" s="34" t="s">
        <v>14</v>
      </c>
      <c r="K10" s="34" t="s">
        <v>49</v>
      </c>
      <c r="L10" s="34" t="s">
        <v>47</v>
      </c>
      <c r="M10">
        <v>0.53574544709786664</v>
      </c>
      <c r="P10" s="4">
        <v>2020</v>
      </c>
      <c r="Q10" s="34">
        <v>1.6999999999999995</v>
      </c>
      <c r="R10" s="34">
        <v>31.5</v>
      </c>
      <c r="S10" s="34">
        <v>8</v>
      </c>
      <c r="T10" s="34">
        <v>13.929206206568255</v>
      </c>
      <c r="U10" s="34">
        <v>55.129206206568256</v>
      </c>
    </row>
    <row r="11" spans="1:21" x14ac:dyDescent="0.3">
      <c r="A11" s="34" t="s">
        <v>80</v>
      </c>
      <c r="B11">
        <v>-1</v>
      </c>
      <c r="C11">
        <v>2020</v>
      </c>
      <c r="D11" s="34" t="s">
        <v>55</v>
      </c>
      <c r="E11" s="34" t="s">
        <v>56</v>
      </c>
      <c r="F11" s="34" t="s">
        <v>69</v>
      </c>
      <c r="G11" s="34" t="s">
        <v>28</v>
      </c>
      <c r="H11" s="34" t="s">
        <v>23</v>
      </c>
      <c r="I11" s="34" t="s">
        <v>19</v>
      </c>
      <c r="J11" s="34" t="s">
        <v>24</v>
      </c>
      <c r="K11" s="34" t="s">
        <v>46</v>
      </c>
      <c r="L11" s="34" t="s">
        <v>47</v>
      </c>
      <c r="M11">
        <v>8</v>
      </c>
      <c r="P11" s="6">
        <v>-1</v>
      </c>
      <c r="Q11" s="34">
        <v>1.6999999999999995</v>
      </c>
      <c r="R11" s="34">
        <v>31.5</v>
      </c>
      <c r="S11" s="34">
        <v>8</v>
      </c>
      <c r="T11" s="34">
        <v>13.929206206568255</v>
      </c>
      <c r="U11" s="34">
        <v>55.129206206568256</v>
      </c>
    </row>
    <row r="12" spans="1:21" x14ac:dyDescent="0.3">
      <c r="A12" s="34" t="s">
        <v>80</v>
      </c>
      <c r="B12">
        <v>-1</v>
      </c>
      <c r="C12">
        <v>2020</v>
      </c>
      <c r="D12" s="34" t="s">
        <v>55</v>
      </c>
      <c r="E12" s="34" t="s">
        <v>56</v>
      </c>
      <c r="F12" s="34" t="s">
        <v>69</v>
      </c>
      <c r="G12" s="34" t="s">
        <v>58</v>
      </c>
      <c r="H12" s="34" t="s">
        <v>21</v>
      </c>
      <c r="I12" s="34" t="s">
        <v>19</v>
      </c>
      <c r="J12" s="34" t="s">
        <v>22</v>
      </c>
      <c r="K12" s="34" t="s">
        <v>46</v>
      </c>
      <c r="L12" s="34" t="s">
        <v>47</v>
      </c>
      <c r="M12">
        <v>11</v>
      </c>
      <c r="P12" s="4">
        <v>2030</v>
      </c>
      <c r="Q12" s="34">
        <v>1.2749999999999988</v>
      </c>
      <c r="R12" s="34">
        <v>31.5</v>
      </c>
      <c r="S12" s="34">
        <v>32.096848004485523</v>
      </c>
      <c r="T12" s="34">
        <v>19.814218034314507</v>
      </c>
      <c r="U12" s="34">
        <v>84.686066038800021</v>
      </c>
    </row>
    <row r="13" spans="1:21" x14ac:dyDescent="0.3">
      <c r="A13" s="34" t="s">
        <v>80</v>
      </c>
      <c r="B13">
        <v>-1</v>
      </c>
      <c r="C13">
        <v>2020</v>
      </c>
      <c r="D13" s="34" t="s">
        <v>55</v>
      </c>
      <c r="E13" s="34" t="s">
        <v>56</v>
      </c>
      <c r="F13" s="34" t="s">
        <v>69</v>
      </c>
      <c r="G13" s="34" t="s">
        <v>58</v>
      </c>
      <c r="H13" s="34" t="s">
        <v>21</v>
      </c>
      <c r="I13" s="34" t="s">
        <v>19</v>
      </c>
      <c r="J13" s="34" t="s">
        <v>22</v>
      </c>
      <c r="K13" s="34" t="s">
        <v>48</v>
      </c>
      <c r="L13" s="34" t="s">
        <v>47</v>
      </c>
      <c r="M13">
        <v>-0.92079379343174794</v>
      </c>
      <c r="P13" s="6">
        <v>-1</v>
      </c>
      <c r="Q13" s="34">
        <v>1.2749999999999988</v>
      </c>
      <c r="R13" s="34">
        <v>31.5</v>
      </c>
      <c r="S13" s="34">
        <v>32.096848004485523</v>
      </c>
      <c r="T13" s="34">
        <v>19.814218034314507</v>
      </c>
      <c r="U13" s="34">
        <v>84.686066038800021</v>
      </c>
    </row>
    <row r="14" spans="1:21" x14ac:dyDescent="0.3">
      <c r="A14" s="34" t="s">
        <v>80</v>
      </c>
      <c r="B14">
        <v>-1</v>
      </c>
      <c r="C14">
        <v>2020</v>
      </c>
      <c r="D14" s="34" t="s">
        <v>55</v>
      </c>
      <c r="E14" s="34" t="s">
        <v>56</v>
      </c>
      <c r="F14" s="34" t="s">
        <v>69</v>
      </c>
      <c r="G14" s="34" t="s">
        <v>29</v>
      </c>
      <c r="H14" s="34" t="s">
        <v>21</v>
      </c>
      <c r="I14" s="34" t="s">
        <v>19</v>
      </c>
      <c r="J14" s="34" t="s">
        <v>22</v>
      </c>
      <c r="K14" s="34" t="s">
        <v>46</v>
      </c>
      <c r="L14" s="34" t="s">
        <v>47</v>
      </c>
      <c r="M14">
        <v>3.3000000000000003</v>
      </c>
      <c r="P14" s="4">
        <v>2040</v>
      </c>
      <c r="Q14" s="34">
        <v>0.42500000000000093</v>
      </c>
      <c r="R14" s="34">
        <v>31.5</v>
      </c>
      <c r="S14" s="34">
        <v>46.756146534193618</v>
      </c>
      <c r="T14" s="34">
        <v>53.701069285088522</v>
      </c>
      <c r="U14" s="34">
        <v>132.38221581928212</v>
      </c>
    </row>
    <row r="15" spans="1:21" x14ac:dyDescent="0.3">
      <c r="A15" s="34" t="s">
        <v>80</v>
      </c>
      <c r="B15">
        <v>-1</v>
      </c>
      <c r="C15">
        <v>2020</v>
      </c>
      <c r="D15" s="34" t="s">
        <v>55</v>
      </c>
      <c r="E15" s="34" t="s">
        <v>56</v>
      </c>
      <c r="F15" s="34" t="s">
        <v>69</v>
      </c>
      <c r="G15" s="34" t="s">
        <v>20</v>
      </c>
      <c r="H15" s="34" t="s">
        <v>21</v>
      </c>
      <c r="I15" s="34" t="s">
        <v>19</v>
      </c>
      <c r="J15" s="34" t="s">
        <v>22</v>
      </c>
      <c r="K15" s="34" t="s">
        <v>46</v>
      </c>
      <c r="L15" s="34" t="s">
        <v>47</v>
      </c>
      <c r="M15">
        <v>7.15</v>
      </c>
      <c r="P15" s="6">
        <v>-1</v>
      </c>
      <c r="Q15" s="34">
        <v>0.42500000000000093</v>
      </c>
      <c r="R15" s="34">
        <v>31.5</v>
      </c>
      <c r="S15" s="34">
        <v>46.756146534193618</v>
      </c>
      <c r="T15" s="34">
        <v>53.701069285088522</v>
      </c>
      <c r="U15" s="34">
        <v>132.38221581928212</v>
      </c>
    </row>
    <row r="16" spans="1:21" x14ac:dyDescent="0.3">
      <c r="A16" s="34" t="s">
        <v>80</v>
      </c>
      <c r="B16">
        <v>-1</v>
      </c>
      <c r="C16">
        <v>2020</v>
      </c>
      <c r="D16" s="34" t="s">
        <v>55</v>
      </c>
      <c r="E16" s="34" t="s">
        <v>56</v>
      </c>
      <c r="F16" s="34" t="s">
        <v>69</v>
      </c>
      <c r="G16" s="34" t="s">
        <v>20</v>
      </c>
      <c r="H16" s="34" t="s">
        <v>21</v>
      </c>
      <c r="I16" s="34" t="s">
        <v>19</v>
      </c>
      <c r="J16" s="34" t="s">
        <v>22</v>
      </c>
      <c r="K16" s="34" t="s">
        <v>48</v>
      </c>
      <c r="L16" s="34" t="s">
        <v>47</v>
      </c>
      <c r="M16">
        <v>-7.15</v>
      </c>
      <c r="P16" s="4">
        <v>2050</v>
      </c>
      <c r="Q16" s="34">
        <v>0.6077171894803961</v>
      </c>
      <c r="R16" s="34">
        <v>31.5</v>
      </c>
      <c r="S16" s="34">
        <v>61.441132285007491</v>
      </c>
      <c r="T16" s="34">
        <v>70.394886518506908</v>
      </c>
      <c r="U16" s="34">
        <v>163.94373599299479</v>
      </c>
    </row>
    <row r="17" spans="1:21" x14ac:dyDescent="0.3">
      <c r="A17" s="34" t="s">
        <v>80</v>
      </c>
      <c r="B17">
        <v>-1</v>
      </c>
      <c r="C17">
        <v>2020</v>
      </c>
      <c r="D17" s="34" t="s">
        <v>55</v>
      </c>
      <c r="E17" s="34" t="s">
        <v>56</v>
      </c>
      <c r="F17" s="34" t="s">
        <v>69</v>
      </c>
      <c r="G17" s="34" t="s">
        <v>30</v>
      </c>
      <c r="H17" s="34" t="s">
        <v>21</v>
      </c>
      <c r="I17" s="34" t="s">
        <v>19</v>
      </c>
      <c r="J17" s="34" t="s">
        <v>22</v>
      </c>
      <c r="K17" s="34" t="s">
        <v>46</v>
      </c>
      <c r="L17" s="34" t="s">
        <v>47</v>
      </c>
      <c r="M17">
        <v>0.55000000000000004</v>
      </c>
      <c r="P17" s="6">
        <v>-1</v>
      </c>
      <c r="Q17" s="34">
        <v>0.6077171894803961</v>
      </c>
      <c r="R17" s="34">
        <v>31.5</v>
      </c>
      <c r="S17" s="34">
        <v>61.441132285007491</v>
      </c>
      <c r="T17" s="34">
        <v>70.394886518506908</v>
      </c>
      <c r="U17" s="34">
        <v>163.94373599299479</v>
      </c>
    </row>
    <row r="18" spans="1:21" x14ac:dyDescent="0.3">
      <c r="A18" s="34" t="s">
        <v>80</v>
      </c>
      <c r="B18">
        <v>-1</v>
      </c>
      <c r="C18">
        <v>2030</v>
      </c>
      <c r="D18" s="34" t="s">
        <v>55</v>
      </c>
      <c r="E18" s="34" t="s">
        <v>56</v>
      </c>
      <c r="F18" s="34" t="s">
        <v>57</v>
      </c>
      <c r="G18" s="34" t="s">
        <v>43</v>
      </c>
      <c r="H18" s="34" t="s">
        <v>40</v>
      </c>
      <c r="I18" s="34" t="s">
        <v>19</v>
      </c>
      <c r="J18" s="34" t="s">
        <v>27</v>
      </c>
      <c r="K18" s="34" t="s">
        <v>46</v>
      </c>
      <c r="L18" s="34" t="s">
        <v>47</v>
      </c>
      <c r="M18">
        <v>25.75</v>
      </c>
      <c r="P18" s="2" t="s">
        <v>83</v>
      </c>
      <c r="Q18" s="34">
        <v>4.0077171894803962</v>
      </c>
      <c r="R18" s="34">
        <v>126</v>
      </c>
      <c r="S18" s="34">
        <v>152.67755607267924</v>
      </c>
      <c r="T18" s="34">
        <v>139.95312243651841</v>
      </c>
      <c r="U18" s="34">
        <v>422.63839569867804</v>
      </c>
    </row>
    <row r="19" spans="1:21" x14ac:dyDescent="0.3">
      <c r="A19" s="34" t="s">
        <v>80</v>
      </c>
      <c r="B19">
        <v>-1</v>
      </c>
      <c r="C19">
        <v>2030</v>
      </c>
      <c r="D19" s="34" t="s">
        <v>55</v>
      </c>
      <c r="E19" s="34" t="s">
        <v>56</v>
      </c>
      <c r="F19" s="34" t="s">
        <v>57</v>
      </c>
      <c r="G19" s="34" t="s">
        <v>43</v>
      </c>
      <c r="H19" s="34" t="s">
        <v>40</v>
      </c>
      <c r="I19" s="34" t="s">
        <v>19</v>
      </c>
      <c r="J19" s="34" t="s">
        <v>27</v>
      </c>
      <c r="K19" s="34" t="s">
        <v>48</v>
      </c>
      <c r="L19" s="34" t="s">
        <v>47</v>
      </c>
      <c r="M19">
        <v>-25.75</v>
      </c>
      <c r="P19" s="3" t="s">
        <v>19</v>
      </c>
      <c r="Q19" s="34">
        <v>4.0077171894803962</v>
      </c>
      <c r="R19" s="34">
        <v>126</v>
      </c>
      <c r="S19" s="34">
        <v>152.67755607267924</v>
      </c>
      <c r="T19" s="34">
        <v>139.95312243651841</v>
      </c>
      <c r="U19" s="34">
        <v>422.63839569867804</v>
      </c>
    </row>
    <row r="20" spans="1:21" x14ac:dyDescent="0.3">
      <c r="A20" s="34" t="s">
        <v>80</v>
      </c>
      <c r="B20">
        <v>-1</v>
      </c>
      <c r="C20">
        <v>2030</v>
      </c>
      <c r="D20" s="34" t="s">
        <v>55</v>
      </c>
      <c r="E20" s="34" t="s">
        <v>56</v>
      </c>
      <c r="F20" s="34" t="s">
        <v>57</v>
      </c>
      <c r="G20" s="34" t="s">
        <v>44</v>
      </c>
      <c r="H20" s="34" t="s">
        <v>45</v>
      </c>
      <c r="I20" s="34" t="s">
        <v>19</v>
      </c>
      <c r="J20" s="34" t="s">
        <v>27</v>
      </c>
      <c r="K20" s="34" t="s">
        <v>46</v>
      </c>
      <c r="L20" s="34" t="s">
        <v>47</v>
      </c>
      <c r="M20">
        <v>1.7</v>
      </c>
      <c r="P20" s="4">
        <v>2020</v>
      </c>
      <c r="Q20" s="34">
        <v>1.6999999999999995</v>
      </c>
      <c r="R20" s="34">
        <v>31.5</v>
      </c>
      <c r="S20" s="34">
        <v>8</v>
      </c>
      <c r="T20" s="34">
        <v>13.929206206568255</v>
      </c>
      <c r="U20" s="34">
        <v>55.129206206568256</v>
      </c>
    </row>
    <row r="21" spans="1:21" x14ac:dyDescent="0.3">
      <c r="A21" s="34" t="s">
        <v>80</v>
      </c>
      <c r="B21">
        <v>-1</v>
      </c>
      <c r="C21">
        <v>2030</v>
      </c>
      <c r="D21" s="34" t="s">
        <v>55</v>
      </c>
      <c r="E21" s="34" t="s">
        <v>56</v>
      </c>
      <c r="F21" s="34" t="s">
        <v>57</v>
      </c>
      <c r="G21" s="34" t="s">
        <v>44</v>
      </c>
      <c r="H21" s="34" t="s">
        <v>45</v>
      </c>
      <c r="I21" s="34" t="s">
        <v>19</v>
      </c>
      <c r="J21" s="34" t="s">
        <v>27</v>
      </c>
      <c r="K21" s="34" t="s">
        <v>48</v>
      </c>
      <c r="L21" s="34" t="s">
        <v>47</v>
      </c>
      <c r="M21">
        <v>-0.42499999999999999</v>
      </c>
      <c r="P21" s="6">
        <v>-1</v>
      </c>
      <c r="Q21" s="34">
        <v>1.6999999999999995</v>
      </c>
      <c r="R21" s="34">
        <v>31.5</v>
      </c>
      <c r="S21" s="34">
        <v>8</v>
      </c>
      <c r="T21" s="34">
        <v>13.929206206568255</v>
      </c>
      <c r="U21" s="34">
        <v>55.129206206568256</v>
      </c>
    </row>
    <row r="22" spans="1:21" x14ac:dyDescent="0.3">
      <c r="A22" s="34" t="s">
        <v>80</v>
      </c>
      <c r="B22">
        <v>-1</v>
      </c>
      <c r="C22">
        <v>2030</v>
      </c>
      <c r="D22" s="34" t="s">
        <v>55</v>
      </c>
      <c r="E22" s="34" t="s">
        <v>56</v>
      </c>
      <c r="F22" s="34" t="s">
        <v>57</v>
      </c>
      <c r="G22" s="34" t="s">
        <v>31</v>
      </c>
      <c r="H22" s="34" t="s">
        <v>18</v>
      </c>
      <c r="I22" s="34" t="s">
        <v>19</v>
      </c>
      <c r="J22" s="34" t="s">
        <v>32</v>
      </c>
      <c r="K22" s="34" t="s">
        <v>46</v>
      </c>
      <c r="L22" s="34" t="s">
        <v>47</v>
      </c>
      <c r="M22">
        <v>31.5</v>
      </c>
      <c r="P22" s="4">
        <v>2030</v>
      </c>
      <c r="Q22" s="34">
        <v>1.2749999999999988</v>
      </c>
      <c r="R22" s="34">
        <v>31.5</v>
      </c>
      <c r="S22" s="34">
        <v>31.978288495255512</v>
      </c>
      <c r="T22" s="34">
        <v>19.254532713846409</v>
      </c>
      <c r="U22" s="34">
        <v>84.007821209101905</v>
      </c>
    </row>
    <row r="23" spans="1:21" x14ac:dyDescent="0.3">
      <c r="A23" s="34" t="s">
        <v>80</v>
      </c>
      <c r="B23">
        <v>-1</v>
      </c>
      <c r="C23">
        <v>2030</v>
      </c>
      <c r="D23" s="34" t="s">
        <v>55</v>
      </c>
      <c r="E23" s="34" t="s">
        <v>56</v>
      </c>
      <c r="F23" s="34" t="s">
        <v>57</v>
      </c>
      <c r="G23" s="34" t="s">
        <v>54</v>
      </c>
      <c r="H23" s="34" t="s">
        <v>39</v>
      </c>
      <c r="I23" s="34" t="s">
        <v>19</v>
      </c>
      <c r="J23" s="34" t="s">
        <v>27</v>
      </c>
      <c r="K23" s="34" t="s">
        <v>46</v>
      </c>
      <c r="L23" s="34" t="s">
        <v>47</v>
      </c>
      <c r="M23">
        <v>20</v>
      </c>
      <c r="P23" s="6">
        <v>-1</v>
      </c>
      <c r="Q23" s="34">
        <v>1.2749999999999988</v>
      </c>
      <c r="R23" s="34">
        <v>31.5</v>
      </c>
      <c r="S23" s="34">
        <v>31.978288495255512</v>
      </c>
      <c r="T23" s="34">
        <v>19.254532713846409</v>
      </c>
      <c r="U23" s="34">
        <v>84.007821209101905</v>
      </c>
    </row>
    <row r="24" spans="1:21" x14ac:dyDescent="0.3">
      <c r="A24" s="34" t="s">
        <v>80</v>
      </c>
      <c r="B24">
        <v>-1</v>
      </c>
      <c r="C24">
        <v>2030</v>
      </c>
      <c r="D24" s="34" t="s">
        <v>55</v>
      </c>
      <c r="E24" s="34" t="s">
        <v>56</v>
      </c>
      <c r="F24" s="34" t="s">
        <v>57</v>
      </c>
      <c r="G24" s="34" t="s">
        <v>54</v>
      </c>
      <c r="H24" s="34" t="s">
        <v>39</v>
      </c>
      <c r="I24" s="34" t="s">
        <v>19</v>
      </c>
      <c r="J24" s="34" t="s">
        <v>27</v>
      </c>
      <c r="K24" s="34" t="s">
        <v>48</v>
      </c>
      <c r="L24" s="34" t="s">
        <v>47</v>
      </c>
      <c r="M24">
        <v>-20</v>
      </c>
      <c r="P24" s="4">
        <v>2040</v>
      </c>
      <c r="Q24" s="34">
        <v>0.42500000000000093</v>
      </c>
      <c r="R24" s="34">
        <v>31.5</v>
      </c>
      <c r="S24" s="34">
        <v>46.409620284657947</v>
      </c>
      <c r="T24" s="34">
        <v>49.663169920917795</v>
      </c>
      <c r="U24" s="34">
        <v>127.99779020557574</v>
      </c>
    </row>
    <row r="25" spans="1:21" x14ac:dyDescent="0.3">
      <c r="A25" s="34" t="s">
        <v>80</v>
      </c>
      <c r="B25">
        <v>-1</v>
      </c>
      <c r="C25">
        <v>2030</v>
      </c>
      <c r="D25" s="34" t="s">
        <v>55</v>
      </c>
      <c r="E25" s="34" t="s">
        <v>56</v>
      </c>
      <c r="F25" s="34" t="s">
        <v>57</v>
      </c>
      <c r="G25" s="34" t="s">
        <v>52</v>
      </c>
      <c r="H25" s="34" t="s">
        <v>53</v>
      </c>
      <c r="I25" s="34" t="s">
        <v>19</v>
      </c>
      <c r="J25" s="34" t="s">
        <v>27</v>
      </c>
      <c r="K25" s="34" t="s">
        <v>46</v>
      </c>
      <c r="L25" s="34" t="s">
        <v>47</v>
      </c>
      <c r="M25">
        <v>1.7</v>
      </c>
      <c r="P25" s="6">
        <v>-1</v>
      </c>
      <c r="Q25" s="34">
        <v>0.42500000000000093</v>
      </c>
      <c r="R25" s="34">
        <v>31.5</v>
      </c>
      <c r="S25" s="34">
        <v>46.409620284657947</v>
      </c>
      <c r="T25" s="34">
        <v>49.663169920917795</v>
      </c>
      <c r="U25" s="34">
        <v>127.99779020557574</v>
      </c>
    </row>
    <row r="26" spans="1:21" x14ac:dyDescent="0.3">
      <c r="A26" s="34" t="s">
        <v>80</v>
      </c>
      <c r="B26">
        <v>-1</v>
      </c>
      <c r="C26">
        <v>2030</v>
      </c>
      <c r="D26" s="34" t="s">
        <v>55</v>
      </c>
      <c r="E26" s="34" t="s">
        <v>56</v>
      </c>
      <c r="F26" s="34" t="s">
        <v>57</v>
      </c>
      <c r="G26" s="34" t="s">
        <v>52</v>
      </c>
      <c r="H26" s="34" t="s">
        <v>53</v>
      </c>
      <c r="I26" s="34" t="s">
        <v>19</v>
      </c>
      <c r="J26" s="34" t="s">
        <v>27</v>
      </c>
      <c r="K26" s="34" t="s">
        <v>48</v>
      </c>
      <c r="L26" s="34" t="s">
        <v>47</v>
      </c>
      <c r="M26">
        <v>-1.7</v>
      </c>
      <c r="P26" s="4">
        <v>2050</v>
      </c>
      <c r="Q26" s="34">
        <v>0.60771718948039699</v>
      </c>
      <c r="R26" s="34">
        <v>31.5</v>
      </c>
      <c r="S26" s="34">
        <v>66.289647292765764</v>
      </c>
      <c r="T26" s="34">
        <v>57.106213595185956</v>
      </c>
      <c r="U26" s="34">
        <v>155.50357807743211</v>
      </c>
    </row>
    <row r="27" spans="1:21" x14ac:dyDescent="0.3">
      <c r="A27" s="34" t="s">
        <v>80</v>
      </c>
      <c r="B27">
        <v>-1</v>
      </c>
      <c r="C27">
        <v>2030</v>
      </c>
      <c r="D27" s="34" t="s">
        <v>55</v>
      </c>
      <c r="E27" s="34" t="s">
        <v>56</v>
      </c>
      <c r="F27" s="34" t="s">
        <v>57</v>
      </c>
      <c r="G27" s="34" t="s">
        <v>11</v>
      </c>
      <c r="H27" s="34" t="s">
        <v>12</v>
      </c>
      <c r="I27" s="34" t="s">
        <v>13</v>
      </c>
      <c r="J27" s="34" t="s">
        <v>14</v>
      </c>
      <c r="K27" s="34" t="s">
        <v>49</v>
      </c>
      <c r="L27" s="34" t="s">
        <v>47</v>
      </c>
      <c r="M27">
        <v>0.53574544709786664</v>
      </c>
      <c r="P27" s="6">
        <v>-1</v>
      </c>
      <c r="Q27" s="34">
        <v>0.60771718948039699</v>
      </c>
      <c r="R27" s="34">
        <v>31.5</v>
      </c>
      <c r="S27" s="34">
        <v>66.289647292765764</v>
      </c>
      <c r="T27" s="34">
        <v>57.106213595185956</v>
      </c>
      <c r="U27" s="34">
        <v>155.50357807743211</v>
      </c>
    </row>
    <row r="28" spans="1:21" x14ac:dyDescent="0.3">
      <c r="A28" s="34" t="s">
        <v>80</v>
      </c>
      <c r="B28">
        <v>-1</v>
      </c>
      <c r="C28">
        <v>2030</v>
      </c>
      <c r="D28" s="34" t="s">
        <v>55</v>
      </c>
      <c r="E28" s="34" t="s">
        <v>56</v>
      </c>
      <c r="F28" s="34" t="s">
        <v>57</v>
      </c>
      <c r="G28" s="34" t="s">
        <v>59</v>
      </c>
      <c r="H28" s="34" t="s">
        <v>12</v>
      </c>
      <c r="I28" s="34" t="s">
        <v>13</v>
      </c>
      <c r="J28" s="34" t="s">
        <v>14</v>
      </c>
      <c r="K28" s="34" t="s">
        <v>49</v>
      </c>
      <c r="L28" s="34" t="s">
        <v>47</v>
      </c>
      <c r="M28">
        <v>4.0150039674721656</v>
      </c>
      <c r="P28" s="2" t="s">
        <v>34</v>
      </c>
      <c r="Q28" s="34">
        <v>8.0154343789607907</v>
      </c>
      <c r="R28" s="34">
        <v>252</v>
      </c>
      <c r="S28" s="34">
        <v>300.97168289636585</v>
      </c>
      <c r="T28" s="34">
        <v>297.79250248099663</v>
      </c>
      <c r="U28" s="34">
        <v>858.7796197563232</v>
      </c>
    </row>
    <row r="29" spans="1:21" x14ac:dyDescent="0.3">
      <c r="A29" s="34" t="s">
        <v>80</v>
      </c>
      <c r="B29">
        <v>-1</v>
      </c>
      <c r="C29">
        <v>2030</v>
      </c>
      <c r="D29" s="34" t="s">
        <v>55</v>
      </c>
      <c r="E29" s="34" t="s">
        <v>56</v>
      </c>
      <c r="F29" s="34" t="s">
        <v>69</v>
      </c>
      <c r="G29" s="34" t="s">
        <v>28</v>
      </c>
      <c r="H29" s="34" t="s">
        <v>23</v>
      </c>
      <c r="I29" s="34" t="s">
        <v>19</v>
      </c>
      <c r="J29" s="34" t="s">
        <v>24</v>
      </c>
      <c r="K29" s="34" t="s">
        <v>46</v>
      </c>
      <c r="L29" s="34" t="s">
        <v>47</v>
      </c>
      <c r="M29">
        <v>8</v>
      </c>
    </row>
    <row r="30" spans="1:21" x14ac:dyDescent="0.3">
      <c r="A30" s="34" t="s">
        <v>80</v>
      </c>
      <c r="B30">
        <v>-1</v>
      </c>
      <c r="C30">
        <v>2030</v>
      </c>
      <c r="D30" s="34" t="s">
        <v>55</v>
      </c>
      <c r="E30" s="34" t="s">
        <v>56</v>
      </c>
      <c r="F30" s="34" t="s">
        <v>69</v>
      </c>
      <c r="G30" s="34" t="s">
        <v>28</v>
      </c>
      <c r="H30" s="34" t="s">
        <v>23</v>
      </c>
      <c r="I30" s="34" t="s">
        <v>19</v>
      </c>
      <c r="J30" s="34" t="s">
        <v>24</v>
      </c>
      <c r="K30" s="34" t="s">
        <v>48</v>
      </c>
      <c r="L30" s="34" t="s">
        <v>47</v>
      </c>
      <c r="M30">
        <v>-2</v>
      </c>
    </row>
    <row r="31" spans="1:21" x14ac:dyDescent="0.3">
      <c r="A31" s="34" t="s">
        <v>80</v>
      </c>
      <c r="B31">
        <v>-1</v>
      </c>
      <c r="C31">
        <v>2030</v>
      </c>
      <c r="D31" s="34" t="s">
        <v>55</v>
      </c>
      <c r="E31" s="34" t="s">
        <v>56</v>
      </c>
      <c r="F31" s="34" t="s">
        <v>69</v>
      </c>
      <c r="G31" s="34" t="s">
        <v>58</v>
      </c>
      <c r="H31" s="34" t="s">
        <v>21</v>
      </c>
      <c r="I31" s="34" t="s">
        <v>19</v>
      </c>
      <c r="J31" s="34" t="s">
        <v>22</v>
      </c>
      <c r="K31" s="34" t="s">
        <v>46</v>
      </c>
      <c r="L31" s="34" t="s">
        <v>47</v>
      </c>
      <c r="M31">
        <v>11</v>
      </c>
    </row>
    <row r="32" spans="1:21" x14ac:dyDescent="0.3">
      <c r="A32" s="34" t="s">
        <v>80</v>
      </c>
      <c r="B32">
        <v>-1</v>
      </c>
      <c r="C32">
        <v>2030</v>
      </c>
      <c r="D32" s="34" t="s">
        <v>55</v>
      </c>
      <c r="E32" s="34" t="s">
        <v>56</v>
      </c>
      <c r="F32" s="34" t="s">
        <v>69</v>
      </c>
      <c r="G32" s="34" t="s">
        <v>58</v>
      </c>
      <c r="H32" s="34" t="s">
        <v>21</v>
      </c>
      <c r="I32" s="34" t="s">
        <v>19</v>
      </c>
      <c r="J32" s="34" t="s">
        <v>22</v>
      </c>
      <c r="K32" s="34" t="s">
        <v>48</v>
      </c>
      <c r="L32" s="34" t="s">
        <v>47</v>
      </c>
      <c r="M32">
        <v>-2.75</v>
      </c>
    </row>
    <row r="33" spans="1:13" x14ac:dyDescent="0.3">
      <c r="A33" s="34" t="s">
        <v>80</v>
      </c>
      <c r="B33">
        <v>-1</v>
      </c>
      <c r="C33">
        <v>2030</v>
      </c>
      <c r="D33" s="34" t="s">
        <v>55</v>
      </c>
      <c r="E33" s="34" t="s">
        <v>56</v>
      </c>
      <c r="F33" s="34" t="s">
        <v>69</v>
      </c>
      <c r="G33" s="34" t="s">
        <v>29</v>
      </c>
      <c r="H33" s="34" t="s">
        <v>21</v>
      </c>
      <c r="I33" s="34" t="s">
        <v>19</v>
      </c>
      <c r="J33" s="34" t="s">
        <v>22</v>
      </c>
      <c r="K33" s="34" t="s">
        <v>46</v>
      </c>
      <c r="L33" s="34" t="s">
        <v>47</v>
      </c>
      <c r="M33">
        <v>3.3000000000000003</v>
      </c>
    </row>
    <row r="34" spans="1:13" x14ac:dyDescent="0.3">
      <c r="A34" s="34" t="s">
        <v>80</v>
      </c>
      <c r="B34">
        <v>-1</v>
      </c>
      <c r="C34">
        <v>2030</v>
      </c>
      <c r="D34" s="34" t="s">
        <v>55</v>
      </c>
      <c r="E34" s="34" t="s">
        <v>56</v>
      </c>
      <c r="F34" s="34" t="s">
        <v>69</v>
      </c>
      <c r="G34" s="34" t="s">
        <v>29</v>
      </c>
      <c r="H34" s="34" t="s">
        <v>21</v>
      </c>
      <c r="I34" s="34" t="s">
        <v>19</v>
      </c>
      <c r="J34" s="34" t="s">
        <v>22</v>
      </c>
      <c r="K34" s="34" t="s">
        <v>48</v>
      </c>
      <c r="L34" s="34" t="s">
        <v>47</v>
      </c>
      <c r="M34">
        <v>-0.82500000000000007</v>
      </c>
    </row>
    <row r="35" spans="1:13" x14ac:dyDescent="0.3">
      <c r="A35" s="34" t="s">
        <v>80</v>
      </c>
      <c r="B35">
        <v>-1</v>
      </c>
      <c r="C35">
        <v>2030</v>
      </c>
      <c r="D35" s="34" t="s">
        <v>55</v>
      </c>
      <c r="E35" s="34" t="s">
        <v>56</v>
      </c>
      <c r="F35" s="34" t="s">
        <v>69</v>
      </c>
      <c r="G35" s="34" t="s">
        <v>20</v>
      </c>
      <c r="H35" s="34" t="s">
        <v>21</v>
      </c>
      <c r="I35" s="34" t="s">
        <v>19</v>
      </c>
      <c r="J35" s="34" t="s">
        <v>22</v>
      </c>
      <c r="K35" s="34" t="s">
        <v>46</v>
      </c>
      <c r="L35" s="34" t="s">
        <v>47</v>
      </c>
      <c r="M35">
        <v>7.15</v>
      </c>
    </row>
    <row r="36" spans="1:13" x14ac:dyDescent="0.3">
      <c r="A36" s="34" t="s">
        <v>80</v>
      </c>
      <c r="B36">
        <v>-1</v>
      </c>
      <c r="C36">
        <v>2030</v>
      </c>
      <c r="D36" s="34" t="s">
        <v>55</v>
      </c>
      <c r="E36" s="34" t="s">
        <v>56</v>
      </c>
      <c r="F36" s="34" t="s">
        <v>69</v>
      </c>
      <c r="G36" s="34" t="s">
        <v>20</v>
      </c>
      <c r="H36" s="34" t="s">
        <v>21</v>
      </c>
      <c r="I36" s="34" t="s">
        <v>19</v>
      </c>
      <c r="J36" s="34" t="s">
        <v>22</v>
      </c>
      <c r="K36" s="34" t="s">
        <v>48</v>
      </c>
      <c r="L36" s="34" t="s">
        <v>47</v>
      </c>
      <c r="M36">
        <v>-1.7875000000000001</v>
      </c>
    </row>
    <row r="37" spans="1:13" x14ac:dyDescent="0.3">
      <c r="A37" s="34" t="s">
        <v>80</v>
      </c>
      <c r="B37">
        <v>-1</v>
      </c>
      <c r="C37">
        <v>2030</v>
      </c>
      <c r="D37" s="34" t="s">
        <v>55</v>
      </c>
      <c r="E37" s="34" t="s">
        <v>56</v>
      </c>
      <c r="F37" s="34" t="s">
        <v>69</v>
      </c>
      <c r="G37" s="34" t="s">
        <v>30</v>
      </c>
      <c r="H37" s="34" t="s">
        <v>21</v>
      </c>
      <c r="I37" s="34" t="s">
        <v>19</v>
      </c>
      <c r="J37" s="34" t="s">
        <v>22</v>
      </c>
      <c r="K37" s="34" t="s">
        <v>46</v>
      </c>
      <c r="L37" s="34" t="s">
        <v>47</v>
      </c>
      <c r="M37">
        <v>0.55000000000000004</v>
      </c>
    </row>
    <row r="38" spans="1:13" x14ac:dyDescent="0.3">
      <c r="A38" s="34" t="s">
        <v>80</v>
      </c>
      <c r="B38">
        <v>-1</v>
      </c>
      <c r="C38">
        <v>2030</v>
      </c>
      <c r="D38" s="34" t="s">
        <v>55</v>
      </c>
      <c r="E38" s="34" t="s">
        <v>56</v>
      </c>
      <c r="F38" s="34" t="s">
        <v>69</v>
      </c>
      <c r="G38" s="34" t="s">
        <v>30</v>
      </c>
      <c r="H38" s="34" t="s">
        <v>21</v>
      </c>
      <c r="I38" s="34" t="s">
        <v>19</v>
      </c>
      <c r="J38" s="34" t="s">
        <v>22</v>
      </c>
      <c r="K38" s="34" t="s">
        <v>48</v>
      </c>
      <c r="L38" s="34" t="s">
        <v>47</v>
      </c>
      <c r="M38">
        <v>-0.13750000000000001</v>
      </c>
    </row>
    <row r="39" spans="1:13" x14ac:dyDescent="0.3">
      <c r="A39" s="34" t="s">
        <v>80</v>
      </c>
      <c r="B39">
        <v>-1</v>
      </c>
      <c r="C39">
        <v>2030</v>
      </c>
      <c r="D39" s="34" t="s">
        <v>55</v>
      </c>
      <c r="E39" s="34" t="s">
        <v>56</v>
      </c>
      <c r="F39" s="34" t="s">
        <v>69</v>
      </c>
      <c r="G39" s="34" t="s">
        <v>62</v>
      </c>
      <c r="H39" s="34" t="s">
        <v>21</v>
      </c>
      <c r="I39" s="34" t="s">
        <v>19</v>
      </c>
      <c r="J39" s="34" t="s">
        <v>22</v>
      </c>
      <c r="K39" s="34" t="s">
        <v>49</v>
      </c>
      <c r="L39" s="34" t="s">
        <v>47</v>
      </c>
      <c r="M39">
        <v>3.3142180343145085</v>
      </c>
    </row>
    <row r="40" spans="1:13" x14ac:dyDescent="0.3">
      <c r="A40" s="34" t="s">
        <v>80</v>
      </c>
      <c r="B40">
        <v>-1</v>
      </c>
      <c r="C40">
        <v>2030</v>
      </c>
      <c r="D40" s="34" t="s">
        <v>55</v>
      </c>
      <c r="E40" s="34" t="s">
        <v>56</v>
      </c>
      <c r="F40" s="34" t="s">
        <v>69</v>
      </c>
      <c r="G40" s="34" t="s">
        <v>63</v>
      </c>
      <c r="H40" s="34" t="s">
        <v>23</v>
      </c>
      <c r="I40" s="34" t="s">
        <v>19</v>
      </c>
      <c r="J40" s="34" t="s">
        <v>24</v>
      </c>
      <c r="K40" s="34" t="s">
        <v>49</v>
      </c>
      <c r="L40" s="34" t="s">
        <v>47</v>
      </c>
      <c r="M40">
        <v>26.096848004485526</v>
      </c>
    </row>
    <row r="41" spans="1:13" x14ac:dyDescent="0.3">
      <c r="A41" s="34" t="s">
        <v>80</v>
      </c>
      <c r="B41">
        <v>-1</v>
      </c>
      <c r="C41">
        <v>2040</v>
      </c>
      <c r="D41" s="34" t="s">
        <v>55</v>
      </c>
      <c r="E41" s="34" t="s">
        <v>56</v>
      </c>
      <c r="F41" s="34" t="s">
        <v>57</v>
      </c>
      <c r="G41" s="34" t="s">
        <v>43</v>
      </c>
      <c r="H41" s="34" t="s">
        <v>40</v>
      </c>
      <c r="I41" s="34" t="s">
        <v>19</v>
      </c>
      <c r="J41" s="34" t="s">
        <v>27</v>
      </c>
      <c r="K41" s="34" t="s">
        <v>46</v>
      </c>
      <c r="L41" s="34" t="s">
        <v>47</v>
      </c>
      <c r="M41">
        <v>25.75</v>
      </c>
    </row>
    <row r="42" spans="1:13" x14ac:dyDescent="0.3">
      <c r="A42" s="34" t="s">
        <v>80</v>
      </c>
      <c r="B42">
        <v>-1</v>
      </c>
      <c r="C42">
        <v>2040</v>
      </c>
      <c r="D42" s="34" t="s">
        <v>55</v>
      </c>
      <c r="E42" s="34" t="s">
        <v>56</v>
      </c>
      <c r="F42" s="34" t="s">
        <v>57</v>
      </c>
      <c r="G42" s="34" t="s">
        <v>43</v>
      </c>
      <c r="H42" s="34" t="s">
        <v>40</v>
      </c>
      <c r="I42" s="34" t="s">
        <v>19</v>
      </c>
      <c r="J42" s="34" t="s">
        <v>27</v>
      </c>
      <c r="K42" s="34" t="s">
        <v>48</v>
      </c>
      <c r="L42" s="34" t="s">
        <v>47</v>
      </c>
      <c r="M42">
        <v>-25.75</v>
      </c>
    </row>
    <row r="43" spans="1:13" x14ac:dyDescent="0.3">
      <c r="A43" s="34" t="s">
        <v>80</v>
      </c>
      <c r="B43">
        <v>-1</v>
      </c>
      <c r="C43">
        <v>2040</v>
      </c>
      <c r="D43" s="34" t="s">
        <v>55</v>
      </c>
      <c r="E43" s="34" t="s">
        <v>56</v>
      </c>
      <c r="F43" s="34" t="s">
        <v>57</v>
      </c>
      <c r="G43" s="34" t="s">
        <v>44</v>
      </c>
      <c r="H43" s="34" t="s">
        <v>45</v>
      </c>
      <c r="I43" s="34" t="s">
        <v>19</v>
      </c>
      <c r="J43" s="34" t="s">
        <v>27</v>
      </c>
      <c r="K43" s="34" t="s">
        <v>46</v>
      </c>
      <c r="L43" s="34" t="s">
        <v>47</v>
      </c>
      <c r="M43">
        <v>1.7</v>
      </c>
    </row>
    <row r="44" spans="1:13" x14ac:dyDescent="0.3">
      <c r="A44" s="34" t="s">
        <v>80</v>
      </c>
      <c r="B44">
        <v>-1</v>
      </c>
      <c r="C44">
        <v>2040</v>
      </c>
      <c r="D44" s="34" t="s">
        <v>55</v>
      </c>
      <c r="E44" s="34" t="s">
        <v>56</v>
      </c>
      <c r="F44" s="34" t="s">
        <v>57</v>
      </c>
      <c r="G44" s="34" t="s">
        <v>44</v>
      </c>
      <c r="H44" s="34" t="s">
        <v>45</v>
      </c>
      <c r="I44" s="34" t="s">
        <v>19</v>
      </c>
      <c r="J44" s="34" t="s">
        <v>27</v>
      </c>
      <c r="K44" s="34" t="s">
        <v>48</v>
      </c>
      <c r="L44" s="34" t="s">
        <v>47</v>
      </c>
      <c r="M44">
        <v>-1.2750000000000001</v>
      </c>
    </row>
    <row r="45" spans="1:13" x14ac:dyDescent="0.3">
      <c r="A45" s="34" t="s">
        <v>80</v>
      </c>
      <c r="B45">
        <v>-1</v>
      </c>
      <c r="C45">
        <v>2040</v>
      </c>
      <c r="D45" s="34" t="s">
        <v>55</v>
      </c>
      <c r="E45" s="34" t="s">
        <v>56</v>
      </c>
      <c r="F45" s="34" t="s">
        <v>57</v>
      </c>
      <c r="G45" s="34" t="s">
        <v>31</v>
      </c>
      <c r="H45" s="34" t="s">
        <v>18</v>
      </c>
      <c r="I45" s="34" t="s">
        <v>19</v>
      </c>
      <c r="J45" s="34" t="s">
        <v>32</v>
      </c>
      <c r="K45" s="34" t="s">
        <v>46</v>
      </c>
      <c r="L45" s="34" t="s">
        <v>47</v>
      </c>
      <c r="M45">
        <v>31.5</v>
      </c>
    </row>
    <row r="46" spans="1:13" x14ac:dyDescent="0.3">
      <c r="A46" s="34" t="s">
        <v>80</v>
      </c>
      <c r="B46">
        <v>-1</v>
      </c>
      <c r="C46">
        <v>2040</v>
      </c>
      <c r="D46" s="34" t="s">
        <v>55</v>
      </c>
      <c r="E46" s="34" t="s">
        <v>56</v>
      </c>
      <c r="F46" s="34" t="s">
        <v>57</v>
      </c>
      <c r="G46" s="34" t="s">
        <v>54</v>
      </c>
      <c r="H46" s="34" t="s">
        <v>39</v>
      </c>
      <c r="I46" s="34" t="s">
        <v>19</v>
      </c>
      <c r="J46" s="34" t="s">
        <v>27</v>
      </c>
      <c r="K46" s="34" t="s">
        <v>46</v>
      </c>
      <c r="L46" s="34" t="s">
        <v>47</v>
      </c>
      <c r="M46">
        <v>20</v>
      </c>
    </row>
    <row r="47" spans="1:13" x14ac:dyDescent="0.3">
      <c r="A47" s="34" t="s">
        <v>80</v>
      </c>
      <c r="B47">
        <v>-1</v>
      </c>
      <c r="C47">
        <v>2040</v>
      </c>
      <c r="D47" s="34" t="s">
        <v>55</v>
      </c>
      <c r="E47" s="34" t="s">
        <v>56</v>
      </c>
      <c r="F47" s="34" t="s">
        <v>57</v>
      </c>
      <c r="G47" s="34" t="s">
        <v>54</v>
      </c>
      <c r="H47" s="34" t="s">
        <v>39</v>
      </c>
      <c r="I47" s="34" t="s">
        <v>19</v>
      </c>
      <c r="J47" s="34" t="s">
        <v>27</v>
      </c>
      <c r="K47" s="34" t="s">
        <v>48</v>
      </c>
      <c r="L47" s="34" t="s">
        <v>47</v>
      </c>
      <c r="M47">
        <v>-20</v>
      </c>
    </row>
    <row r="48" spans="1:13" x14ac:dyDescent="0.3">
      <c r="A48" s="34" t="s">
        <v>80</v>
      </c>
      <c r="B48">
        <v>-1</v>
      </c>
      <c r="C48">
        <v>2040</v>
      </c>
      <c r="D48" s="34" t="s">
        <v>55</v>
      </c>
      <c r="E48" s="34" t="s">
        <v>56</v>
      </c>
      <c r="F48" s="34" t="s">
        <v>57</v>
      </c>
      <c r="G48" s="34" t="s">
        <v>52</v>
      </c>
      <c r="H48" s="34" t="s">
        <v>53</v>
      </c>
      <c r="I48" s="34" t="s">
        <v>19</v>
      </c>
      <c r="J48" s="34" t="s">
        <v>27</v>
      </c>
      <c r="K48" s="34" t="s">
        <v>46</v>
      </c>
      <c r="L48" s="34" t="s">
        <v>47</v>
      </c>
      <c r="M48">
        <v>1.7</v>
      </c>
    </row>
    <row r="49" spans="1:13" x14ac:dyDescent="0.3">
      <c r="A49" s="34" t="s">
        <v>80</v>
      </c>
      <c r="B49">
        <v>-1</v>
      </c>
      <c r="C49">
        <v>2040</v>
      </c>
      <c r="D49" s="34" t="s">
        <v>55</v>
      </c>
      <c r="E49" s="34" t="s">
        <v>56</v>
      </c>
      <c r="F49" s="34" t="s">
        <v>57</v>
      </c>
      <c r="G49" s="34" t="s">
        <v>52</v>
      </c>
      <c r="H49" s="34" t="s">
        <v>53</v>
      </c>
      <c r="I49" s="34" t="s">
        <v>19</v>
      </c>
      <c r="J49" s="34" t="s">
        <v>27</v>
      </c>
      <c r="K49" s="34" t="s">
        <v>48</v>
      </c>
      <c r="L49" s="34" t="s">
        <v>47</v>
      </c>
      <c r="M49">
        <v>-1.7</v>
      </c>
    </row>
    <row r="50" spans="1:13" x14ac:dyDescent="0.3">
      <c r="A50" s="34" t="s">
        <v>80</v>
      </c>
      <c r="B50">
        <v>-1</v>
      </c>
      <c r="C50">
        <v>2040</v>
      </c>
      <c r="D50" s="34" t="s">
        <v>55</v>
      </c>
      <c r="E50" s="34" t="s">
        <v>56</v>
      </c>
      <c r="F50" s="34" t="s">
        <v>57</v>
      </c>
      <c r="G50" s="34" t="s">
        <v>11</v>
      </c>
      <c r="H50" s="34" t="s">
        <v>12</v>
      </c>
      <c r="I50" s="34" t="s">
        <v>13</v>
      </c>
      <c r="J50" s="34" t="s">
        <v>14</v>
      </c>
      <c r="K50" s="34" t="s">
        <v>49</v>
      </c>
      <c r="L50" s="34" t="s">
        <v>47</v>
      </c>
      <c r="M50">
        <v>0.53574544709786664</v>
      </c>
    </row>
    <row r="51" spans="1:13" x14ac:dyDescent="0.3">
      <c r="A51" s="34" t="s">
        <v>80</v>
      </c>
      <c r="B51">
        <v>-1</v>
      </c>
      <c r="C51">
        <v>2040</v>
      </c>
      <c r="D51" s="34" t="s">
        <v>55</v>
      </c>
      <c r="E51" s="34" t="s">
        <v>56</v>
      </c>
      <c r="F51" s="34" t="s">
        <v>57</v>
      </c>
      <c r="G51" s="34" t="s">
        <v>59</v>
      </c>
      <c r="H51" s="34" t="s">
        <v>12</v>
      </c>
      <c r="I51" s="34" t="s">
        <v>13</v>
      </c>
      <c r="J51" s="34" t="s">
        <v>14</v>
      </c>
      <c r="K51" s="34" t="s">
        <v>49</v>
      </c>
      <c r="L51" s="34" t="s">
        <v>47</v>
      </c>
      <c r="M51">
        <v>4.0150039674721656</v>
      </c>
    </row>
    <row r="52" spans="1:13" x14ac:dyDescent="0.3">
      <c r="A52" s="34" t="s">
        <v>80</v>
      </c>
      <c r="B52">
        <v>-1</v>
      </c>
      <c r="C52">
        <v>2040</v>
      </c>
      <c r="D52" s="34" t="s">
        <v>55</v>
      </c>
      <c r="E52" s="34" t="s">
        <v>56</v>
      </c>
      <c r="F52" s="34" t="s">
        <v>57</v>
      </c>
      <c r="G52" s="34" t="s">
        <v>60</v>
      </c>
      <c r="H52" s="34" t="s">
        <v>12</v>
      </c>
      <c r="I52" s="34" t="s">
        <v>13</v>
      </c>
      <c r="J52" s="34" t="s">
        <v>14</v>
      </c>
      <c r="K52" s="34" t="s">
        <v>49</v>
      </c>
      <c r="L52" s="34" t="s">
        <v>47</v>
      </c>
      <c r="M52">
        <v>9.8214495109105577</v>
      </c>
    </row>
    <row r="53" spans="1:13" x14ac:dyDescent="0.3">
      <c r="A53" s="34" t="s">
        <v>80</v>
      </c>
      <c r="B53">
        <v>-1</v>
      </c>
      <c r="C53">
        <v>2040</v>
      </c>
      <c r="D53" s="34" t="s">
        <v>55</v>
      </c>
      <c r="E53" s="34" t="s">
        <v>56</v>
      </c>
      <c r="F53" s="34" t="s">
        <v>57</v>
      </c>
      <c r="G53" s="34" t="s">
        <v>66</v>
      </c>
      <c r="H53" s="34" t="s">
        <v>13</v>
      </c>
      <c r="I53" s="34" t="s">
        <v>13</v>
      </c>
      <c r="J53" s="34" t="s">
        <v>17</v>
      </c>
      <c r="K53" s="34" t="s">
        <v>49</v>
      </c>
      <c r="L53" s="34" t="s">
        <v>47</v>
      </c>
      <c r="M53">
        <v>94.02129126955829</v>
      </c>
    </row>
    <row r="54" spans="1:13" x14ac:dyDescent="0.3">
      <c r="A54" s="34" t="s">
        <v>80</v>
      </c>
      <c r="B54">
        <v>-1</v>
      </c>
      <c r="C54">
        <v>2040</v>
      </c>
      <c r="D54" s="34" t="s">
        <v>55</v>
      </c>
      <c r="E54" s="34" t="s">
        <v>56</v>
      </c>
      <c r="F54" s="34" t="s">
        <v>69</v>
      </c>
      <c r="G54" s="34" t="s">
        <v>28</v>
      </c>
      <c r="H54" s="34" t="s">
        <v>23</v>
      </c>
      <c r="I54" s="34" t="s">
        <v>19</v>
      </c>
      <c r="J54" s="34" t="s">
        <v>24</v>
      </c>
      <c r="K54" s="34" t="s">
        <v>46</v>
      </c>
      <c r="L54" s="34" t="s">
        <v>47</v>
      </c>
      <c r="M54">
        <v>8</v>
      </c>
    </row>
    <row r="55" spans="1:13" x14ac:dyDescent="0.3">
      <c r="A55" s="34" t="s">
        <v>80</v>
      </c>
      <c r="B55">
        <v>-1</v>
      </c>
      <c r="C55">
        <v>2040</v>
      </c>
      <c r="D55" s="34" t="s">
        <v>55</v>
      </c>
      <c r="E55" s="34" t="s">
        <v>56</v>
      </c>
      <c r="F55" s="34" t="s">
        <v>69</v>
      </c>
      <c r="G55" s="34" t="s">
        <v>28</v>
      </c>
      <c r="H55" s="34" t="s">
        <v>23</v>
      </c>
      <c r="I55" s="34" t="s">
        <v>19</v>
      </c>
      <c r="J55" s="34" t="s">
        <v>24</v>
      </c>
      <c r="K55" s="34" t="s">
        <v>48</v>
      </c>
      <c r="L55" s="34" t="s">
        <v>47</v>
      </c>
      <c r="M55">
        <v>-6</v>
      </c>
    </row>
    <row r="56" spans="1:13" x14ac:dyDescent="0.3">
      <c r="A56" s="34" t="s">
        <v>80</v>
      </c>
      <c r="B56">
        <v>-1</v>
      </c>
      <c r="C56">
        <v>2040</v>
      </c>
      <c r="D56" s="34" t="s">
        <v>55</v>
      </c>
      <c r="E56" s="34" t="s">
        <v>56</v>
      </c>
      <c r="F56" s="34" t="s">
        <v>69</v>
      </c>
      <c r="G56" s="34" t="s">
        <v>58</v>
      </c>
      <c r="H56" s="34" t="s">
        <v>21</v>
      </c>
      <c r="I56" s="34" t="s">
        <v>19</v>
      </c>
      <c r="J56" s="34" t="s">
        <v>22</v>
      </c>
      <c r="K56" s="34" t="s">
        <v>46</v>
      </c>
      <c r="L56" s="34" t="s">
        <v>47</v>
      </c>
      <c r="M56">
        <v>11</v>
      </c>
    </row>
    <row r="57" spans="1:13" x14ac:dyDescent="0.3">
      <c r="A57" s="34" t="s">
        <v>80</v>
      </c>
      <c r="B57">
        <v>-1</v>
      </c>
      <c r="C57">
        <v>2040</v>
      </c>
      <c r="D57" s="34" t="s">
        <v>55</v>
      </c>
      <c r="E57" s="34" t="s">
        <v>56</v>
      </c>
      <c r="F57" s="34" t="s">
        <v>69</v>
      </c>
      <c r="G57" s="34" t="s">
        <v>58</v>
      </c>
      <c r="H57" s="34" t="s">
        <v>21</v>
      </c>
      <c r="I57" s="34" t="s">
        <v>19</v>
      </c>
      <c r="J57" s="34" t="s">
        <v>22</v>
      </c>
      <c r="K57" s="34" t="s">
        <v>48</v>
      </c>
      <c r="L57" s="34" t="s">
        <v>47</v>
      </c>
      <c r="M57">
        <v>-8.25</v>
      </c>
    </row>
    <row r="58" spans="1:13" x14ac:dyDescent="0.3">
      <c r="A58" s="34" t="s">
        <v>80</v>
      </c>
      <c r="B58">
        <v>-1</v>
      </c>
      <c r="C58">
        <v>2040</v>
      </c>
      <c r="D58" s="34" t="s">
        <v>55</v>
      </c>
      <c r="E58" s="34" t="s">
        <v>56</v>
      </c>
      <c r="F58" s="34" t="s">
        <v>69</v>
      </c>
      <c r="G58" s="34" t="s">
        <v>29</v>
      </c>
      <c r="H58" s="34" t="s">
        <v>21</v>
      </c>
      <c r="I58" s="34" t="s">
        <v>19</v>
      </c>
      <c r="J58" s="34" t="s">
        <v>22</v>
      </c>
      <c r="K58" s="34" t="s">
        <v>46</v>
      </c>
      <c r="L58" s="34" t="s">
        <v>47</v>
      </c>
      <c r="M58">
        <v>3.3000000000000003</v>
      </c>
    </row>
    <row r="59" spans="1:13" x14ac:dyDescent="0.3">
      <c r="A59" s="34" t="s">
        <v>80</v>
      </c>
      <c r="B59">
        <v>-1</v>
      </c>
      <c r="C59">
        <v>2040</v>
      </c>
      <c r="D59" s="34" t="s">
        <v>55</v>
      </c>
      <c r="E59" s="34" t="s">
        <v>56</v>
      </c>
      <c r="F59" s="34" t="s">
        <v>69</v>
      </c>
      <c r="G59" s="34" t="s">
        <v>29</v>
      </c>
      <c r="H59" s="34" t="s">
        <v>21</v>
      </c>
      <c r="I59" s="34" t="s">
        <v>19</v>
      </c>
      <c r="J59" s="34" t="s">
        <v>22</v>
      </c>
      <c r="K59" s="34" t="s">
        <v>48</v>
      </c>
      <c r="L59" s="34" t="s">
        <v>47</v>
      </c>
      <c r="M59">
        <v>-2.4750000000000001</v>
      </c>
    </row>
    <row r="60" spans="1:13" x14ac:dyDescent="0.3">
      <c r="A60" s="34" t="s">
        <v>80</v>
      </c>
      <c r="B60">
        <v>-1</v>
      </c>
      <c r="C60">
        <v>2040</v>
      </c>
      <c r="D60" s="34" t="s">
        <v>55</v>
      </c>
      <c r="E60" s="34" t="s">
        <v>56</v>
      </c>
      <c r="F60" s="34" t="s">
        <v>69</v>
      </c>
      <c r="G60" s="34" t="s">
        <v>20</v>
      </c>
      <c r="H60" s="34" t="s">
        <v>21</v>
      </c>
      <c r="I60" s="34" t="s">
        <v>19</v>
      </c>
      <c r="J60" s="34" t="s">
        <v>22</v>
      </c>
      <c r="K60" s="34" t="s">
        <v>46</v>
      </c>
      <c r="L60" s="34" t="s">
        <v>47</v>
      </c>
      <c r="M60">
        <v>7.15</v>
      </c>
    </row>
    <row r="61" spans="1:13" x14ac:dyDescent="0.3">
      <c r="A61" s="34" t="s">
        <v>80</v>
      </c>
      <c r="B61">
        <v>-1</v>
      </c>
      <c r="C61">
        <v>2040</v>
      </c>
      <c r="D61" s="34" t="s">
        <v>55</v>
      </c>
      <c r="E61" s="34" t="s">
        <v>56</v>
      </c>
      <c r="F61" s="34" t="s">
        <v>69</v>
      </c>
      <c r="G61" s="34" t="s">
        <v>20</v>
      </c>
      <c r="H61" s="34" t="s">
        <v>21</v>
      </c>
      <c r="I61" s="34" t="s">
        <v>19</v>
      </c>
      <c r="J61" s="34" t="s">
        <v>22</v>
      </c>
      <c r="K61" s="34" t="s">
        <v>48</v>
      </c>
      <c r="L61" s="34" t="s">
        <v>47</v>
      </c>
      <c r="M61">
        <v>-5.3624999999999998</v>
      </c>
    </row>
    <row r="62" spans="1:13" x14ac:dyDescent="0.3">
      <c r="A62" s="34" t="s">
        <v>80</v>
      </c>
      <c r="B62">
        <v>-1</v>
      </c>
      <c r="C62">
        <v>2040</v>
      </c>
      <c r="D62" s="34" t="s">
        <v>55</v>
      </c>
      <c r="E62" s="34" t="s">
        <v>56</v>
      </c>
      <c r="F62" s="34" t="s">
        <v>69</v>
      </c>
      <c r="G62" s="34" t="s">
        <v>30</v>
      </c>
      <c r="H62" s="34" t="s">
        <v>21</v>
      </c>
      <c r="I62" s="34" t="s">
        <v>19</v>
      </c>
      <c r="J62" s="34" t="s">
        <v>22</v>
      </c>
      <c r="K62" s="34" t="s">
        <v>46</v>
      </c>
      <c r="L62" s="34" t="s">
        <v>47</v>
      </c>
      <c r="M62">
        <v>0.55000000000000004</v>
      </c>
    </row>
    <row r="63" spans="1:13" x14ac:dyDescent="0.3">
      <c r="A63" s="34" t="s">
        <v>80</v>
      </c>
      <c r="B63">
        <v>-1</v>
      </c>
      <c r="C63">
        <v>2040</v>
      </c>
      <c r="D63" s="34" t="s">
        <v>55</v>
      </c>
      <c r="E63" s="34" t="s">
        <v>56</v>
      </c>
      <c r="F63" s="34" t="s">
        <v>69</v>
      </c>
      <c r="G63" s="34" t="s">
        <v>30</v>
      </c>
      <c r="H63" s="34" t="s">
        <v>21</v>
      </c>
      <c r="I63" s="34" t="s">
        <v>19</v>
      </c>
      <c r="J63" s="34" t="s">
        <v>22</v>
      </c>
      <c r="K63" s="34" t="s">
        <v>48</v>
      </c>
      <c r="L63" s="34" t="s">
        <v>47</v>
      </c>
      <c r="M63">
        <v>-0.41250000000000003</v>
      </c>
    </row>
    <row r="64" spans="1:13" x14ac:dyDescent="0.3">
      <c r="A64" s="34" t="s">
        <v>80</v>
      </c>
      <c r="B64">
        <v>-1</v>
      </c>
      <c r="C64">
        <v>2040</v>
      </c>
      <c r="D64" s="34" t="s">
        <v>55</v>
      </c>
      <c r="E64" s="34" t="s">
        <v>56</v>
      </c>
      <c r="F64" s="34" t="s">
        <v>69</v>
      </c>
      <c r="G64" s="34" t="s">
        <v>62</v>
      </c>
      <c r="H64" s="34" t="s">
        <v>21</v>
      </c>
      <c r="I64" s="34" t="s">
        <v>19</v>
      </c>
      <c r="J64" s="34" t="s">
        <v>22</v>
      </c>
      <c r="K64" s="34" t="s">
        <v>49</v>
      </c>
      <c r="L64" s="34" t="s">
        <v>47</v>
      </c>
      <c r="M64">
        <v>3.3142180343145085</v>
      </c>
    </row>
    <row r="65" spans="1:13" x14ac:dyDescent="0.3">
      <c r="A65" s="34" t="s">
        <v>80</v>
      </c>
      <c r="B65">
        <v>-1</v>
      </c>
      <c r="C65">
        <v>2040</v>
      </c>
      <c r="D65" s="34" t="s">
        <v>55</v>
      </c>
      <c r="E65" s="34" t="s">
        <v>56</v>
      </c>
      <c r="F65" s="34" t="s">
        <v>69</v>
      </c>
      <c r="G65" s="34" t="s">
        <v>64</v>
      </c>
      <c r="H65" s="34" t="s">
        <v>21</v>
      </c>
      <c r="I65" s="34" t="s">
        <v>19</v>
      </c>
      <c r="J65" s="34" t="s">
        <v>22</v>
      </c>
      <c r="K65" s="34" t="s">
        <v>49</v>
      </c>
      <c r="L65" s="34" t="s">
        <v>47</v>
      </c>
      <c r="M65">
        <v>44.886851250774008</v>
      </c>
    </row>
    <row r="66" spans="1:13" x14ac:dyDescent="0.3">
      <c r="A66" s="34" t="s">
        <v>80</v>
      </c>
      <c r="B66">
        <v>-1</v>
      </c>
      <c r="C66">
        <v>2040</v>
      </c>
      <c r="D66" s="34" t="s">
        <v>55</v>
      </c>
      <c r="E66" s="34" t="s">
        <v>56</v>
      </c>
      <c r="F66" s="34" t="s">
        <v>69</v>
      </c>
      <c r="G66" s="34" t="s">
        <v>63</v>
      </c>
      <c r="H66" s="34" t="s">
        <v>23</v>
      </c>
      <c r="I66" s="34" t="s">
        <v>19</v>
      </c>
      <c r="J66" s="34" t="s">
        <v>24</v>
      </c>
      <c r="K66" s="34" t="s">
        <v>49</v>
      </c>
      <c r="L66" s="34" t="s">
        <v>47</v>
      </c>
      <c r="M66">
        <v>26.096848004485526</v>
      </c>
    </row>
    <row r="67" spans="1:13" x14ac:dyDescent="0.3">
      <c r="A67" s="34" t="s">
        <v>80</v>
      </c>
      <c r="B67">
        <v>-1</v>
      </c>
      <c r="C67">
        <v>2040</v>
      </c>
      <c r="D67" s="34" t="s">
        <v>55</v>
      </c>
      <c r="E67" s="34" t="s">
        <v>56</v>
      </c>
      <c r="F67" s="34" t="s">
        <v>69</v>
      </c>
      <c r="G67" s="34" t="s">
        <v>65</v>
      </c>
      <c r="H67" s="34" t="s">
        <v>23</v>
      </c>
      <c r="I67" s="34" t="s">
        <v>19</v>
      </c>
      <c r="J67" s="34" t="s">
        <v>24</v>
      </c>
      <c r="K67" s="34" t="s">
        <v>49</v>
      </c>
      <c r="L67" s="34" t="s">
        <v>47</v>
      </c>
      <c r="M67">
        <v>18.659298529708089</v>
      </c>
    </row>
    <row r="68" spans="1:13" x14ac:dyDescent="0.3">
      <c r="A68" s="34" t="s">
        <v>80</v>
      </c>
      <c r="B68">
        <v>-1</v>
      </c>
      <c r="C68">
        <v>2050</v>
      </c>
      <c r="D68" s="34" t="s">
        <v>55</v>
      </c>
      <c r="E68" s="34" t="s">
        <v>56</v>
      </c>
      <c r="F68" s="34" t="s">
        <v>57</v>
      </c>
      <c r="G68" s="34" t="s">
        <v>43</v>
      </c>
      <c r="H68" s="34" t="s">
        <v>40</v>
      </c>
      <c r="I68" s="34" t="s">
        <v>19</v>
      </c>
      <c r="J68" s="34" t="s">
        <v>27</v>
      </c>
      <c r="K68" s="34" t="s">
        <v>46</v>
      </c>
      <c r="L68" s="34" t="s">
        <v>47</v>
      </c>
      <c r="M68">
        <v>25.75</v>
      </c>
    </row>
    <row r="69" spans="1:13" x14ac:dyDescent="0.3">
      <c r="A69" s="34" t="s">
        <v>80</v>
      </c>
      <c r="B69">
        <v>-1</v>
      </c>
      <c r="C69">
        <v>2050</v>
      </c>
      <c r="D69" s="34" t="s">
        <v>55</v>
      </c>
      <c r="E69" s="34" t="s">
        <v>56</v>
      </c>
      <c r="F69" s="34" t="s">
        <v>57</v>
      </c>
      <c r="G69" s="34" t="s">
        <v>43</v>
      </c>
      <c r="H69" s="34" t="s">
        <v>40</v>
      </c>
      <c r="I69" s="34" t="s">
        <v>19</v>
      </c>
      <c r="J69" s="34" t="s">
        <v>27</v>
      </c>
      <c r="K69" s="34" t="s">
        <v>48</v>
      </c>
      <c r="L69" s="34" t="s">
        <v>47</v>
      </c>
      <c r="M69">
        <v>-25.75</v>
      </c>
    </row>
    <row r="70" spans="1:13" x14ac:dyDescent="0.3">
      <c r="A70" s="34" t="s">
        <v>80</v>
      </c>
      <c r="B70">
        <v>-1</v>
      </c>
      <c r="C70">
        <v>2050</v>
      </c>
      <c r="D70" s="34" t="s">
        <v>55</v>
      </c>
      <c r="E70" s="34" t="s">
        <v>56</v>
      </c>
      <c r="F70" s="34" t="s">
        <v>57</v>
      </c>
      <c r="G70" s="34" t="s">
        <v>44</v>
      </c>
      <c r="H70" s="34" t="s">
        <v>45</v>
      </c>
      <c r="I70" s="34" t="s">
        <v>19</v>
      </c>
      <c r="J70" s="34" t="s">
        <v>27</v>
      </c>
      <c r="K70" s="34" t="s">
        <v>46</v>
      </c>
      <c r="L70" s="34" t="s">
        <v>47</v>
      </c>
      <c r="M70">
        <v>1.7</v>
      </c>
    </row>
    <row r="71" spans="1:13" x14ac:dyDescent="0.3">
      <c r="A71" s="34" t="s">
        <v>80</v>
      </c>
      <c r="B71">
        <v>-1</v>
      </c>
      <c r="C71">
        <v>2050</v>
      </c>
      <c r="D71" s="34" t="s">
        <v>55</v>
      </c>
      <c r="E71" s="34" t="s">
        <v>56</v>
      </c>
      <c r="F71" s="34" t="s">
        <v>57</v>
      </c>
      <c r="G71" s="34" t="s">
        <v>44</v>
      </c>
      <c r="H71" s="34" t="s">
        <v>45</v>
      </c>
      <c r="I71" s="34" t="s">
        <v>19</v>
      </c>
      <c r="J71" s="34" t="s">
        <v>27</v>
      </c>
      <c r="K71" s="34" t="s">
        <v>48</v>
      </c>
      <c r="L71" s="34" t="s">
        <v>47</v>
      </c>
      <c r="M71">
        <v>-1.7</v>
      </c>
    </row>
    <row r="72" spans="1:13" x14ac:dyDescent="0.3">
      <c r="A72" s="34" t="s">
        <v>80</v>
      </c>
      <c r="B72">
        <v>-1</v>
      </c>
      <c r="C72">
        <v>2050</v>
      </c>
      <c r="D72" s="34" t="s">
        <v>55</v>
      </c>
      <c r="E72" s="34" t="s">
        <v>56</v>
      </c>
      <c r="F72" s="34" t="s">
        <v>57</v>
      </c>
      <c r="G72" s="34" t="s">
        <v>31</v>
      </c>
      <c r="H72" s="34" t="s">
        <v>18</v>
      </c>
      <c r="I72" s="34" t="s">
        <v>19</v>
      </c>
      <c r="J72" s="34" t="s">
        <v>32</v>
      </c>
      <c r="K72" s="34" t="s">
        <v>46</v>
      </c>
      <c r="L72" s="34" t="s">
        <v>47</v>
      </c>
      <c r="M72">
        <v>31.5</v>
      </c>
    </row>
    <row r="73" spans="1:13" x14ac:dyDescent="0.3">
      <c r="A73" s="34" t="s">
        <v>80</v>
      </c>
      <c r="B73">
        <v>-1</v>
      </c>
      <c r="C73">
        <v>2050</v>
      </c>
      <c r="D73" s="34" t="s">
        <v>55</v>
      </c>
      <c r="E73" s="34" t="s">
        <v>56</v>
      </c>
      <c r="F73" s="34" t="s">
        <v>57</v>
      </c>
      <c r="G73" s="34" t="s">
        <v>54</v>
      </c>
      <c r="H73" s="34" t="s">
        <v>39</v>
      </c>
      <c r="I73" s="34" t="s">
        <v>19</v>
      </c>
      <c r="J73" s="34" t="s">
        <v>27</v>
      </c>
      <c r="K73" s="34" t="s">
        <v>46</v>
      </c>
      <c r="L73" s="34" t="s">
        <v>47</v>
      </c>
      <c r="M73">
        <v>20</v>
      </c>
    </row>
    <row r="74" spans="1:13" x14ac:dyDescent="0.3">
      <c r="A74" s="34" t="s">
        <v>80</v>
      </c>
      <c r="B74">
        <v>-1</v>
      </c>
      <c r="C74">
        <v>2050</v>
      </c>
      <c r="D74" s="34" t="s">
        <v>55</v>
      </c>
      <c r="E74" s="34" t="s">
        <v>56</v>
      </c>
      <c r="F74" s="34" t="s">
        <v>57</v>
      </c>
      <c r="G74" s="34" t="s">
        <v>54</v>
      </c>
      <c r="H74" s="34" t="s">
        <v>39</v>
      </c>
      <c r="I74" s="34" t="s">
        <v>19</v>
      </c>
      <c r="J74" s="34" t="s">
        <v>27</v>
      </c>
      <c r="K74" s="34" t="s">
        <v>48</v>
      </c>
      <c r="L74" s="34" t="s">
        <v>47</v>
      </c>
      <c r="M74">
        <v>-20</v>
      </c>
    </row>
    <row r="75" spans="1:13" x14ac:dyDescent="0.3">
      <c r="A75" s="34" t="s">
        <v>80</v>
      </c>
      <c r="B75">
        <v>-1</v>
      </c>
      <c r="C75">
        <v>2050</v>
      </c>
      <c r="D75" s="34" t="s">
        <v>55</v>
      </c>
      <c r="E75" s="34" t="s">
        <v>56</v>
      </c>
      <c r="F75" s="34" t="s">
        <v>57</v>
      </c>
      <c r="G75" s="34" t="s">
        <v>25</v>
      </c>
      <c r="H75" s="34" t="s">
        <v>26</v>
      </c>
      <c r="I75" s="34" t="s">
        <v>19</v>
      </c>
      <c r="J75" s="34" t="s">
        <v>27</v>
      </c>
      <c r="K75" s="34" t="s">
        <v>49</v>
      </c>
      <c r="L75" s="34" t="s">
        <v>47</v>
      </c>
      <c r="M75">
        <v>0.60771718948039632</v>
      </c>
    </row>
    <row r="76" spans="1:13" x14ac:dyDescent="0.3">
      <c r="A76" s="34" t="s">
        <v>80</v>
      </c>
      <c r="B76">
        <v>-1</v>
      </c>
      <c r="C76">
        <v>2050</v>
      </c>
      <c r="D76" s="34" t="s">
        <v>55</v>
      </c>
      <c r="E76" s="34" t="s">
        <v>56</v>
      </c>
      <c r="F76" s="34" t="s">
        <v>57</v>
      </c>
      <c r="G76" s="34" t="s">
        <v>52</v>
      </c>
      <c r="H76" s="34" t="s">
        <v>53</v>
      </c>
      <c r="I76" s="34" t="s">
        <v>19</v>
      </c>
      <c r="J76" s="34" t="s">
        <v>27</v>
      </c>
      <c r="K76" s="34" t="s">
        <v>46</v>
      </c>
      <c r="L76" s="34" t="s">
        <v>47</v>
      </c>
      <c r="M76">
        <v>1.7</v>
      </c>
    </row>
    <row r="77" spans="1:13" x14ac:dyDescent="0.3">
      <c r="A77" s="34" t="s">
        <v>80</v>
      </c>
      <c r="B77">
        <v>-1</v>
      </c>
      <c r="C77">
        <v>2050</v>
      </c>
      <c r="D77" s="34" t="s">
        <v>55</v>
      </c>
      <c r="E77" s="34" t="s">
        <v>56</v>
      </c>
      <c r="F77" s="34" t="s">
        <v>57</v>
      </c>
      <c r="G77" s="34" t="s">
        <v>52</v>
      </c>
      <c r="H77" s="34" t="s">
        <v>53</v>
      </c>
      <c r="I77" s="34" t="s">
        <v>19</v>
      </c>
      <c r="J77" s="34" t="s">
        <v>27</v>
      </c>
      <c r="K77" s="34" t="s">
        <v>48</v>
      </c>
      <c r="L77" s="34" t="s">
        <v>47</v>
      </c>
      <c r="M77">
        <v>-1.7</v>
      </c>
    </row>
    <row r="78" spans="1:13" x14ac:dyDescent="0.3">
      <c r="A78" s="34" t="s">
        <v>80</v>
      </c>
      <c r="B78">
        <v>-1</v>
      </c>
      <c r="C78">
        <v>2050</v>
      </c>
      <c r="D78" s="34" t="s">
        <v>55</v>
      </c>
      <c r="E78" s="34" t="s">
        <v>56</v>
      </c>
      <c r="F78" s="34" t="s">
        <v>57</v>
      </c>
      <c r="G78" s="34" t="s">
        <v>59</v>
      </c>
      <c r="H78" s="34" t="s">
        <v>12</v>
      </c>
      <c r="I78" s="34" t="s">
        <v>13</v>
      </c>
      <c r="J78" s="34" t="s">
        <v>14</v>
      </c>
      <c r="K78" s="34" t="s">
        <v>49</v>
      </c>
      <c r="L78" s="34" t="s">
        <v>47</v>
      </c>
      <c r="M78">
        <v>4.0150039674721656</v>
      </c>
    </row>
    <row r="79" spans="1:13" x14ac:dyDescent="0.3">
      <c r="A79" s="34" t="s">
        <v>80</v>
      </c>
      <c r="B79">
        <v>-1</v>
      </c>
      <c r="C79">
        <v>2050</v>
      </c>
      <c r="D79" s="34" t="s">
        <v>55</v>
      </c>
      <c r="E79" s="34" t="s">
        <v>56</v>
      </c>
      <c r="F79" s="34" t="s">
        <v>57</v>
      </c>
      <c r="G79" s="34" t="s">
        <v>60</v>
      </c>
      <c r="H79" s="34" t="s">
        <v>12</v>
      </c>
      <c r="I79" s="34" t="s">
        <v>13</v>
      </c>
      <c r="J79" s="34" t="s">
        <v>14</v>
      </c>
      <c r="K79" s="34" t="s">
        <v>49</v>
      </c>
      <c r="L79" s="34" t="s">
        <v>47</v>
      </c>
      <c r="M79">
        <v>9.8214495109105577</v>
      </c>
    </row>
    <row r="80" spans="1:13" x14ac:dyDescent="0.3">
      <c r="A80" s="34" t="s">
        <v>80</v>
      </c>
      <c r="B80">
        <v>-1</v>
      </c>
      <c r="C80">
        <v>2050</v>
      </c>
      <c r="D80" s="34" t="s">
        <v>55</v>
      </c>
      <c r="E80" s="34" t="s">
        <v>56</v>
      </c>
      <c r="F80" s="34" t="s">
        <v>57</v>
      </c>
      <c r="G80" s="34" t="s">
        <v>16</v>
      </c>
      <c r="H80" s="34" t="s">
        <v>12</v>
      </c>
      <c r="I80" s="34" t="s">
        <v>13</v>
      </c>
      <c r="J80" s="34" t="s">
        <v>14</v>
      </c>
      <c r="K80" s="34" t="s">
        <v>49</v>
      </c>
      <c r="L80" s="34" t="s">
        <v>47</v>
      </c>
      <c r="M80">
        <v>9.6814878536552396</v>
      </c>
    </row>
    <row r="81" spans="1:13" x14ac:dyDescent="0.3">
      <c r="A81" s="34" t="s">
        <v>80</v>
      </c>
      <c r="B81">
        <v>-1</v>
      </c>
      <c r="C81">
        <v>2050</v>
      </c>
      <c r="D81" s="34" t="s">
        <v>55</v>
      </c>
      <c r="E81" s="34" t="s">
        <v>56</v>
      </c>
      <c r="F81" s="34" t="s">
        <v>57</v>
      </c>
      <c r="G81" s="34" t="s">
        <v>66</v>
      </c>
      <c r="H81" s="34" t="s">
        <v>13</v>
      </c>
      <c r="I81" s="34" t="s">
        <v>13</v>
      </c>
      <c r="J81" s="34" t="s">
        <v>17</v>
      </c>
      <c r="K81" s="34" t="s">
        <v>49</v>
      </c>
      <c r="L81" s="34" t="s">
        <v>47</v>
      </c>
      <c r="M81">
        <v>94.02129126955829</v>
      </c>
    </row>
    <row r="82" spans="1:13" x14ac:dyDescent="0.3">
      <c r="A82" s="34" t="s">
        <v>80</v>
      </c>
      <c r="B82">
        <v>-1</v>
      </c>
      <c r="C82">
        <v>2050</v>
      </c>
      <c r="D82" s="34" t="s">
        <v>55</v>
      </c>
      <c r="E82" s="34" t="s">
        <v>56</v>
      </c>
      <c r="F82" s="34" t="s">
        <v>57</v>
      </c>
      <c r="G82" s="34" t="s">
        <v>61</v>
      </c>
      <c r="H82" s="34" t="s">
        <v>13</v>
      </c>
      <c r="I82" s="34" t="s">
        <v>13</v>
      </c>
      <c r="J82" s="34" t="s">
        <v>17</v>
      </c>
      <c r="K82" s="34" t="s">
        <v>49</v>
      </c>
      <c r="L82" s="34" t="s">
        <v>47</v>
      </c>
      <c r="M82">
        <v>365.89401881197841</v>
      </c>
    </row>
    <row r="83" spans="1:13" x14ac:dyDescent="0.3">
      <c r="A83" s="34" t="s">
        <v>80</v>
      </c>
      <c r="B83">
        <v>-1</v>
      </c>
      <c r="C83">
        <v>2050</v>
      </c>
      <c r="D83" s="34" t="s">
        <v>55</v>
      </c>
      <c r="E83" s="34" t="s">
        <v>56</v>
      </c>
      <c r="F83" s="34" t="s">
        <v>57</v>
      </c>
      <c r="G83" s="34" t="s">
        <v>41</v>
      </c>
      <c r="H83" s="34" t="s">
        <v>40</v>
      </c>
      <c r="I83" s="34" t="s">
        <v>13</v>
      </c>
      <c r="J83" s="34" t="s">
        <v>42</v>
      </c>
      <c r="K83" s="34" t="s">
        <v>49</v>
      </c>
      <c r="L83" s="34" t="s">
        <v>47</v>
      </c>
      <c r="M83">
        <v>1.3648352228478458</v>
      </c>
    </row>
    <row r="84" spans="1:13" x14ac:dyDescent="0.3">
      <c r="A84" s="34" t="s">
        <v>80</v>
      </c>
      <c r="B84">
        <v>-1</v>
      </c>
      <c r="C84">
        <v>2050</v>
      </c>
      <c r="D84" s="34" t="s">
        <v>55</v>
      </c>
      <c r="E84" s="34" t="s">
        <v>56</v>
      </c>
      <c r="F84" s="34" t="s">
        <v>69</v>
      </c>
      <c r="G84" s="34" t="s">
        <v>28</v>
      </c>
      <c r="H84" s="34" t="s">
        <v>23</v>
      </c>
      <c r="I84" s="34" t="s">
        <v>19</v>
      </c>
      <c r="J84" s="34" t="s">
        <v>24</v>
      </c>
      <c r="K84" s="34" t="s">
        <v>46</v>
      </c>
      <c r="L84" s="34" t="s">
        <v>47</v>
      </c>
      <c r="M84">
        <v>8</v>
      </c>
    </row>
    <row r="85" spans="1:13" x14ac:dyDescent="0.3">
      <c r="A85" s="34" t="s">
        <v>80</v>
      </c>
      <c r="B85">
        <v>-1</v>
      </c>
      <c r="C85">
        <v>2050</v>
      </c>
      <c r="D85" s="34" t="s">
        <v>55</v>
      </c>
      <c r="E85" s="34" t="s">
        <v>56</v>
      </c>
      <c r="F85" s="34" t="s">
        <v>69</v>
      </c>
      <c r="G85" s="34" t="s">
        <v>28</v>
      </c>
      <c r="H85" s="34" t="s">
        <v>23</v>
      </c>
      <c r="I85" s="34" t="s">
        <v>19</v>
      </c>
      <c r="J85" s="34" t="s">
        <v>24</v>
      </c>
      <c r="K85" s="34" t="s">
        <v>48</v>
      </c>
      <c r="L85" s="34" t="s">
        <v>47</v>
      </c>
      <c r="M85">
        <v>-8</v>
      </c>
    </row>
    <row r="86" spans="1:13" x14ac:dyDescent="0.3">
      <c r="A86" s="34" t="s">
        <v>80</v>
      </c>
      <c r="B86">
        <v>-1</v>
      </c>
      <c r="C86">
        <v>2050</v>
      </c>
      <c r="D86" s="34" t="s">
        <v>55</v>
      </c>
      <c r="E86" s="34" t="s">
        <v>56</v>
      </c>
      <c r="F86" s="34" t="s">
        <v>69</v>
      </c>
      <c r="G86" s="34" t="s">
        <v>58</v>
      </c>
      <c r="H86" s="34" t="s">
        <v>21</v>
      </c>
      <c r="I86" s="34" t="s">
        <v>19</v>
      </c>
      <c r="J86" s="34" t="s">
        <v>22</v>
      </c>
      <c r="K86" s="34" t="s">
        <v>46</v>
      </c>
      <c r="L86" s="34" t="s">
        <v>47</v>
      </c>
      <c r="M86">
        <v>11</v>
      </c>
    </row>
    <row r="87" spans="1:13" x14ac:dyDescent="0.3">
      <c r="A87" s="34" t="s">
        <v>80</v>
      </c>
      <c r="B87">
        <v>-1</v>
      </c>
      <c r="C87">
        <v>2050</v>
      </c>
      <c r="D87" s="34" t="s">
        <v>55</v>
      </c>
      <c r="E87" s="34" t="s">
        <v>56</v>
      </c>
      <c r="F87" s="34" t="s">
        <v>69</v>
      </c>
      <c r="G87" s="34" t="s">
        <v>58</v>
      </c>
      <c r="H87" s="34" t="s">
        <v>21</v>
      </c>
      <c r="I87" s="34" t="s">
        <v>19</v>
      </c>
      <c r="J87" s="34" t="s">
        <v>22</v>
      </c>
      <c r="K87" s="34" t="s">
        <v>48</v>
      </c>
      <c r="L87" s="34" t="s">
        <v>47</v>
      </c>
      <c r="M87">
        <v>-11</v>
      </c>
    </row>
    <row r="88" spans="1:13" x14ac:dyDescent="0.3">
      <c r="A88" s="34" t="s">
        <v>80</v>
      </c>
      <c r="B88">
        <v>-1</v>
      </c>
      <c r="C88">
        <v>2050</v>
      </c>
      <c r="D88" s="34" t="s">
        <v>55</v>
      </c>
      <c r="E88" s="34" t="s">
        <v>56</v>
      </c>
      <c r="F88" s="34" t="s">
        <v>69</v>
      </c>
      <c r="G88" s="34" t="s">
        <v>29</v>
      </c>
      <c r="H88" s="34" t="s">
        <v>21</v>
      </c>
      <c r="I88" s="34" t="s">
        <v>19</v>
      </c>
      <c r="J88" s="34" t="s">
        <v>22</v>
      </c>
      <c r="K88" s="34" t="s">
        <v>46</v>
      </c>
      <c r="L88" s="34" t="s">
        <v>47</v>
      </c>
      <c r="M88">
        <v>3.3000000000000003</v>
      </c>
    </row>
    <row r="89" spans="1:13" x14ac:dyDescent="0.3">
      <c r="A89" s="34" t="s">
        <v>80</v>
      </c>
      <c r="B89">
        <v>-1</v>
      </c>
      <c r="C89">
        <v>2050</v>
      </c>
      <c r="D89" s="34" t="s">
        <v>55</v>
      </c>
      <c r="E89" s="34" t="s">
        <v>56</v>
      </c>
      <c r="F89" s="34" t="s">
        <v>69</v>
      </c>
      <c r="G89" s="34" t="s">
        <v>29</v>
      </c>
      <c r="H89" s="34" t="s">
        <v>21</v>
      </c>
      <c r="I89" s="34" t="s">
        <v>19</v>
      </c>
      <c r="J89" s="34" t="s">
        <v>22</v>
      </c>
      <c r="K89" s="34" t="s">
        <v>48</v>
      </c>
      <c r="L89" s="34" t="s">
        <v>47</v>
      </c>
      <c r="M89">
        <v>-3.3000000000000003</v>
      </c>
    </row>
    <row r="90" spans="1:13" x14ac:dyDescent="0.3">
      <c r="A90" s="34" t="s">
        <v>80</v>
      </c>
      <c r="B90">
        <v>-1</v>
      </c>
      <c r="C90">
        <v>2050</v>
      </c>
      <c r="D90" s="34" t="s">
        <v>55</v>
      </c>
      <c r="E90" s="34" t="s">
        <v>56</v>
      </c>
      <c r="F90" s="34" t="s">
        <v>69</v>
      </c>
      <c r="G90" s="34" t="s">
        <v>20</v>
      </c>
      <c r="H90" s="34" t="s">
        <v>21</v>
      </c>
      <c r="I90" s="34" t="s">
        <v>19</v>
      </c>
      <c r="J90" s="34" t="s">
        <v>22</v>
      </c>
      <c r="K90" s="34" t="s">
        <v>46</v>
      </c>
      <c r="L90" s="34" t="s">
        <v>47</v>
      </c>
      <c r="M90">
        <v>7.15</v>
      </c>
    </row>
    <row r="91" spans="1:13" x14ac:dyDescent="0.3">
      <c r="A91" s="34" t="s">
        <v>80</v>
      </c>
      <c r="B91">
        <v>-1</v>
      </c>
      <c r="C91">
        <v>2050</v>
      </c>
      <c r="D91" s="34" t="s">
        <v>55</v>
      </c>
      <c r="E91" s="34" t="s">
        <v>56</v>
      </c>
      <c r="F91" s="34" t="s">
        <v>69</v>
      </c>
      <c r="G91" s="34" t="s">
        <v>20</v>
      </c>
      <c r="H91" s="34" t="s">
        <v>21</v>
      </c>
      <c r="I91" s="34" t="s">
        <v>19</v>
      </c>
      <c r="J91" s="34" t="s">
        <v>22</v>
      </c>
      <c r="K91" s="34" t="s">
        <v>48</v>
      </c>
      <c r="L91" s="34" t="s">
        <v>47</v>
      </c>
      <c r="M91">
        <v>-7.15</v>
      </c>
    </row>
    <row r="92" spans="1:13" x14ac:dyDescent="0.3">
      <c r="A92" s="34" t="s">
        <v>80</v>
      </c>
      <c r="B92">
        <v>-1</v>
      </c>
      <c r="C92">
        <v>2050</v>
      </c>
      <c r="D92" s="34" t="s">
        <v>55</v>
      </c>
      <c r="E92" s="34" t="s">
        <v>56</v>
      </c>
      <c r="F92" s="34" t="s">
        <v>69</v>
      </c>
      <c r="G92" s="34" t="s">
        <v>30</v>
      </c>
      <c r="H92" s="34" t="s">
        <v>21</v>
      </c>
      <c r="I92" s="34" t="s">
        <v>19</v>
      </c>
      <c r="J92" s="34" t="s">
        <v>22</v>
      </c>
      <c r="K92" s="34" t="s">
        <v>46</v>
      </c>
      <c r="L92" s="34" t="s">
        <v>47</v>
      </c>
      <c r="M92">
        <v>0.55000000000000004</v>
      </c>
    </row>
    <row r="93" spans="1:13" x14ac:dyDescent="0.3">
      <c r="A93" s="34" t="s">
        <v>80</v>
      </c>
      <c r="B93">
        <v>-1</v>
      </c>
      <c r="C93">
        <v>2050</v>
      </c>
      <c r="D93" s="34" t="s">
        <v>55</v>
      </c>
      <c r="E93" s="34" t="s">
        <v>56</v>
      </c>
      <c r="F93" s="34" t="s">
        <v>69</v>
      </c>
      <c r="G93" s="34" t="s">
        <v>30</v>
      </c>
      <c r="H93" s="34" t="s">
        <v>21</v>
      </c>
      <c r="I93" s="34" t="s">
        <v>19</v>
      </c>
      <c r="J93" s="34" t="s">
        <v>22</v>
      </c>
      <c r="K93" s="34" t="s">
        <v>48</v>
      </c>
      <c r="L93" s="34" t="s">
        <v>47</v>
      </c>
      <c r="M93">
        <v>-0.55000000000000004</v>
      </c>
    </row>
    <row r="94" spans="1:13" x14ac:dyDescent="0.3">
      <c r="A94" s="34" t="s">
        <v>80</v>
      </c>
      <c r="B94">
        <v>-1</v>
      </c>
      <c r="C94">
        <v>2050</v>
      </c>
      <c r="D94" s="34" t="s">
        <v>55</v>
      </c>
      <c r="E94" s="34" t="s">
        <v>56</v>
      </c>
      <c r="F94" s="34" t="s">
        <v>69</v>
      </c>
      <c r="G94" s="34" t="s">
        <v>62</v>
      </c>
      <c r="H94" s="34" t="s">
        <v>21</v>
      </c>
      <c r="I94" s="34" t="s">
        <v>19</v>
      </c>
      <c r="J94" s="34" t="s">
        <v>22</v>
      </c>
      <c r="K94" s="34" t="s">
        <v>49</v>
      </c>
      <c r="L94" s="34" t="s">
        <v>47</v>
      </c>
      <c r="M94">
        <v>3.3142180343145085</v>
      </c>
    </row>
    <row r="95" spans="1:13" x14ac:dyDescent="0.3">
      <c r="A95" s="34" t="s">
        <v>80</v>
      </c>
      <c r="B95">
        <v>-1</v>
      </c>
      <c r="C95">
        <v>2050</v>
      </c>
      <c r="D95" s="34" t="s">
        <v>55</v>
      </c>
      <c r="E95" s="34" t="s">
        <v>56</v>
      </c>
      <c r="F95" s="34" t="s">
        <v>69</v>
      </c>
      <c r="G95" s="34" t="s">
        <v>64</v>
      </c>
      <c r="H95" s="34" t="s">
        <v>21</v>
      </c>
      <c r="I95" s="34" t="s">
        <v>19</v>
      </c>
      <c r="J95" s="34" t="s">
        <v>22</v>
      </c>
      <c r="K95" s="34" t="s">
        <v>49</v>
      </c>
      <c r="L95" s="34" t="s">
        <v>47</v>
      </c>
      <c r="M95">
        <v>44.886851250774008</v>
      </c>
    </row>
    <row r="96" spans="1:13" x14ac:dyDescent="0.3">
      <c r="A96" s="34" t="s">
        <v>80</v>
      </c>
      <c r="B96">
        <v>-1</v>
      </c>
      <c r="C96">
        <v>2050</v>
      </c>
      <c r="D96" s="34" t="s">
        <v>55</v>
      </c>
      <c r="E96" s="34" t="s">
        <v>56</v>
      </c>
      <c r="F96" s="34" t="s">
        <v>69</v>
      </c>
      <c r="G96" s="34" t="s">
        <v>68</v>
      </c>
      <c r="H96" s="34" t="s">
        <v>21</v>
      </c>
      <c r="I96" s="34" t="s">
        <v>19</v>
      </c>
      <c r="J96" s="34" t="s">
        <v>22</v>
      </c>
      <c r="K96" s="34" t="s">
        <v>49</v>
      </c>
      <c r="L96" s="34" t="s">
        <v>47</v>
      </c>
      <c r="M96">
        <v>22.193817233418393</v>
      </c>
    </row>
    <row r="97" spans="1:13" x14ac:dyDescent="0.3">
      <c r="A97" s="34" t="s">
        <v>80</v>
      </c>
      <c r="B97">
        <v>-1</v>
      </c>
      <c r="C97">
        <v>2050</v>
      </c>
      <c r="D97" s="34" t="s">
        <v>55</v>
      </c>
      <c r="E97" s="34" t="s">
        <v>56</v>
      </c>
      <c r="F97" s="34" t="s">
        <v>69</v>
      </c>
      <c r="G97" s="34" t="s">
        <v>63</v>
      </c>
      <c r="H97" s="34" t="s">
        <v>23</v>
      </c>
      <c r="I97" s="34" t="s">
        <v>19</v>
      </c>
      <c r="J97" s="34" t="s">
        <v>24</v>
      </c>
      <c r="K97" s="34" t="s">
        <v>49</v>
      </c>
      <c r="L97" s="34" t="s">
        <v>47</v>
      </c>
      <c r="M97">
        <v>26.096848004485526</v>
      </c>
    </row>
    <row r="98" spans="1:13" x14ac:dyDescent="0.3">
      <c r="A98" s="34" t="s">
        <v>80</v>
      </c>
      <c r="B98">
        <v>-1</v>
      </c>
      <c r="C98">
        <v>2050</v>
      </c>
      <c r="D98" s="34" t="s">
        <v>55</v>
      </c>
      <c r="E98" s="34" t="s">
        <v>56</v>
      </c>
      <c r="F98" s="34" t="s">
        <v>69</v>
      </c>
      <c r="G98" s="34" t="s">
        <v>65</v>
      </c>
      <c r="H98" s="34" t="s">
        <v>23</v>
      </c>
      <c r="I98" s="34" t="s">
        <v>19</v>
      </c>
      <c r="J98" s="34" t="s">
        <v>24</v>
      </c>
      <c r="K98" s="34" t="s">
        <v>49</v>
      </c>
      <c r="L98" s="34" t="s">
        <v>47</v>
      </c>
      <c r="M98">
        <v>18.659298529708089</v>
      </c>
    </row>
    <row r="99" spans="1:13" x14ac:dyDescent="0.3">
      <c r="A99" s="34" t="s">
        <v>80</v>
      </c>
      <c r="B99">
        <v>-1</v>
      </c>
      <c r="C99">
        <v>2050</v>
      </c>
      <c r="D99" s="34" t="s">
        <v>55</v>
      </c>
      <c r="E99" s="34" t="s">
        <v>56</v>
      </c>
      <c r="F99" s="34" t="s">
        <v>69</v>
      </c>
      <c r="G99" s="34" t="s">
        <v>67</v>
      </c>
      <c r="H99" s="34" t="s">
        <v>23</v>
      </c>
      <c r="I99" s="34" t="s">
        <v>19</v>
      </c>
      <c r="J99" s="34" t="s">
        <v>24</v>
      </c>
      <c r="K99" s="34" t="s">
        <v>49</v>
      </c>
      <c r="L99" s="34" t="s">
        <v>47</v>
      </c>
      <c r="M99">
        <v>16.684985750813873</v>
      </c>
    </row>
    <row r="100" spans="1:13" x14ac:dyDescent="0.3">
      <c r="A100" s="34" t="s">
        <v>83</v>
      </c>
      <c r="B100">
        <v>-1</v>
      </c>
      <c r="C100">
        <v>2020</v>
      </c>
      <c r="D100" s="34" t="s">
        <v>55</v>
      </c>
      <c r="E100" s="34" t="s">
        <v>56</v>
      </c>
      <c r="F100" s="34" t="s">
        <v>57</v>
      </c>
      <c r="G100" s="34" t="s">
        <v>43</v>
      </c>
      <c r="H100" s="34" t="s">
        <v>40</v>
      </c>
      <c r="I100" s="34" t="s">
        <v>19</v>
      </c>
      <c r="J100" s="34" t="s">
        <v>27</v>
      </c>
      <c r="K100" s="34" t="s">
        <v>46</v>
      </c>
      <c r="L100" s="34" t="s">
        <v>47</v>
      </c>
      <c r="M100">
        <v>25.75</v>
      </c>
    </row>
    <row r="101" spans="1:13" x14ac:dyDescent="0.3">
      <c r="A101" s="34" t="s">
        <v>83</v>
      </c>
      <c r="B101">
        <v>-1</v>
      </c>
      <c r="C101">
        <v>2020</v>
      </c>
      <c r="D101" s="34" t="s">
        <v>55</v>
      </c>
      <c r="E101" s="34" t="s">
        <v>56</v>
      </c>
      <c r="F101" s="34" t="s">
        <v>57</v>
      </c>
      <c r="G101" s="34" t="s">
        <v>43</v>
      </c>
      <c r="H101" s="34" t="s">
        <v>40</v>
      </c>
      <c r="I101" s="34" t="s">
        <v>19</v>
      </c>
      <c r="J101" s="34" t="s">
        <v>27</v>
      </c>
      <c r="K101" s="34" t="s">
        <v>48</v>
      </c>
      <c r="L101" s="34" t="s">
        <v>47</v>
      </c>
      <c r="M101">
        <v>-25.75</v>
      </c>
    </row>
    <row r="102" spans="1:13" x14ac:dyDescent="0.3">
      <c r="A102" s="34" t="s">
        <v>83</v>
      </c>
      <c r="B102">
        <v>-1</v>
      </c>
      <c r="C102">
        <v>2020</v>
      </c>
      <c r="D102" s="34" t="s">
        <v>55</v>
      </c>
      <c r="E102" s="34" t="s">
        <v>56</v>
      </c>
      <c r="F102" s="34" t="s">
        <v>57</v>
      </c>
      <c r="G102" s="34" t="s">
        <v>44</v>
      </c>
      <c r="H102" s="34" t="s">
        <v>45</v>
      </c>
      <c r="I102" s="34" t="s">
        <v>19</v>
      </c>
      <c r="J102" s="34" t="s">
        <v>27</v>
      </c>
      <c r="K102" s="34" t="s">
        <v>46</v>
      </c>
      <c r="L102" s="34" t="s">
        <v>47</v>
      </c>
      <c r="M102">
        <v>1.7</v>
      </c>
    </row>
    <row r="103" spans="1:13" x14ac:dyDescent="0.3">
      <c r="A103" s="34" t="s">
        <v>83</v>
      </c>
      <c r="B103">
        <v>-1</v>
      </c>
      <c r="C103">
        <v>2020</v>
      </c>
      <c r="D103" s="34" t="s">
        <v>55</v>
      </c>
      <c r="E103" s="34" t="s">
        <v>56</v>
      </c>
      <c r="F103" s="34" t="s">
        <v>57</v>
      </c>
      <c r="G103" s="34" t="s">
        <v>31</v>
      </c>
      <c r="H103" s="34" t="s">
        <v>18</v>
      </c>
      <c r="I103" s="34" t="s">
        <v>19</v>
      </c>
      <c r="J103" s="34" t="s">
        <v>32</v>
      </c>
      <c r="K103" s="34" t="s">
        <v>46</v>
      </c>
      <c r="L103" s="34" t="s">
        <v>47</v>
      </c>
      <c r="M103">
        <v>31.5</v>
      </c>
    </row>
    <row r="104" spans="1:13" x14ac:dyDescent="0.3">
      <c r="A104" s="34" t="s">
        <v>83</v>
      </c>
      <c r="B104">
        <v>-1</v>
      </c>
      <c r="C104">
        <v>2020</v>
      </c>
      <c r="D104" s="34" t="s">
        <v>55</v>
      </c>
      <c r="E104" s="34" t="s">
        <v>56</v>
      </c>
      <c r="F104" s="34" t="s">
        <v>57</v>
      </c>
      <c r="G104" s="34" t="s">
        <v>54</v>
      </c>
      <c r="H104" s="34" t="s">
        <v>39</v>
      </c>
      <c r="I104" s="34" t="s">
        <v>19</v>
      </c>
      <c r="J104" s="34" t="s">
        <v>27</v>
      </c>
      <c r="K104" s="34" t="s">
        <v>46</v>
      </c>
      <c r="L104" s="34" t="s">
        <v>47</v>
      </c>
      <c r="M104">
        <v>20</v>
      </c>
    </row>
    <row r="105" spans="1:13" x14ac:dyDescent="0.3">
      <c r="A105" s="34" t="s">
        <v>83</v>
      </c>
      <c r="B105">
        <v>-1</v>
      </c>
      <c r="C105">
        <v>2020</v>
      </c>
      <c r="D105" s="34" t="s">
        <v>55</v>
      </c>
      <c r="E105" s="34" t="s">
        <v>56</v>
      </c>
      <c r="F105" s="34" t="s">
        <v>57</v>
      </c>
      <c r="G105" s="34" t="s">
        <v>54</v>
      </c>
      <c r="H105" s="34" t="s">
        <v>39</v>
      </c>
      <c r="I105" s="34" t="s">
        <v>19</v>
      </c>
      <c r="J105" s="34" t="s">
        <v>27</v>
      </c>
      <c r="K105" s="34" t="s">
        <v>48</v>
      </c>
      <c r="L105" s="34" t="s">
        <v>47</v>
      </c>
      <c r="M105">
        <v>-20</v>
      </c>
    </row>
    <row r="106" spans="1:13" x14ac:dyDescent="0.3">
      <c r="A106" s="34" t="s">
        <v>83</v>
      </c>
      <c r="B106">
        <v>-1</v>
      </c>
      <c r="C106">
        <v>2020</v>
      </c>
      <c r="D106" s="34" t="s">
        <v>55</v>
      </c>
      <c r="E106" s="34" t="s">
        <v>56</v>
      </c>
      <c r="F106" s="34" t="s">
        <v>57</v>
      </c>
      <c r="G106" s="34" t="s">
        <v>52</v>
      </c>
      <c r="H106" s="34" t="s">
        <v>53</v>
      </c>
      <c r="I106" s="34" t="s">
        <v>19</v>
      </c>
      <c r="J106" s="34" t="s">
        <v>27</v>
      </c>
      <c r="K106" s="34" t="s">
        <v>46</v>
      </c>
      <c r="L106" s="34" t="s">
        <v>47</v>
      </c>
      <c r="M106">
        <v>1.7</v>
      </c>
    </row>
    <row r="107" spans="1:13" x14ac:dyDescent="0.3">
      <c r="A107" s="34" t="s">
        <v>83</v>
      </c>
      <c r="B107">
        <v>-1</v>
      </c>
      <c r="C107">
        <v>2020</v>
      </c>
      <c r="D107" s="34" t="s">
        <v>55</v>
      </c>
      <c r="E107" s="34" t="s">
        <v>56</v>
      </c>
      <c r="F107" s="34" t="s">
        <v>57</v>
      </c>
      <c r="G107" s="34" t="s">
        <v>52</v>
      </c>
      <c r="H107" s="34" t="s">
        <v>53</v>
      </c>
      <c r="I107" s="34" t="s">
        <v>19</v>
      </c>
      <c r="J107" s="34" t="s">
        <v>27</v>
      </c>
      <c r="K107" s="34" t="s">
        <v>48</v>
      </c>
      <c r="L107" s="34" t="s">
        <v>47</v>
      </c>
      <c r="M107">
        <v>-1.7</v>
      </c>
    </row>
    <row r="108" spans="1:13" x14ac:dyDescent="0.3">
      <c r="A108" s="34" t="s">
        <v>83</v>
      </c>
      <c r="B108">
        <v>-1</v>
      </c>
      <c r="C108">
        <v>2020</v>
      </c>
      <c r="D108" s="34" t="s">
        <v>55</v>
      </c>
      <c r="E108" s="34" t="s">
        <v>56</v>
      </c>
      <c r="F108" s="34" t="s">
        <v>57</v>
      </c>
      <c r="G108" s="34" t="s">
        <v>11</v>
      </c>
      <c r="H108" s="34" t="s">
        <v>12</v>
      </c>
      <c r="I108" s="34" t="s">
        <v>13</v>
      </c>
      <c r="J108" s="34" t="s">
        <v>14</v>
      </c>
      <c r="K108" s="34" t="s">
        <v>49</v>
      </c>
      <c r="L108" s="34" t="s">
        <v>47</v>
      </c>
      <c r="M108">
        <v>0.53574544709786664</v>
      </c>
    </row>
    <row r="109" spans="1:13" x14ac:dyDescent="0.3">
      <c r="A109" s="34" t="s">
        <v>83</v>
      </c>
      <c r="B109">
        <v>-1</v>
      </c>
      <c r="C109">
        <v>2020</v>
      </c>
      <c r="D109" s="34" t="s">
        <v>55</v>
      </c>
      <c r="E109" s="34" t="s">
        <v>56</v>
      </c>
      <c r="F109" s="34" t="s">
        <v>69</v>
      </c>
      <c r="G109" s="34" t="s">
        <v>28</v>
      </c>
      <c r="H109" s="34" t="s">
        <v>23</v>
      </c>
      <c r="I109" s="34" t="s">
        <v>19</v>
      </c>
      <c r="J109" s="34" t="s">
        <v>24</v>
      </c>
      <c r="K109" s="34" t="s">
        <v>46</v>
      </c>
      <c r="L109" s="34" t="s">
        <v>47</v>
      </c>
      <c r="M109">
        <v>8</v>
      </c>
    </row>
    <row r="110" spans="1:13" x14ac:dyDescent="0.3">
      <c r="A110" s="34" t="s">
        <v>83</v>
      </c>
      <c r="B110">
        <v>-1</v>
      </c>
      <c r="C110">
        <v>2020</v>
      </c>
      <c r="D110" s="34" t="s">
        <v>55</v>
      </c>
      <c r="E110" s="34" t="s">
        <v>56</v>
      </c>
      <c r="F110" s="34" t="s">
        <v>69</v>
      </c>
      <c r="G110" s="34" t="s">
        <v>58</v>
      </c>
      <c r="H110" s="34" t="s">
        <v>21</v>
      </c>
      <c r="I110" s="34" t="s">
        <v>19</v>
      </c>
      <c r="J110" s="34" t="s">
        <v>22</v>
      </c>
      <c r="K110" s="34" t="s">
        <v>46</v>
      </c>
      <c r="L110" s="34" t="s">
        <v>47</v>
      </c>
      <c r="M110">
        <v>11</v>
      </c>
    </row>
    <row r="111" spans="1:13" x14ac:dyDescent="0.3">
      <c r="A111" s="34" t="s">
        <v>83</v>
      </c>
      <c r="B111">
        <v>-1</v>
      </c>
      <c r="C111">
        <v>2020</v>
      </c>
      <c r="D111" s="34" t="s">
        <v>55</v>
      </c>
      <c r="E111" s="34" t="s">
        <v>56</v>
      </c>
      <c r="F111" s="34" t="s">
        <v>69</v>
      </c>
      <c r="G111" s="34" t="s">
        <v>58</v>
      </c>
      <c r="H111" s="34" t="s">
        <v>21</v>
      </c>
      <c r="I111" s="34" t="s">
        <v>19</v>
      </c>
      <c r="J111" s="34" t="s">
        <v>22</v>
      </c>
      <c r="K111" s="34" t="s">
        <v>48</v>
      </c>
      <c r="L111" s="34" t="s">
        <v>47</v>
      </c>
      <c r="M111">
        <v>-0.92079379343174794</v>
      </c>
    </row>
    <row r="112" spans="1:13" x14ac:dyDescent="0.3">
      <c r="A112" s="34" t="s">
        <v>83</v>
      </c>
      <c r="B112">
        <v>-1</v>
      </c>
      <c r="C112">
        <v>2020</v>
      </c>
      <c r="D112" s="34" t="s">
        <v>55</v>
      </c>
      <c r="E112" s="34" t="s">
        <v>56</v>
      </c>
      <c r="F112" s="34" t="s">
        <v>69</v>
      </c>
      <c r="G112" s="34" t="s">
        <v>29</v>
      </c>
      <c r="H112" s="34" t="s">
        <v>21</v>
      </c>
      <c r="I112" s="34" t="s">
        <v>19</v>
      </c>
      <c r="J112" s="34" t="s">
        <v>22</v>
      </c>
      <c r="K112" s="34" t="s">
        <v>46</v>
      </c>
      <c r="L112" s="34" t="s">
        <v>47</v>
      </c>
      <c r="M112">
        <v>3.3000000000000003</v>
      </c>
    </row>
    <row r="113" spans="1:13" x14ac:dyDescent="0.3">
      <c r="A113" s="34" t="s">
        <v>83</v>
      </c>
      <c r="B113">
        <v>-1</v>
      </c>
      <c r="C113">
        <v>2020</v>
      </c>
      <c r="D113" s="34" t="s">
        <v>55</v>
      </c>
      <c r="E113" s="34" t="s">
        <v>56</v>
      </c>
      <c r="F113" s="34" t="s">
        <v>69</v>
      </c>
      <c r="G113" s="34" t="s">
        <v>20</v>
      </c>
      <c r="H113" s="34" t="s">
        <v>21</v>
      </c>
      <c r="I113" s="34" t="s">
        <v>19</v>
      </c>
      <c r="J113" s="34" t="s">
        <v>22</v>
      </c>
      <c r="K113" s="34" t="s">
        <v>46</v>
      </c>
      <c r="L113" s="34" t="s">
        <v>47</v>
      </c>
      <c r="M113">
        <v>7.15</v>
      </c>
    </row>
    <row r="114" spans="1:13" x14ac:dyDescent="0.3">
      <c r="A114" s="34" t="s">
        <v>83</v>
      </c>
      <c r="B114">
        <v>-1</v>
      </c>
      <c r="C114">
        <v>2020</v>
      </c>
      <c r="D114" s="34" t="s">
        <v>55</v>
      </c>
      <c r="E114" s="34" t="s">
        <v>56</v>
      </c>
      <c r="F114" s="34" t="s">
        <v>69</v>
      </c>
      <c r="G114" s="34" t="s">
        <v>20</v>
      </c>
      <c r="H114" s="34" t="s">
        <v>21</v>
      </c>
      <c r="I114" s="34" t="s">
        <v>19</v>
      </c>
      <c r="J114" s="34" t="s">
        <v>22</v>
      </c>
      <c r="K114" s="34" t="s">
        <v>48</v>
      </c>
      <c r="L114" s="34" t="s">
        <v>47</v>
      </c>
      <c r="M114">
        <v>-7.15</v>
      </c>
    </row>
    <row r="115" spans="1:13" x14ac:dyDescent="0.3">
      <c r="A115" s="34" t="s">
        <v>83</v>
      </c>
      <c r="B115">
        <v>-1</v>
      </c>
      <c r="C115">
        <v>2020</v>
      </c>
      <c r="D115" s="34" t="s">
        <v>55</v>
      </c>
      <c r="E115" s="34" t="s">
        <v>56</v>
      </c>
      <c r="F115" s="34" t="s">
        <v>69</v>
      </c>
      <c r="G115" s="34" t="s">
        <v>30</v>
      </c>
      <c r="H115" s="34" t="s">
        <v>21</v>
      </c>
      <c r="I115" s="34" t="s">
        <v>19</v>
      </c>
      <c r="J115" s="34" t="s">
        <v>22</v>
      </c>
      <c r="K115" s="34" t="s">
        <v>46</v>
      </c>
      <c r="L115" s="34" t="s">
        <v>47</v>
      </c>
      <c r="M115">
        <v>0.55000000000000004</v>
      </c>
    </row>
    <row r="116" spans="1:13" x14ac:dyDescent="0.3">
      <c r="A116" s="34" t="s">
        <v>83</v>
      </c>
      <c r="B116">
        <v>-1</v>
      </c>
      <c r="C116">
        <v>2030</v>
      </c>
      <c r="D116" s="34" t="s">
        <v>55</v>
      </c>
      <c r="E116" s="34" t="s">
        <v>56</v>
      </c>
      <c r="F116" s="34" t="s">
        <v>57</v>
      </c>
      <c r="G116" s="34" t="s">
        <v>43</v>
      </c>
      <c r="H116" s="34" t="s">
        <v>40</v>
      </c>
      <c r="I116" s="34" t="s">
        <v>19</v>
      </c>
      <c r="J116" s="34" t="s">
        <v>27</v>
      </c>
      <c r="K116" s="34" t="s">
        <v>46</v>
      </c>
      <c r="L116" s="34" t="s">
        <v>47</v>
      </c>
      <c r="M116">
        <v>25.75</v>
      </c>
    </row>
    <row r="117" spans="1:13" x14ac:dyDescent="0.3">
      <c r="A117" s="34" t="s">
        <v>83</v>
      </c>
      <c r="B117">
        <v>-1</v>
      </c>
      <c r="C117">
        <v>2030</v>
      </c>
      <c r="D117" s="34" t="s">
        <v>55</v>
      </c>
      <c r="E117" s="34" t="s">
        <v>56</v>
      </c>
      <c r="F117" s="34" t="s">
        <v>57</v>
      </c>
      <c r="G117" s="34" t="s">
        <v>43</v>
      </c>
      <c r="H117" s="34" t="s">
        <v>40</v>
      </c>
      <c r="I117" s="34" t="s">
        <v>19</v>
      </c>
      <c r="J117" s="34" t="s">
        <v>27</v>
      </c>
      <c r="K117" s="34" t="s">
        <v>48</v>
      </c>
      <c r="L117" s="34" t="s">
        <v>47</v>
      </c>
      <c r="M117">
        <v>-25.75</v>
      </c>
    </row>
    <row r="118" spans="1:13" x14ac:dyDescent="0.3">
      <c r="A118" s="34" t="s">
        <v>83</v>
      </c>
      <c r="B118">
        <v>-1</v>
      </c>
      <c r="C118">
        <v>2030</v>
      </c>
      <c r="D118" s="34" t="s">
        <v>55</v>
      </c>
      <c r="E118" s="34" t="s">
        <v>56</v>
      </c>
      <c r="F118" s="34" t="s">
        <v>57</v>
      </c>
      <c r="G118" s="34" t="s">
        <v>44</v>
      </c>
      <c r="H118" s="34" t="s">
        <v>45</v>
      </c>
      <c r="I118" s="34" t="s">
        <v>19</v>
      </c>
      <c r="J118" s="34" t="s">
        <v>27</v>
      </c>
      <c r="K118" s="34" t="s">
        <v>46</v>
      </c>
      <c r="L118" s="34" t="s">
        <v>47</v>
      </c>
      <c r="M118">
        <v>1.7</v>
      </c>
    </row>
    <row r="119" spans="1:13" x14ac:dyDescent="0.3">
      <c r="A119" s="34" t="s">
        <v>83</v>
      </c>
      <c r="B119">
        <v>-1</v>
      </c>
      <c r="C119">
        <v>2030</v>
      </c>
      <c r="D119" s="34" t="s">
        <v>55</v>
      </c>
      <c r="E119" s="34" t="s">
        <v>56</v>
      </c>
      <c r="F119" s="34" t="s">
        <v>57</v>
      </c>
      <c r="G119" s="34" t="s">
        <v>44</v>
      </c>
      <c r="H119" s="34" t="s">
        <v>45</v>
      </c>
      <c r="I119" s="34" t="s">
        <v>19</v>
      </c>
      <c r="J119" s="34" t="s">
        <v>27</v>
      </c>
      <c r="K119" s="34" t="s">
        <v>48</v>
      </c>
      <c r="L119" s="34" t="s">
        <v>47</v>
      </c>
      <c r="M119">
        <v>-0.42499999999999999</v>
      </c>
    </row>
    <row r="120" spans="1:13" x14ac:dyDescent="0.3">
      <c r="A120" s="34" t="s">
        <v>83</v>
      </c>
      <c r="B120">
        <v>-1</v>
      </c>
      <c r="C120">
        <v>2030</v>
      </c>
      <c r="D120" s="34" t="s">
        <v>55</v>
      </c>
      <c r="E120" s="34" t="s">
        <v>56</v>
      </c>
      <c r="F120" s="34" t="s">
        <v>57</v>
      </c>
      <c r="G120" s="34" t="s">
        <v>31</v>
      </c>
      <c r="H120" s="34" t="s">
        <v>18</v>
      </c>
      <c r="I120" s="34" t="s">
        <v>19</v>
      </c>
      <c r="J120" s="34" t="s">
        <v>32</v>
      </c>
      <c r="K120" s="34" t="s">
        <v>46</v>
      </c>
      <c r="L120" s="34" t="s">
        <v>47</v>
      </c>
      <c r="M120">
        <v>31.5</v>
      </c>
    </row>
    <row r="121" spans="1:13" x14ac:dyDescent="0.3">
      <c r="A121" s="34" t="s">
        <v>83</v>
      </c>
      <c r="B121">
        <v>-1</v>
      </c>
      <c r="C121">
        <v>2030</v>
      </c>
      <c r="D121" s="34" t="s">
        <v>55</v>
      </c>
      <c r="E121" s="34" t="s">
        <v>56</v>
      </c>
      <c r="F121" s="34" t="s">
        <v>57</v>
      </c>
      <c r="G121" s="34" t="s">
        <v>54</v>
      </c>
      <c r="H121" s="34" t="s">
        <v>39</v>
      </c>
      <c r="I121" s="34" t="s">
        <v>19</v>
      </c>
      <c r="J121" s="34" t="s">
        <v>27</v>
      </c>
      <c r="K121" s="34" t="s">
        <v>46</v>
      </c>
      <c r="L121" s="34" t="s">
        <v>47</v>
      </c>
      <c r="M121">
        <v>20</v>
      </c>
    </row>
    <row r="122" spans="1:13" x14ac:dyDescent="0.3">
      <c r="A122" s="34" t="s">
        <v>83</v>
      </c>
      <c r="B122">
        <v>-1</v>
      </c>
      <c r="C122">
        <v>2030</v>
      </c>
      <c r="D122" s="34" t="s">
        <v>55</v>
      </c>
      <c r="E122" s="34" t="s">
        <v>56</v>
      </c>
      <c r="F122" s="34" t="s">
        <v>57</v>
      </c>
      <c r="G122" s="34" t="s">
        <v>54</v>
      </c>
      <c r="H122" s="34" t="s">
        <v>39</v>
      </c>
      <c r="I122" s="34" t="s">
        <v>19</v>
      </c>
      <c r="J122" s="34" t="s">
        <v>27</v>
      </c>
      <c r="K122" s="34" t="s">
        <v>48</v>
      </c>
      <c r="L122" s="34" t="s">
        <v>47</v>
      </c>
      <c r="M122">
        <v>-20</v>
      </c>
    </row>
    <row r="123" spans="1:13" x14ac:dyDescent="0.3">
      <c r="A123" s="34" t="s">
        <v>83</v>
      </c>
      <c r="B123">
        <v>-1</v>
      </c>
      <c r="C123">
        <v>2030</v>
      </c>
      <c r="D123" s="34" t="s">
        <v>55</v>
      </c>
      <c r="E123" s="34" t="s">
        <v>56</v>
      </c>
      <c r="F123" s="34" t="s">
        <v>57</v>
      </c>
      <c r="G123" s="34" t="s">
        <v>52</v>
      </c>
      <c r="H123" s="34" t="s">
        <v>53</v>
      </c>
      <c r="I123" s="34" t="s">
        <v>19</v>
      </c>
      <c r="J123" s="34" t="s">
        <v>27</v>
      </c>
      <c r="K123" s="34" t="s">
        <v>46</v>
      </c>
      <c r="L123" s="34" t="s">
        <v>47</v>
      </c>
      <c r="M123">
        <v>1.7</v>
      </c>
    </row>
    <row r="124" spans="1:13" x14ac:dyDescent="0.3">
      <c r="A124" s="34" t="s">
        <v>83</v>
      </c>
      <c r="B124">
        <v>-1</v>
      </c>
      <c r="C124">
        <v>2030</v>
      </c>
      <c r="D124" s="34" t="s">
        <v>55</v>
      </c>
      <c r="E124" s="34" t="s">
        <v>56</v>
      </c>
      <c r="F124" s="34" t="s">
        <v>57</v>
      </c>
      <c r="G124" s="34" t="s">
        <v>52</v>
      </c>
      <c r="H124" s="34" t="s">
        <v>53</v>
      </c>
      <c r="I124" s="34" t="s">
        <v>19</v>
      </c>
      <c r="J124" s="34" t="s">
        <v>27</v>
      </c>
      <c r="K124" s="34" t="s">
        <v>48</v>
      </c>
      <c r="L124" s="34" t="s">
        <v>47</v>
      </c>
      <c r="M124">
        <v>-1.7</v>
      </c>
    </row>
    <row r="125" spans="1:13" x14ac:dyDescent="0.3">
      <c r="A125" s="34" t="s">
        <v>83</v>
      </c>
      <c r="B125">
        <v>-1</v>
      </c>
      <c r="C125">
        <v>2030</v>
      </c>
      <c r="D125" s="34" t="s">
        <v>55</v>
      </c>
      <c r="E125" s="34" t="s">
        <v>56</v>
      </c>
      <c r="F125" s="34" t="s">
        <v>57</v>
      </c>
      <c r="G125" s="34" t="s">
        <v>11</v>
      </c>
      <c r="H125" s="34" t="s">
        <v>12</v>
      </c>
      <c r="I125" s="34" t="s">
        <v>13</v>
      </c>
      <c r="J125" s="34" t="s">
        <v>14</v>
      </c>
      <c r="K125" s="34" t="s">
        <v>49</v>
      </c>
      <c r="L125" s="34" t="s">
        <v>47</v>
      </c>
      <c r="M125">
        <v>0.53574544709786664</v>
      </c>
    </row>
    <row r="126" spans="1:13" x14ac:dyDescent="0.3">
      <c r="A126" s="34" t="s">
        <v>83</v>
      </c>
      <c r="B126">
        <v>-1</v>
      </c>
      <c r="C126">
        <v>2030</v>
      </c>
      <c r="D126" s="34" t="s">
        <v>55</v>
      </c>
      <c r="E126" s="34" t="s">
        <v>56</v>
      </c>
      <c r="F126" s="34" t="s">
        <v>57</v>
      </c>
      <c r="G126" s="34" t="s">
        <v>59</v>
      </c>
      <c r="H126" s="34" t="s">
        <v>12</v>
      </c>
      <c r="I126" s="34" t="s">
        <v>13</v>
      </c>
      <c r="J126" s="34" t="s">
        <v>14</v>
      </c>
      <c r="K126" s="34" t="s">
        <v>49</v>
      </c>
      <c r="L126" s="34" t="s">
        <v>47</v>
      </c>
      <c r="M126">
        <v>3.8703375749161051</v>
      </c>
    </row>
    <row r="127" spans="1:13" x14ac:dyDescent="0.3">
      <c r="A127" s="34" t="s">
        <v>83</v>
      </c>
      <c r="B127">
        <v>-1</v>
      </c>
      <c r="C127">
        <v>2030</v>
      </c>
      <c r="D127" s="34" t="s">
        <v>55</v>
      </c>
      <c r="E127" s="34" t="s">
        <v>56</v>
      </c>
      <c r="F127" s="34" t="s">
        <v>69</v>
      </c>
      <c r="G127" s="34" t="s">
        <v>28</v>
      </c>
      <c r="H127" s="34" t="s">
        <v>23</v>
      </c>
      <c r="I127" s="34" t="s">
        <v>19</v>
      </c>
      <c r="J127" s="34" t="s">
        <v>24</v>
      </c>
      <c r="K127" s="34" t="s">
        <v>46</v>
      </c>
      <c r="L127" s="34" t="s">
        <v>47</v>
      </c>
      <c r="M127">
        <v>8</v>
      </c>
    </row>
    <row r="128" spans="1:13" x14ac:dyDescent="0.3">
      <c r="A128" s="34" t="s">
        <v>83</v>
      </c>
      <c r="B128">
        <v>-1</v>
      </c>
      <c r="C128">
        <v>2030</v>
      </c>
      <c r="D128" s="34" t="s">
        <v>55</v>
      </c>
      <c r="E128" s="34" t="s">
        <v>56</v>
      </c>
      <c r="F128" s="34" t="s">
        <v>69</v>
      </c>
      <c r="G128" s="34" t="s">
        <v>28</v>
      </c>
      <c r="H128" s="34" t="s">
        <v>23</v>
      </c>
      <c r="I128" s="34" t="s">
        <v>19</v>
      </c>
      <c r="J128" s="34" t="s">
        <v>24</v>
      </c>
      <c r="K128" s="34" t="s">
        <v>48</v>
      </c>
      <c r="L128" s="34" t="s">
        <v>47</v>
      </c>
      <c r="M128">
        <v>-2</v>
      </c>
    </row>
    <row r="129" spans="1:13" x14ac:dyDescent="0.3">
      <c r="A129" s="34" t="s">
        <v>83</v>
      </c>
      <c r="B129">
        <v>-1</v>
      </c>
      <c r="C129">
        <v>2030</v>
      </c>
      <c r="D129" s="34" t="s">
        <v>55</v>
      </c>
      <c r="E129" s="34" t="s">
        <v>56</v>
      </c>
      <c r="F129" s="34" t="s">
        <v>69</v>
      </c>
      <c r="G129" s="34" t="s">
        <v>58</v>
      </c>
      <c r="H129" s="34" t="s">
        <v>21</v>
      </c>
      <c r="I129" s="34" t="s">
        <v>19</v>
      </c>
      <c r="J129" s="34" t="s">
        <v>22</v>
      </c>
      <c r="K129" s="34" t="s">
        <v>46</v>
      </c>
      <c r="L129" s="34" t="s">
        <v>47</v>
      </c>
      <c r="M129">
        <v>11</v>
      </c>
    </row>
    <row r="130" spans="1:13" x14ac:dyDescent="0.3">
      <c r="A130" s="34" t="s">
        <v>83</v>
      </c>
      <c r="B130">
        <v>-1</v>
      </c>
      <c r="C130">
        <v>2030</v>
      </c>
      <c r="D130" s="34" t="s">
        <v>55</v>
      </c>
      <c r="E130" s="34" t="s">
        <v>56</v>
      </c>
      <c r="F130" s="34" t="s">
        <v>69</v>
      </c>
      <c r="G130" s="34" t="s">
        <v>58</v>
      </c>
      <c r="H130" s="34" t="s">
        <v>21</v>
      </c>
      <c r="I130" s="34" t="s">
        <v>19</v>
      </c>
      <c r="J130" s="34" t="s">
        <v>22</v>
      </c>
      <c r="K130" s="34" t="s">
        <v>48</v>
      </c>
      <c r="L130" s="34" t="s">
        <v>47</v>
      </c>
      <c r="M130">
        <v>-2.75</v>
      </c>
    </row>
    <row r="131" spans="1:13" x14ac:dyDescent="0.3">
      <c r="A131" s="34" t="s">
        <v>83</v>
      </c>
      <c r="B131">
        <v>-1</v>
      </c>
      <c r="C131">
        <v>2030</v>
      </c>
      <c r="D131" s="34" t="s">
        <v>55</v>
      </c>
      <c r="E131" s="34" t="s">
        <v>56</v>
      </c>
      <c r="F131" s="34" t="s">
        <v>69</v>
      </c>
      <c r="G131" s="34" t="s">
        <v>29</v>
      </c>
      <c r="H131" s="34" t="s">
        <v>21</v>
      </c>
      <c r="I131" s="34" t="s">
        <v>19</v>
      </c>
      <c r="J131" s="34" t="s">
        <v>22</v>
      </c>
      <c r="K131" s="34" t="s">
        <v>46</v>
      </c>
      <c r="L131" s="34" t="s">
        <v>47</v>
      </c>
      <c r="M131">
        <v>3.3000000000000003</v>
      </c>
    </row>
    <row r="132" spans="1:13" x14ac:dyDescent="0.3">
      <c r="A132" s="34" t="s">
        <v>83</v>
      </c>
      <c r="B132">
        <v>-1</v>
      </c>
      <c r="C132">
        <v>2030</v>
      </c>
      <c r="D132" s="34" t="s">
        <v>55</v>
      </c>
      <c r="E132" s="34" t="s">
        <v>56</v>
      </c>
      <c r="F132" s="34" t="s">
        <v>69</v>
      </c>
      <c r="G132" s="34" t="s">
        <v>29</v>
      </c>
      <c r="H132" s="34" t="s">
        <v>21</v>
      </c>
      <c r="I132" s="34" t="s">
        <v>19</v>
      </c>
      <c r="J132" s="34" t="s">
        <v>22</v>
      </c>
      <c r="K132" s="34" t="s">
        <v>48</v>
      </c>
      <c r="L132" s="34" t="s">
        <v>47</v>
      </c>
      <c r="M132">
        <v>-0.82500000000000007</v>
      </c>
    </row>
    <row r="133" spans="1:13" x14ac:dyDescent="0.3">
      <c r="A133" s="34" t="s">
        <v>83</v>
      </c>
      <c r="B133">
        <v>-1</v>
      </c>
      <c r="C133">
        <v>2030</v>
      </c>
      <c r="D133" s="34" t="s">
        <v>55</v>
      </c>
      <c r="E133" s="34" t="s">
        <v>56</v>
      </c>
      <c r="F133" s="34" t="s">
        <v>69</v>
      </c>
      <c r="G133" s="34" t="s">
        <v>20</v>
      </c>
      <c r="H133" s="34" t="s">
        <v>21</v>
      </c>
      <c r="I133" s="34" t="s">
        <v>19</v>
      </c>
      <c r="J133" s="34" t="s">
        <v>22</v>
      </c>
      <c r="K133" s="34" t="s">
        <v>46</v>
      </c>
      <c r="L133" s="34" t="s">
        <v>47</v>
      </c>
      <c r="M133">
        <v>7.15</v>
      </c>
    </row>
    <row r="134" spans="1:13" x14ac:dyDescent="0.3">
      <c r="A134" s="34" t="s">
        <v>83</v>
      </c>
      <c r="B134">
        <v>-1</v>
      </c>
      <c r="C134">
        <v>2030</v>
      </c>
      <c r="D134" s="34" t="s">
        <v>55</v>
      </c>
      <c r="E134" s="34" t="s">
        <v>56</v>
      </c>
      <c r="F134" s="34" t="s">
        <v>69</v>
      </c>
      <c r="G134" s="34" t="s">
        <v>20</v>
      </c>
      <c r="H134" s="34" t="s">
        <v>21</v>
      </c>
      <c r="I134" s="34" t="s">
        <v>19</v>
      </c>
      <c r="J134" s="34" t="s">
        <v>22</v>
      </c>
      <c r="K134" s="34" t="s">
        <v>48</v>
      </c>
      <c r="L134" s="34" t="s">
        <v>47</v>
      </c>
      <c r="M134">
        <v>-1.7875000000000001</v>
      </c>
    </row>
    <row r="135" spans="1:13" x14ac:dyDescent="0.3">
      <c r="A135" s="34" t="s">
        <v>83</v>
      </c>
      <c r="B135">
        <v>-1</v>
      </c>
      <c r="C135">
        <v>2030</v>
      </c>
      <c r="D135" s="34" t="s">
        <v>55</v>
      </c>
      <c r="E135" s="34" t="s">
        <v>56</v>
      </c>
      <c r="F135" s="34" t="s">
        <v>69</v>
      </c>
      <c r="G135" s="34" t="s">
        <v>30</v>
      </c>
      <c r="H135" s="34" t="s">
        <v>21</v>
      </c>
      <c r="I135" s="34" t="s">
        <v>19</v>
      </c>
      <c r="J135" s="34" t="s">
        <v>22</v>
      </c>
      <c r="K135" s="34" t="s">
        <v>46</v>
      </c>
      <c r="L135" s="34" t="s">
        <v>47</v>
      </c>
      <c r="M135">
        <v>0.55000000000000004</v>
      </c>
    </row>
    <row r="136" spans="1:13" x14ac:dyDescent="0.3">
      <c r="A136" s="34" t="s">
        <v>83</v>
      </c>
      <c r="B136">
        <v>-1</v>
      </c>
      <c r="C136">
        <v>2030</v>
      </c>
      <c r="D136" s="34" t="s">
        <v>55</v>
      </c>
      <c r="E136" s="34" t="s">
        <v>56</v>
      </c>
      <c r="F136" s="34" t="s">
        <v>69</v>
      </c>
      <c r="G136" s="34" t="s">
        <v>30</v>
      </c>
      <c r="H136" s="34" t="s">
        <v>21</v>
      </c>
      <c r="I136" s="34" t="s">
        <v>19</v>
      </c>
      <c r="J136" s="34" t="s">
        <v>22</v>
      </c>
      <c r="K136" s="34" t="s">
        <v>48</v>
      </c>
      <c r="L136" s="34" t="s">
        <v>47</v>
      </c>
      <c r="M136">
        <v>-0.13750000000000001</v>
      </c>
    </row>
    <row r="137" spans="1:13" x14ac:dyDescent="0.3">
      <c r="A137" s="34" t="s">
        <v>83</v>
      </c>
      <c r="B137">
        <v>-1</v>
      </c>
      <c r="C137">
        <v>2030</v>
      </c>
      <c r="D137" s="34" t="s">
        <v>55</v>
      </c>
      <c r="E137" s="34" t="s">
        <v>56</v>
      </c>
      <c r="F137" s="34" t="s">
        <v>69</v>
      </c>
      <c r="G137" s="34" t="s">
        <v>62</v>
      </c>
      <c r="H137" s="34" t="s">
        <v>21</v>
      </c>
      <c r="I137" s="34" t="s">
        <v>19</v>
      </c>
      <c r="J137" s="34" t="s">
        <v>22</v>
      </c>
      <c r="K137" s="34" t="s">
        <v>49</v>
      </c>
      <c r="L137" s="34" t="s">
        <v>47</v>
      </c>
      <c r="M137">
        <v>2.7545327138464106</v>
      </c>
    </row>
    <row r="138" spans="1:13" x14ac:dyDescent="0.3">
      <c r="A138" s="34" t="s">
        <v>83</v>
      </c>
      <c r="B138">
        <v>-1</v>
      </c>
      <c r="C138">
        <v>2030</v>
      </c>
      <c r="D138" s="34" t="s">
        <v>55</v>
      </c>
      <c r="E138" s="34" t="s">
        <v>56</v>
      </c>
      <c r="F138" s="34" t="s">
        <v>69</v>
      </c>
      <c r="G138" s="34" t="s">
        <v>63</v>
      </c>
      <c r="H138" s="34" t="s">
        <v>23</v>
      </c>
      <c r="I138" s="34" t="s">
        <v>19</v>
      </c>
      <c r="J138" s="34" t="s">
        <v>24</v>
      </c>
      <c r="K138" s="34" t="s">
        <v>49</v>
      </c>
      <c r="L138" s="34" t="s">
        <v>47</v>
      </c>
      <c r="M138">
        <v>25.978288495255512</v>
      </c>
    </row>
    <row r="139" spans="1:13" x14ac:dyDescent="0.3">
      <c r="A139" s="34" t="s">
        <v>83</v>
      </c>
      <c r="B139">
        <v>-1</v>
      </c>
      <c r="C139">
        <v>2040</v>
      </c>
      <c r="D139" s="34" t="s">
        <v>55</v>
      </c>
      <c r="E139" s="34" t="s">
        <v>56</v>
      </c>
      <c r="F139" s="34" t="s">
        <v>57</v>
      </c>
      <c r="G139" s="34" t="s">
        <v>43</v>
      </c>
      <c r="H139" s="34" t="s">
        <v>40</v>
      </c>
      <c r="I139" s="34" t="s">
        <v>19</v>
      </c>
      <c r="J139" s="34" t="s">
        <v>27</v>
      </c>
      <c r="K139" s="34" t="s">
        <v>46</v>
      </c>
      <c r="L139" s="34" t="s">
        <v>47</v>
      </c>
      <c r="M139">
        <v>25.75</v>
      </c>
    </row>
    <row r="140" spans="1:13" x14ac:dyDescent="0.3">
      <c r="A140" s="34" t="s">
        <v>83</v>
      </c>
      <c r="B140">
        <v>-1</v>
      </c>
      <c r="C140">
        <v>2040</v>
      </c>
      <c r="D140" s="34" t="s">
        <v>55</v>
      </c>
      <c r="E140" s="34" t="s">
        <v>56</v>
      </c>
      <c r="F140" s="34" t="s">
        <v>57</v>
      </c>
      <c r="G140" s="34" t="s">
        <v>43</v>
      </c>
      <c r="H140" s="34" t="s">
        <v>40</v>
      </c>
      <c r="I140" s="34" t="s">
        <v>19</v>
      </c>
      <c r="J140" s="34" t="s">
        <v>27</v>
      </c>
      <c r="K140" s="34" t="s">
        <v>48</v>
      </c>
      <c r="L140" s="34" t="s">
        <v>47</v>
      </c>
      <c r="M140">
        <v>-25.75</v>
      </c>
    </row>
    <row r="141" spans="1:13" x14ac:dyDescent="0.3">
      <c r="A141" s="34" t="s">
        <v>83</v>
      </c>
      <c r="B141">
        <v>-1</v>
      </c>
      <c r="C141">
        <v>2040</v>
      </c>
      <c r="D141" s="34" t="s">
        <v>55</v>
      </c>
      <c r="E141" s="34" t="s">
        <v>56</v>
      </c>
      <c r="F141" s="34" t="s">
        <v>57</v>
      </c>
      <c r="G141" s="34" t="s">
        <v>44</v>
      </c>
      <c r="H141" s="34" t="s">
        <v>45</v>
      </c>
      <c r="I141" s="34" t="s">
        <v>19</v>
      </c>
      <c r="J141" s="34" t="s">
        <v>27</v>
      </c>
      <c r="K141" s="34" t="s">
        <v>46</v>
      </c>
      <c r="L141" s="34" t="s">
        <v>47</v>
      </c>
      <c r="M141">
        <v>1.7</v>
      </c>
    </row>
    <row r="142" spans="1:13" x14ac:dyDescent="0.3">
      <c r="A142" s="34" t="s">
        <v>83</v>
      </c>
      <c r="B142">
        <v>-1</v>
      </c>
      <c r="C142">
        <v>2040</v>
      </c>
      <c r="D142" s="34" t="s">
        <v>55</v>
      </c>
      <c r="E142" s="34" t="s">
        <v>56</v>
      </c>
      <c r="F142" s="34" t="s">
        <v>57</v>
      </c>
      <c r="G142" s="34" t="s">
        <v>44</v>
      </c>
      <c r="H142" s="34" t="s">
        <v>45</v>
      </c>
      <c r="I142" s="34" t="s">
        <v>19</v>
      </c>
      <c r="J142" s="34" t="s">
        <v>27</v>
      </c>
      <c r="K142" s="34" t="s">
        <v>48</v>
      </c>
      <c r="L142" s="34" t="s">
        <v>47</v>
      </c>
      <c r="M142">
        <v>-1.2750000000000001</v>
      </c>
    </row>
    <row r="143" spans="1:13" x14ac:dyDescent="0.3">
      <c r="A143" s="34" t="s">
        <v>83</v>
      </c>
      <c r="B143">
        <v>-1</v>
      </c>
      <c r="C143">
        <v>2040</v>
      </c>
      <c r="D143" s="34" t="s">
        <v>55</v>
      </c>
      <c r="E143" s="34" t="s">
        <v>56</v>
      </c>
      <c r="F143" s="34" t="s">
        <v>57</v>
      </c>
      <c r="G143" s="34" t="s">
        <v>31</v>
      </c>
      <c r="H143" s="34" t="s">
        <v>18</v>
      </c>
      <c r="I143" s="34" t="s">
        <v>19</v>
      </c>
      <c r="J143" s="34" t="s">
        <v>32</v>
      </c>
      <c r="K143" s="34" t="s">
        <v>46</v>
      </c>
      <c r="L143" s="34" t="s">
        <v>47</v>
      </c>
      <c r="M143">
        <v>31.5</v>
      </c>
    </row>
    <row r="144" spans="1:13" x14ac:dyDescent="0.3">
      <c r="A144" s="34" t="s">
        <v>83</v>
      </c>
      <c r="B144">
        <v>-1</v>
      </c>
      <c r="C144">
        <v>2040</v>
      </c>
      <c r="D144" s="34" t="s">
        <v>55</v>
      </c>
      <c r="E144" s="34" t="s">
        <v>56</v>
      </c>
      <c r="F144" s="34" t="s">
        <v>57</v>
      </c>
      <c r="G144" s="34" t="s">
        <v>54</v>
      </c>
      <c r="H144" s="34" t="s">
        <v>39</v>
      </c>
      <c r="I144" s="34" t="s">
        <v>19</v>
      </c>
      <c r="J144" s="34" t="s">
        <v>27</v>
      </c>
      <c r="K144" s="34" t="s">
        <v>46</v>
      </c>
      <c r="L144" s="34" t="s">
        <v>47</v>
      </c>
      <c r="M144">
        <v>20</v>
      </c>
    </row>
    <row r="145" spans="1:13" x14ac:dyDescent="0.3">
      <c r="A145" s="34" t="s">
        <v>83</v>
      </c>
      <c r="B145">
        <v>-1</v>
      </c>
      <c r="C145">
        <v>2040</v>
      </c>
      <c r="D145" s="34" t="s">
        <v>55</v>
      </c>
      <c r="E145" s="34" t="s">
        <v>56</v>
      </c>
      <c r="F145" s="34" t="s">
        <v>57</v>
      </c>
      <c r="G145" s="34" t="s">
        <v>54</v>
      </c>
      <c r="H145" s="34" t="s">
        <v>39</v>
      </c>
      <c r="I145" s="34" t="s">
        <v>19</v>
      </c>
      <c r="J145" s="34" t="s">
        <v>27</v>
      </c>
      <c r="K145" s="34" t="s">
        <v>48</v>
      </c>
      <c r="L145" s="34" t="s">
        <v>47</v>
      </c>
      <c r="M145">
        <v>-20</v>
      </c>
    </row>
    <row r="146" spans="1:13" x14ac:dyDescent="0.3">
      <c r="A146" s="34" t="s">
        <v>83</v>
      </c>
      <c r="B146">
        <v>-1</v>
      </c>
      <c r="C146">
        <v>2040</v>
      </c>
      <c r="D146" s="34" t="s">
        <v>55</v>
      </c>
      <c r="E146" s="34" t="s">
        <v>56</v>
      </c>
      <c r="F146" s="34" t="s">
        <v>57</v>
      </c>
      <c r="G146" s="34" t="s">
        <v>52</v>
      </c>
      <c r="H146" s="34" t="s">
        <v>53</v>
      </c>
      <c r="I146" s="34" t="s">
        <v>19</v>
      </c>
      <c r="J146" s="34" t="s">
        <v>27</v>
      </c>
      <c r="K146" s="34" t="s">
        <v>46</v>
      </c>
      <c r="L146" s="34" t="s">
        <v>47</v>
      </c>
      <c r="M146">
        <v>1.7</v>
      </c>
    </row>
    <row r="147" spans="1:13" x14ac:dyDescent="0.3">
      <c r="A147" s="34" t="s">
        <v>83</v>
      </c>
      <c r="B147">
        <v>-1</v>
      </c>
      <c r="C147">
        <v>2040</v>
      </c>
      <c r="D147" s="34" t="s">
        <v>55</v>
      </c>
      <c r="E147" s="34" t="s">
        <v>56</v>
      </c>
      <c r="F147" s="34" t="s">
        <v>57</v>
      </c>
      <c r="G147" s="34" t="s">
        <v>52</v>
      </c>
      <c r="H147" s="34" t="s">
        <v>53</v>
      </c>
      <c r="I147" s="34" t="s">
        <v>19</v>
      </c>
      <c r="J147" s="34" t="s">
        <v>27</v>
      </c>
      <c r="K147" s="34" t="s">
        <v>48</v>
      </c>
      <c r="L147" s="34" t="s">
        <v>47</v>
      </c>
      <c r="M147">
        <v>-1.7</v>
      </c>
    </row>
    <row r="148" spans="1:13" x14ac:dyDescent="0.3">
      <c r="A148" s="34" t="s">
        <v>83</v>
      </c>
      <c r="B148">
        <v>-1</v>
      </c>
      <c r="C148">
        <v>2040</v>
      </c>
      <c r="D148" s="34" t="s">
        <v>55</v>
      </c>
      <c r="E148" s="34" t="s">
        <v>56</v>
      </c>
      <c r="F148" s="34" t="s">
        <v>57</v>
      </c>
      <c r="G148" s="34" t="s">
        <v>11</v>
      </c>
      <c r="H148" s="34" t="s">
        <v>12</v>
      </c>
      <c r="I148" s="34" t="s">
        <v>13</v>
      </c>
      <c r="J148" s="34" t="s">
        <v>14</v>
      </c>
      <c r="K148" s="34" t="s">
        <v>49</v>
      </c>
      <c r="L148" s="34" t="s">
        <v>47</v>
      </c>
      <c r="M148">
        <v>0.53574544709786664</v>
      </c>
    </row>
    <row r="149" spans="1:13" x14ac:dyDescent="0.3">
      <c r="A149" s="34" t="s">
        <v>83</v>
      </c>
      <c r="B149">
        <v>-1</v>
      </c>
      <c r="C149">
        <v>2040</v>
      </c>
      <c r="D149" s="34" t="s">
        <v>55</v>
      </c>
      <c r="E149" s="34" t="s">
        <v>56</v>
      </c>
      <c r="F149" s="34" t="s">
        <v>57</v>
      </c>
      <c r="G149" s="34" t="s">
        <v>59</v>
      </c>
      <c r="H149" s="34" t="s">
        <v>12</v>
      </c>
      <c r="I149" s="34" t="s">
        <v>13</v>
      </c>
      <c r="J149" s="34" t="s">
        <v>14</v>
      </c>
      <c r="K149" s="34" t="s">
        <v>49</v>
      </c>
      <c r="L149" s="34" t="s">
        <v>47</v>
      </c>
      <c r="M149">
        <v>3.8703375749161051</v>
      </c>
    </row>
    <row r="150" spans="1:13" x14ac:dyDescent="0.3">
      <c r="A150" s="34" t="s">
        <v>83</v>
      </c>
      <c r="B150">
        <v>-1</v>
      </c>
      <c r="C150">
        <v>2040</v>
      </c>
      <c r="D150" s="34" t="s">
        <v>55</v>
      </c>
      <c r="E150" s="34" t="s">
        <v>56</v>
      </c>
      <c r="F150" s="34" t="s">
        <v>57</v>
      </c>
      <c r="G150" s="34" t="s">
        <v>60</v>
      </c>
      <c r="H150" s="34" t="s">
        <v>12</v>
      </c>
      <c r="I150" s="34" t="s">
        <v>13</v>
      </c>
      <c r="J150" s="34" t="s">
        <v>14</v>
      </c>
      <c r="K150" s="34" t="s">
        <v>49</v>
      </c>
      <c r="L150" s="34" t="s">
        <v>47</v>
      </c>
      <c r="M150">
        <v>8.6210649531716808</v>
      </c>
    </row>
    <row r="151" spans="1:13" x14ac:dyDescent="0.3">
      <c r="A151" s="34" t="s">
        <v>83</v>
      </c>
      <c r="B151">
        <v>-1</v>
      </c>
      <c r="C151">
        <v>2040</v>
      </c>
      <c r="D151" s="34" t="s">
        <v>55</v>
      </c>
      <c r="E151" s="34" t="s">
        <v>56</v>
      </c>
      <c r="F151" s="34" t="s">
        <v>57</v>
      </c>
      <c r="G151" s="34" t="s">
        <v>66</v>
      </c>
      <c r="H151" s="34" t="s">
        <v>13</v>
      </c>
      <c r="I151" s="34" t="s">
        <v>13</v>
      </c>
      <c r="J151" s="34" t="s">
        <v>17</v>
      </c>
      <c r="K151" s="34" t="s">
        <v>49</v>
      </c>
      <c r="L151" s="34" t="s">
        <v>47</v>
      </c>
      <c r="M151">
        <v>102.07564346155594</v>
      </c>
    </row>
    <row r="152" spans="1:13" x14ac:dyDescent="0.3">
      <c r="A152" s="34" t="s">
        <v>83</v>
      </c>
      <c r="B152">
        <v>-1</v>
      </c>
      <c r="C152">
        <v>2040</v>
      </c>
      <c r="D152" s="34" t="s">
        <v>55</v>
      </c>
      <c r="E152" s="34" t="s">
        <v>56</v>
      </c>
      <c r="F152" s="34" t="s">
        <v>57</v>
      </c>
      <c r="G152" s="34" t="s">
        <v>41</v>
      </c>
      <c r="H152" s="34" t="s">
        <v>40</v>
      </c>
      <c r="I152" s="34" t="s">
        <v>13</v>
      </c>
      <c r="J152" s="34" t="s">
        <v>42</v>
      </c>
      <c r="K152" s="34" t="s">
        <v>49</v>
      </c>
      <c r="L152" s="34" t="s">
        <v>47</v>
      </c>
      <c r="M152">
        <v>0.18880047727272004</v>
      </c>
    </row>
    <row r="153" spans="1:13" x14ac:dyDescent="0.3">
      <c r="A153" s="34" t="s">
        <v>83</v>
      </c>
      <c r="B153">
        <v>-1</v>
      </c>
      <c r="C153">
        <v>2040</v>
      </c>
      <c r="D153" s="34" t="s">
        <v>55</v>
      </c>
      <c r="E153" s="34" t="s">
        <v>56</v>
      </c>
      <c r="F153" s="34" t="s">
        <v>69</v>
      </c>
      <c r="G153" s="34" t="s">
        <v>28</v>
      </c>
      <c r="H153" s="34" t="s">
        <v>23</v>
      </c>
      <c r="I153" s="34" t="s">
        <v>19</v>
      </c>
      <c r="J153" s="34" t="s">
        <v>24</v>
      </c>
      <c r="K153" s="34" t="s">
        <v>46</v>
      </c>
      <c r="L153" s="34" t="s">
        <v>47</v>
      </c>
      <c r="M153">
        <v>8</v>
      </c>
    </row>
    <row r="154" spans="1:13" x14ac:dyDescent="0.3">
      <c r="A154" s="34" t="s">
        <v>83</v>
      </c>
      <c r="B154">
        <v>-1</v>
      </c>
      <c r="C154">
        <v>2040</v>
      </c>
      <c r="D154" s="34" t="s">
        <v>55</v>
      </c>
      <c r="E154" s="34" t="s">
        <v>56</v>
      </c>
      <c r="F154" s="34" t="s">
        <v>69</v>
      </c>
      <c r="G154" s="34" t="s">
        <v>28</v>
      </c>
      <c r="H154" s="34" t="s">
        <v>23</v>
      </c>
      <c r="I154" s="34" t="s">
        <v>19</v>
      </c>
      <c r="J154" s="34" t="s">
        <v>24</v>
      </c>
      <c r="K154" s="34" t="s">
        <v>48</v>
      </c>
      <c r="L154" s="34" t="s">
        <v>47</v>
      </c>
      <c r="M154">
        <v>-6</v>
      </c>
    </row>
    <row r="155" spans="1:13" x14ac:dyDescent="0.3">
      <c r="A155" s="34" t="s">
        <v>83</v>
      </c>
      <c r="B155">
        <v>-1</v>
      </c>
      <c r="C155">
        <v>2040</v>
      </c>
      <c r="D155" s="34" t="s">
        <v>55</v>
      </c>
      <c r="E155" s="34" t="s">
        <v>56</v>
      </c>
      <c r="F155" s="34" t="s">
        <v>69</v>
      </c>
      <c r="G155" s="34" t="s">
        <v>58</v>
      </c>
      <c r="H155" s="34" t="s">
        <v>21</v>
      </c>
      <c r="I155" s="34" t="s">
        <v>19</v>
      </c>
      <c r="J155" s="34" t="s">
        <v>22</v>
      </c>
      <c r="K155" s="34" t="s">
        <v>46</v>
      </c>
      <c r="L155" s="34" t="s">
        <v>47</v>
      </c>
      <c r="M155">
        <v>11</v>
      </c>
    </row>
    <row r="156" spans="1:13" x14ac:dyDescent="0.3">
      <c r="A156" s="34" t="s">
        <v>83</v>
      </c>
      <c r="B156">
        <v>-1</v>
      </c>
      <c r="C156">
        <v>2040</v>
      </c>
      <c r="D156" s="34" t="s">
        <v>55</v>
      </c>
      <c r="E156" s="34" t="s">
        <v>56</v>
      </c>
      <c r="F156" s="34" t="s">
        <v>69</v>
      </c>
      <c r="G156" s="34" t="s">
        <v>58</v>
      </c>
      <c r="H156" s="34" t="s">
        <v>21</v>
      </c>
      <c r="I156" s="34" t="s">
        <v>19</v>
      </c>
      <c r="J156" s="34" t="s">
        <v>22</v>
      </c>
      <c r="K156" s="34" t="s">
        <v>48</v>
      </c>
      <c r="L156" s="34" t="s">
        <v>47</v>
      </c>
      <c r="M156">
        <v>-8.25</v>
      </c>
    </row>
    <row r="157" spans="1:13" x14ac:dyDescent="0.3">
      <c r="A157" s="34" t="s">
        <v>83</v>
      </c>
      <c r="B157">
        <v>-1</v>
      </c>
      <c r="C157">
        <v>2040</v>
      </c>
      <c r="D157" s="34" t="s">
        <v>55</v>
      </c>
      <c r="E157" s="34" t="s">
        <v>56</v>
      </c>
      <c r="F157" s="34" t="s">
        <v>69</v>
      </c>
      <c r="G157" s="34" t="s">
        <v>29</v>
      </c>
      <c r="H157" s="34" t="s">
        <v>21</v>
      </c>
      <c r="I157" s="34" t="s">
        <v>19</v>
      </c>
      <c r="J157" s="34" t="s">
        <v>22</v>
      </c>
      <c r="K157" s="34" t="s">
        <v>46</v>
      </c>
      <c r="L157" s="34" t="s">
        <v>47</v>
      </c>
      <c r="M157">
        <v>3.3000000000000003</v>
      </c>
    </row>
    <row r="158" spans="1:13" x14ac:dyDescent="0.3">
      <c r="A158" s="34" t="s">
        <v>83</v>
      </c>
      <c r="B158">
        <v>-1</v>
      </c>
      <c r="C158">
        <v>2040</v>
      </c>
      <c r="D158" s="34" t="s">
        <v>55</v>
      </c>
      <c r="E158" s="34" t="s">
        <v>56</v>
      </c>
      <c r="F158" s="34" t="s">
        <v>69</v>
      </c>
      <c r="G158" s="34" t="s">
        <v>29</v>
      </c>
      <c r="H158" s="34" t="s">
        <v>21</v>
      </c>
      <c r="I158" s="34" t="s">
        <v>19</v>
      </c>
      <c r="J158" s="34" t="s">
        <v>22</v>
      </c>
      <c r="K158" s="34" t="s">
        <v>48</v>
      </c>
      <c r="L158" s="34" t="s">
        <v>47</v>
      </c>
      <c r="M158">
        <v>-2.4750000000000001</v>
      </c>
    </row>
    <row r="159" spans="1:13" x14ac:dyDescent="0.3">
      <c r="A159" s="34" t="s">
        <v>83</v>
      </c>
      <c r="B159">
        <v>-1</v>
      </c>
      <c r="C159">
        <v>2040</v>
      </c>
      <c r="D159" s="34" t="s">
        <v>55</v>
      </c>
      <c r="E159" s="34" t="s">
        <v>56</v>
      </c>
      <c r="F159" s="34" t="s">
        <v>69</v>
      </c>
      <c r="G159" s="34" t="s">
        <v>20</v>
      </c>
      <c r="H159" s="34" t="s">
        <v>21</v>
      </c>
      <c r="I159" s="34" t="s">
        <v>19</v>
      </c>
      <c r="J159" s="34" t="s">
        <v>22</v>
      </c>
      <c r="K159" s="34" t="s">
        <v>46</v>
      </c>
      <c r="L159" s="34" t="s">
        <v>47</v>
      </c>
      <c r="M159">
        <v>7.15</v>
      </c>
    </row>
    <row r="160" spans="1:13" x14ac:dyDescent="0.3">
      <c r="A160" s="34" t="s">
        <v>83</v>
      </c>
      <c r="B160">
        <v>-1</v>
      </c>
      <c r="C160">
        <v>2040</v>
      </c>
      <c r="D160" s="34" t="s">
        <v>55</v>
      </c>
      <c r="E160" s="34" t="s">
        <v>56</v>
      </c>
      <c r="F160" s="34" t="s">
        <v>69</v>
      </c>
      <c r="G160" s="34" t="s">
        <v>20</v>
      </c>
      <c r="H160" s="34" t="s">
        <v>21</v>
      </c>
      <c r="I160" s="34" t="s">
        <v>19</v>
      </c>
      <c r="J160" s="34" t="s">
        <v>22</v>
      </c>
      <c r="K160" s="34" t="s">
        <v>48</v>
      </c>
      <c r="L160" s="34" t="s">
        <v>47</v>
      </c>
      <c r="M160">
        <v>-5.3624999999999998</v>
      </c>
    </row>
    <row r="161" spans="1:13" x14ac:dyDescent="0.3">
      <c r="A161" s="34" t="s">
        <v>83</v>
      </c>
      <c r="B161">
        <v>-1</v>
      </c>
      <c r="C161">
        <v>2040</v>
      </c>
      <c r="D161" s="34" t="s">
        <v>55</v>
      </c>
      <c r="E161" s="34" t="s">
        <v>56</v>
      </c>
      <c r="F161" s="34" t="s">
        <v>69</v>
      </c>
      <c r="G161" s="34" t="s">
        <v>30</v>
      </c>
      <c r="H161" s="34" t="s">
        <v>21</v>
      </c>
      <c r="I161" s="34" t="s">
        <v>19</v>
      </c>
      <c r="J161" s="34" t="s">
        <v>22</v>
      </c>
      <c r="K161" s="34" t="s">
        <v>46</v>
      </c>
      <c r="L161" s="34" t="s">
        <v>47</v>
      </c>
      <c r="M161">
        <v>0.55000000000000004</v>
      </c>
    </row>
    <row r="162" spans="1:13" x14ac:dyDescent="0.3">
      <c r="A162" s="34" t="s">
        <v>83</v>
      </c>
      <c r="B162">
        <v>-1</v>
      </c>
      <c r="C162">
        <v>2040</v>
      </c>
      <c r="D162" s="34" t="s">
        <v>55</v>
      </c>
      <c r="E162" s="34" t="s">
        <v>56</v>
      </c>
      <c r="F162" s="34" t="s">
        <v>69</v>
      </c>
      <c r="G162" s="34" t="s">
        <v>30</v>
      </c>
      <c r="H162" s="34" t="s">
        <v>21</v>
      </c>
      <c r="I162" s="34" t="s">
        <v>19</v>
      </c>
      <c r="J162" s="34" t="s">
        <v>22</v>
      </c>
      <c r="K162" s="34" t="s">
        <v>48</v>
      </c>
      <c r="L162" s="34" t="s">
        <v>47</v>
      </c>
      <c r="M162">
        <v>-0.41250000000000003</v>
      </c>
    </row>
    <row r="163" spans="1:13" x14ac:dyDescent="0.3">
      <c r="A163" s="34" t="s">
        <v>83</v>
      </c>
      <c r="B163">
        <v>-1</v>
      </c>
      <c r="C163">
        <v>2040</v>
      </c>
      <c r="D163" s="34" t="s">
        <v>55</v>
      </c>
      <c r="E163" s="34" t="s">
        <v>56</v>
      </c>
      <c r="F163" s="34" t="s">
        <v>69</v>
      </c>
      <c r="G163" s="34" t="s">
        <v>62</v>
      </c>
      <c r="H163" s="34" t="s">
        <v>21</v>
      </c>
      <c r="I163" s="34" t="s">
        <v>19</v>
      </c>
      <c r="J163" s="34" t="s">
        <v>22</v>
      </c>
      <c r="K163" s="34" t="s">
        <v>49</v>
      </c>
      <c r="L163" s="34" t="s">
        <v>47</v>
      </c>
      <c r="M163">
        <v>2.7545327138464106</v>
      </c>
    </row>
    <row r="164" spans="1:13" x14ac:dyDescent="0.3">
      <c r="A164" s="34" t="s">
        <v>83</v>
      </c>
      <c r="B164">
        <v>-1</v>
      </c>
      <c r="C164">
        <v>2040</v>
      </c>
      <c r="D164" s="34" t="s">
        <v>55</v>
      </c>
      <c r="E164" s="34" t="s">
        <v>56</v>
      </c>
      <c r="F164" s="34" t="s">
        <v>69</v>
      </c>
      <c r="G164" s="34" t="s">
        <v>64</v>
      </c>
      <c r="H164" s="34" t="s">
        <v>21</v>
      </c>
      <c r="I164" s="34" t="s">
        <v>19</v>
      </c>
      <c r="J164" s="34" t="s">
        <v>22</v>
      </c>
      <c r="K164" s="34" t="s">
        <v>49</v>
      </c>
      <c r="L164" s="34" t="s">
        <v>47</v>
      </c>
      <c r="M164">
        <v>41.408637207071379</v>
      </c>
    </row>
    <row r="165" spans="1:13" x14ac:dyDescent="0.3">
      <c r="A165" s="34" t="s">
        <v>83</v>
      </c>
      <c r="B165">
        <v>-1</v>
      </c>
      <c r="C165">
        <v>2040</v>
      </c>
      <c r="D165" s="34" t="s">
        <v>55</v>
      </c>
      <c r="E165" s="34" t="s">
        <v>56</v>
      </c>
      <c r="F165" s="34" t="s">
        <v>69</v>
      </c>
      <c r="G165" s="34" t="s">
        <v>63</v>
      </c>
      <c r="H165" s="34" t="s">
        <v>23</v>
      </c>
      <c r="I165" s="34" t="s">
        <v>19</v>
      </c>
      <c r="J165" s="34" t="s">
        <v>24</v>
      </c>
      <c r="K165" s="34" t="s">
        <v>49</v>
      </c>
      <c r="L165" s="34" t="s">
        <v>47</v>
      </c>
      <c r="M165">
        <v>25.978288495255512</v>
      </c>
    </row>
    <row r="166" spans="1:13" x14ac:dyDescent="0.3">
      <c r="A166" s="34" t="s">
        <v>83</v>
      </c>
      <c r="B166">
        <v>-1</v>
      </c>
      <c r="C166">
        <v>2040</v>
      </c>
      <c r="D166" s="34" t="s">
        <v>55</v>
      </c>
      <c r="E166" s="34" t="s">
        <v>56</v>
      </c>
      <c r="F166" s="34" t="s">
        <v>69</v>
      </c>
      <c r="G166" s="34" t="s">
        <v>65</v>
      </c>
      <c r="H166" s="34" t="s">
        <v>23</v>
      </c>
      <c r="I166" s="34" t="s">
        <v>19</v>
      </c>
      <c r="J166" s="34" t="s">
        <v>24</v>
      </c>
      <c r="K166" s="34" t="s">
        <v>49</v>
      </c>
      <c r="L166" s="34" t="s">
        <v>47</v>
      </c>
      <c r="M166">
        <v>18.431331789402435</v>
      </c>
    </row>
    <row r="167" spans="1:13" x14ac:dyDescent="0.3">
      <c r="A167" s="34" t="s">
        <v>83</v>
      </c>
      <c r="B167">
        <v>-1</v>
      </c>
      <c r="C167">
        <v>2050</v>
      </c>
      <c r="D167" s="34" t="s">
        <v>55</v>
      </c>
      <c r="E167" s="34" t="s">
        <v>56</v>
      </c>
      <c r="F167" s="34" t="s">
        <v>57</v>
      </c>
      <c r="G167" s="34" t="s">
        <v>43</v>
      </c>
      <c r="H167" s="34" t="s">
        <v>40</v>
      </c>
      <c r="I167" s="34" t="s">
        <v>19</v>
      </c>
      <c r="J167" s="34" t="s">
        <v>27</v>
      </c>
      <c r="K167" s="34" t="s">
        <v>46</v>
      </c>
      <c r="L167" s="34" t="s">
        <v>47</v>
      </c>
      <c r="M167">
        <v>25.75</v>
      </c>
    </row>
    <row r="168" spans="1:13" x14ac:dyDescent="0.3">
      <c r="A168" s="34" t="s">
        <v>83</v>
      </c>
      <c r="B168">
        <v>-1</v>
      </c>
      <c r="C168">
        <v>2050</v>
      </c>
      <c r="D168" s="34" t="s">
        <v>55</v>
      </c>
      <c r="E168" s="34" t="s">
        <v>56</v>
      </c>
      <c r="F168" s="34" t="s">
        <v>57</v>
      </c>
      <c r="G168" s="34" t="s">
        <v>43</v>
      </c>
      <c r="H168" s="34" t="s">
        <v>40</v>
      </c>
      <c r="I168" s="34" t="s">
        <v>19</v>
      </c>
      <c r="J168" s="34" t="s">
        <v>27</v>
      </c>
      <c r="K168" s="34" t="s">
        <v>48</v>
      </c>
      <c r="L168" s="34" t="s">
        <v>47</v>
      </c>
      <c r="M168">
        <v>-25.75</v>
      </c>
    </row>
    <row r="169" spans="1:13" x14ac:dyDescent="0.3">
      <c r="A169" s="34" t="s">
        <v>83</v>
      </c>
      <c r="B169">
        <v>-1</v>
      </c>
      <c r="C169">
        <v>2050</v>
      </c>
      <c r="D169" s="34" t="s">
        <v>55</v>
      </c>
      <c r="E169" s="34" t="s">
        <v>56</v>
      </c>
      <c r="F169" s="34" t="s">
        <v>57</v>
      </c>
      <c r="G169" s="34" t="s">
        <v>44</v>
      </c>
      <c r="H169" s="34" t="s">
        <v>45</v>
      </c>
      <c r="I169" s="34" t="s">
        <v>19</v>
      </c>
      <c r="J169" s="34" t="s">
        <v>27</v>
      </c>
      <c r="K169" s="34" t="s">
        <v>46</v>
      </c>
      <c r="L169" s="34" t="s">
        <v>47</v>
      </c>
      <c r="M169">
        <v>1.7</v>
      </c>
    </row>
    <row r="170" spans="1:13" x14ac:dyDescent="0.3">
      <c r="A170" s="34" t="s">
        <v>83</v>
      </c>
      <c r="B170">
        <v>-1</v>
      </c>
      <c r="C170">
        <v>2050</v>
      </c>
      <c r="D170" s="34" t="s">
        <v>55</v>
      </c>
      <c r="E170" s="34" t="s">
        <v>56</v>
      </c>
      <c r="F170" s="34" t="s">
        <v>57</v>
      </c>
      <c r="G170" s="34" t="s">
        <v>44</v>
      </c>
      <c r="H170" s="34" t="s">
        <v>45</v>
      </c>
      <c r="I170" s="34" t="s">
        <v>19</v>
      </c>
      <c r="J170" s="34" t="s">
        <v>27</v>
      </c>
      <c r="K170" s="34" t="s">
        <v>48</v>
      </c>
      <c r="L170" s="34" t="s">
        <v>47</v>
      </c>
      <c r="M170">
        <v>-1.7</v>
      </c>
    </row>
    <row r="171" spans="1:13" x14ac:dyDescent="0.3">
      <c r="A171" s="34" t="s">
        <v>83</v>
      </c>
      <c r="B171">
        <v>-1</v>
      </c>
      <c r="C171">
        <v>2050</v>
      </c>
      <c r="D171" s="34" t="s">
        <v>55</v>
      </c>
      <c r="E171" s="34" t="s">
        <v>56</v>
      </c>
      <c r="F171" s="34" t="s">
        <v>57</v>
      </c>
      <c r="G171" s="34" t="s">
        <v>31</v>
      </c>
      <c r="H171" s="34" t="s">
        <v>18</v>
      </c>
      <c r="I171" s="34" t="s">
        <v>19</v>
      </c>
      <c r="J171" s="34" t="s">
        <v>32</v>
      </c>
      <c r="K171" s="34" t="s">
        <v>46</v>
      </c>
      <c r="L171" s="34" t="s">
        <v>47</v>
      </c>
      <c r="M171">
        <v>31.5</v>
      </c>
    </row>
    <row r="172" spans="1:13" x14ac:dyDescent="0.3">
      <c r="A172" s="34" t="s">
        <v>83</v>
      </c>
      <c r="B172">
        <v>-1</v>
      </c>
      <c r="C172">
        <v>2050</v>
      </c>
      <c r="D172" s="34" t="s">
        <v>55</v>
      </c>
      <c r="E172" s="34" t="s">
        <v>56</v>
      </c>
      <c r="F172" s="34" t="s">
        <v>57</v>
      </c>
      <c r="G172" s="34" t="s">
        <v>54</v>
      </c>
      <c r="H172" s="34" t="s">
        <v>39</v>
      </c>
      <c r="I172" s="34" t="s">
        <v>19</v>
      </c>
      <c r="J172" s="34" t="s">
        <v>27</v>
      </c>
      <c r="K172" s="34" t="s">
        <v>46</v>
      </c>
      <c r="L172" s="34" t="s">
        <v>47</v>
      </c>
      <c r="M172">
        <v>20</v>
      </c>
    </row>
    <row r="173" spans="1:13" x14ac:dyDescent="0.3">
      <c r="A173" s="34" t="s">
        <v>83</v>
      </c>
      <c r="B173">
        <v>-1</v>
      </c>
      <c r="C173">
        <v>2050</v>
      </c>
      <c r="D173" s="34" t="s">
        <v>55</v>
      </c>
      <c r="E173" s="34" t="s">
        <v>56</v>
      </c>
      <c r="F173" s="34" t="s">
        <v>57</v>
      </c>
      <c r="G173" s="34" t="s">
        <v>54</v>
      </c>
      <c r="H173" s="34" t="s">
        <v>39</v>
      </c>
      <c r="I173" s="34" t="s">
        <v>19</v>
      </c>
      <c r="J173" s="34" t="s">
        <v>27</v>
      </c>
      <c r="K173" s="34" t="s">
        <v>48</v>
      </c>
      <c r="L173" s="34" t="s">
        <v>47</v>
      </c>
      <c r="M173">
        <v>-20</v>
      </c>
    </row>
    <row r="174" spans="1:13" x14ac:dyDescent="0.3">
      <c r="A174" s="34" t="s">
        <v>83</v>
      </c>
      <c r="B174">
        <v>-1</v>
      </c>
      <c r="C174">
        <v>2050</v>
      </c>
      <c r="D174" s="34" t="s">
        <v>55</v>
      </c>
      <c r="E174" s="34" t="s">
        <v>56</v>
      </c>
      <c r="F174" s="34" t="s">
        <v>57</v>
      </c>
      <c r="G174" s="34" t="s">
        <v>25</v>
      </c>
      <c r="H174" s="34" t="s">
        <v>26</v>
      </c>
      <c r="I174" s="34" t="s">
        <v>19</v>
      </c>
      <c r="J174" s="34" t="s">
        <v>27</v>
      </c>
      <c r="K174" s="34" t="s">
        <v>49</v>
      </c>
      <c r="L174" s="34" t="s">
        <v>47</v>
      </c>
      <c r="M174">
        <v>0.60771718948039632</v>
      </c>
    </row>
    <row r="175" spans="1:13" x14ac:dyDescent="0.3">
      <c r="A175" s="34" t="s">
        <v>83</v>
      </c>
      <c r="B175">
        <v>-1</v>
      </c>
      <c r="C175">
        <v>2050</v>
      </c>
      <c r="D175" s="34" t="s">
        <v>55</v>
      </c>
      <c r="E175" s="34" t="s">
        <v>56</v>
      </c>
      <c r="F175" s="34" t="s">
        <v>57</v>
      </c>
      <c r="G175" s="34" t="s">
        <v>52</v>
      </c>
      <c r="H175" s="34" t="s">
        <v>53</v>
      </c>
      <c r="I175" s="34" t="s">
        <v>19</v>
      </c>
      <c r="J175" s="34" t="s">
        <v>27</v>
      </c>
      <c r="K175" s="34" t="s">
        <v>46</v>
      </c>
      <c r="L175" s="34" t="s">
        <v>47</v>
      </c>
      <c r="M175">
        <v>1.7</v>
      </c>
    </row>
    <row r="176" spans="1:13" x14ac:dyDescent="0.3">
      <c r="A176" s="34" t="s">
        <v>83</v>
      </c>
      <c r="B176">
        <v>-1</v>
      </c>
      <c r="C176">
        <v>2050</v>
      </c>
      <c r="D176" s="34" t="s">
        <v>55</v>
      </c>
      <c r="E176" s="34" t="s">
        <v>56</v>
      </c>
      <c r="F176" s="34" t="s">
        <v>57</v>
      </c>
      <c r="G176" s="34" t="s">
        <v>52</v>
      </c>
      <c r="H176" s="34" t="s">
        <v>53</v>
      </c>
      <c r="I176" s="34" t="s">
        <v>19</v>
      </c>
      <c r="J176" s="34" t="s">
        <v>27</v>
      </c>
      <c r="K176" s="34" t="s">
        <v>48</v>
      </c>
      <c r="L176" s="34" t="s">
        <v>47</v>
      </c>
      <c r="M176">
        <v>-1.7</v>
      </c>
    </row>
    <row r="177" spans="1:13" x14ac:dyDescent="0.3">
      <c r="A177" s="34" t="s">
        <v>83</v>
      </c>
      <c r="B177">
        <v>-1</v>
      </c>
      <c r="C177">
        <v>2050</v>
      </c>
      <c r="D177" s="34" t="s">
        <v>55</v>
      </c>
      <c r="E177" s="34" t="s">
        <v>56</v>
      </c>
      <c r="F177" s="34" t="s">
        <v>57</v>
      </c>
      <c r="G177" s="34" t="s">
        <v>59</v>
      </c>
      <c r="H177" s="34" t="s">
        <v>12</v>
      </c>
      <c r="I177" s="34" t="s">
        <v>13</v>
      </c>
      <c r="J177" s="34" t="s">
        <v>14</v>
      </c>
      <c r="K177" s="34" t="s">
        <v>49</v>
      </c>
      <c r="L177" s="34" t="s">
        <v>47</v>
      </c>
      <c r="M177">
        <v>3.8703375749161051</v>
      </c>
    </row>
    <row r="178" spans="1:13" x14ac:dyDescent="0.3">
      <c r="A178" s="34" t="s">
        <v>83</v>
      </c>
      <c r="B178">
        <v>-1</v>
      </c>
      <c r="C178">
        <v>2050</v>
      </c>
      <c r="D178" s="34" t="s">
        <v>55</v>
      </c>
      <c r="E178" s="34" t="s">
        <v>56</v>
      </c>
      <c r="F178" s="34" t="s">
        <v>57</v>
      </c>
      <c r="G178" s="34" t="s">
        <v>60</v>
      </c>
      <c r="H178" s="34" t="s">
        <v>12</v>
      </c>
      <c r="I178" s="34" t="s">
        <v>13</v>
      </c>
      <c r="J178" s="34" t="s">
        <v>14</v>
      </c>
      <c r="K178" s="34" t="s">
        <v>49</v>
      </c>
      <c r="L178" s="34" t="s">
        <v>47</v>
      </c>
      <c r="M178">
        <v>8.6210649531716808</v>
      </c>
    </row>
    <row r="179" spans="1:13" x14ac:dyDescent="0.3">
      <c r="A179" s="34" t="s">
        <v>83</v>
      </c>
      <c r="B179">
        <v>-1</v>
      </c>
      <c r="C179">
        <v>2050</v>
      </c>
      <c r="D179" s="34" t="s">
        <v>55</v>
      </c>
      <c r="E179" s="34" t="s">
        <v>56</v>
      </c>
      <c r="F179" s="34" t="s">
        <v>57</v>
      </c>
      <c r="G179" s="34" t="s">
        <v>16</v>
      </c>
      <c r="H179" s="34" t="s">
        <v>12</v>
      </c>
      <c r="I179" s="34" t="s">
        <v>13</v>
      </c>
      <c r="J179" s="34" t="s">
        <v>14</v>
      </c>
      <c r="K179" s="34" t="s">
        <v>49</v>
      </c>
      <c r="L179" s="34" t="s">
        <v>47</v>
      </c>
      <c r="M179">
        <v>11.823679944749566</v>
      </c>
    </row>
    <row r="180" spans="1:13" x14ac:dyDescent="0.3">
      <c r="A180" s="34" t="s">
        <v>83</v>
      </c>
      <c r="B180">
        <v>-1</v>
      </c>
      <c r="C180">
        <v>2050</v>
      </c>
      <c r="D180" s="34" t="s">
        <v>55</v>
      </c>
      <c r="E180" s="34" t="s">
        <v>56</v>
      </c>
      <c r="F180" s="34" t="s">
        <v>57</v>
      </c>
      <c r="G180" s="34" t="s">
        <v>66</v>
      </c>
      <c r="H180" s="34" t="s">
        <v>13</v>
      </c>
      <c r="I180" s="34" t="s">
        <v>13</v>
      </c>
      <c r="J180" s="34" t="s">
        <v>17</v>
      </c>
      <c r="K180" s="34" t="s">
        <v>49</v>
      </c>
      <c r="L180" s="34" t="s">
        <v>47</v>
      </c>
      <c r="M180">
        <v>102.07564346155594</v>
      </c>
    </row>
    <row r="181" spans="1:13" x14ac:dyDescent="0.3">
      <c r="A181" s="34" t="s">
        <v>83</v>
      </c>
      <c r="B181">
        <v>-1</v>
      </c>
      <c r="C181">
        <v>2050</v>
      </c>
      <c r="D181" s="34" t="s">
        <v>55</v>
      </c>
      <c r="E181" s="34" t="s">
        <v>56</v>
      </c>
      <c r="F181" s="34" t="s">
        <v>57</v>
      </c>
      <c r="G181" s="34" t="s">
        <v>61</v>
      </c>
      <c r="H181" s="34" t="s">
        <v>13</v>
      </c>
      <c r="I181" s="34" t="s">
        <v>13</v>
      </c>
      <c r="J181" s="34" t="s">
        <v>17</v>
      </c>
      <c r="K181" s="34" t="s">
        <v>49</v>
      </c>
      <c r="L181" s="34" t="s">
        <v>47</v>
      </c>
      <c r="M181">
        <v>953.61964065527457</v>
      </c>
    </row>
    <row r="182" spans="1:13" x14ac:dyDescent="0.3">
      <c r="A182" s="34" t="s">
        <v>83</v>
      </c>
      <c r="B182">
        <v>-1</v>
      </c>
      <c r="C182">
        <v>2050</v>
      </c>
      <c r="D182" s="34" t="s">
        <v>55</v>
      </c>
      <c r="E182" s="34" t="s">
        <v>56</v>
      </c>
      <c r="F182" s="34" t="s">
        <v>57</v>
      </c>
      <c r="G182" s="34" t="s">
        <v>41</v>
      </c>
      <c r="H182" s="34" t="s">
        <v>40</v>
      </c>
      <c r="I182" s="34" t="s">
        <v>13</v>
      </c>
      <c r="J182" s="34" t="s">
        <v>42</v>
      </c>
      <c r="K182" s="34" t="s">
        <v>49</v>
      </c>
      <c r="L182" s="34" t="s">
        <v>47</v>
      </c>
      <c r="M182">
        <v>0.55511453668695532</v>
      </c>
    </row>
    <row r="183" spans="1:13" x14ac:dyDescent="0.3">
      <c r="A183" s="34" t="s">
        <v>83</v>
      </c>
      <c r="B183">
        <v>-1</v>
      </c>
      <c r="C183">
        <v>2050</v>
      </c>
      <c r="D183" s="34" t="s">
        <v>55</v>
      </c>
      <c r="E183" s="34" t="s">
        <v>56</v>
      </c>
      <c r="F183" s="34" t="s">
        <v>69</v>
      </c>
      <c r="G183" s="34" t="s">
        <v>28</v>
      </c>
      <c r="H183" s="34" t="s">
        <v>23</v>
      </c>
      <c r="I183" s="34" t="s">
        <v>19</v>
      </c>
      <c r="J183" s="34" t="s">
        <v>24</v>
      </c>
      <c r="K183" s="34" t="s">
        <v>46</v>
      </c>
      <c r="L183" s="34" t="s">
        <v>47</v>
      </c>
      <c r="M183">
        <v>8</v>
      </c>
    </row>
    <row r="184" spans="1:13" x14ac:dyDescent="0.3">
      <c r="A184" s="34" t="s">
        <v>83</v>
      </c>
      <c r="B184">
        <v>-1</v>
      </c>
      <c r="C184">
        <v>2050</v>
      </c>
      <c r="D184" s="34" t="s">
        <v>55</v>
      </c>
      <c r="E184" s="34" t="s">
        <v>56</v>
      </c>
      <c r="F184" s="34" t="s">
        <v>69</v>
      </c>
      <c r="G184" s="34" t="s">
        <v>28</v>
      </c>
      <c r="H184" s="34" t="s">
        <v>23</v>
      </c>
      <c r="I184" s="34" t="s">
        <v>19</v>
      </c>
      <c r="J184" s="34" t="s">
        <v>24</v>
      </c>
      <c r="K184" s="34" t="s">
        <v>48</v>
      </c>
      <c r="L184" s="34" t="s">
        <v>47</v>
      </c>
      <c r="M184">
        <v>-8</v>
      </c>
    </row>
    <row r="185" spans="1:13" x14ac:dyDescent="0.3">
      <c r="A185" s="34" t="s">
        <v>83</v>
      </c>
      <c r="B185">
        <v>-1</v>
      </c>
      <c r="C185">
        <v>2050</v>
      </c>
      <c r="D185" s="34" t="s">
        <v>55</v>
      </c>
      <c r="E185" s="34" t="s">
        <v>56</v>
      </c>
      <c r="F185" s="34" t="s">
        <v>69</v>
      </c>
      <c r="G185" s="34" t="s">
        <v>58</v>
      </c>
      <c r="H185" s="34" t="s">
        <v>21</v>
      </c>
      <c r="I185" s="34" t="s">
        <v>19</v>
      </c>
      <c r="J185" s="34" t="s">
        <v>22</v>
      </c>
      <c r="K185" s="34" t="s">
        <v>46</v>
      </c>
      <c r="L185" s="34" t="s">
        <v>47</v>
      </c>
      <c r="M185">
        <v>11</v>
      </c>
    </row>
    <row r="186" spans="1:13" x14ac:dyDescent="0.3">
      <c r="A186" s="34" t="s">
        <v>83</v>
      </c>
      <c r="B186">
        <v>-1</v>
      </c>
      <c r="C186">
        <v>2050</v>
      </c>
      <c r="D186" s="34" t="s">
        <v>55</v>
      </c>
      <c r="E186" s="34" t="s">
        <v>56</v>
      </c>
      <c r="F186" s="34" t="s">
        <v>69</v>
      </c>
      <c r="G186" s="34" t="s">
        <v>58</v>
      </c>
      <c r="H186" s="34" t="s">
        <v>21</v>
      </c>
      <c r="I186" s="34" t="s">
        <v>19</v>
      </c>
      <c r="J186" s="34" t="s">
        <v>22</v>
      </c>
      <c r="K186" s="34" t="s">
        <v>48</v>
      </c>
      <c r="L186" s="34" t="s">
        <v>47</v>
      </c>
      <c r="M186">
        <v>-11</v>
      </c>
    </row>
    <row r="187" spans="1:13" x14ac:dyDescent="0.3">
      <c r="A187" s="34" t="s">
        <v>83</v>
      </c>
      <c r="B187">
        <v>-1</v>
      </c>
      <c r="C187">
        <v>2050</v>
      </c>
      <c r="D187" s="34" t="s">
        <v>55</v>
      </c>
      <c r="E187" s="34" t="s">
        <v>56</v>
      </c>
      <c r="F187" s="34" t="s">
        <v>69</v>
      </c>
      <c r="G187" s="34" t="s">
        <v>29</v>
      </c>
      <c r="H187" s="34" t="s">
        <v>21</v>
      </c>
      <c r="I187" s="34" t="s">
        <v>19</v>
      </c>
      <c r="J187" s="34" t="s">
        <v>22</v>
      </c>
      <c r="K187" s="34" t="s">
        <v>46</v>
      </c>
      <c r="L187" s="34" t="s">
        <v>47</v>
      </c>
      <c r="M187">
        <v>3.3000000000000003</v>
      </c>
    </row>
    <row r="188" spans="1:13" x14ac:dyDescent="0.3">
      <c r="A188" s="34" t="s">
        <v>83</v>
      </c>
      <c r="B188">
        <v>-1</v>
      </c>
      <c r="C188">
        <v>2050</v>
      </c>
      <c r="D188" s="34" t="s">
        <v>55</v>
      </c>
      <c r="E188" s="34" t="s">
        <v>56</v>
      </c>
      <c r="F188" s="34" t="s">
        <v>69</v>
      </c>
      <c r="G188" s="34" t="s">
        <v>29</v>
      </c>
      <c r="H188" s="34" t="s">
        <v>21</v>
      </c>
      <c r="I188" s="34" t="s">
        <v>19</v>
      </c>
      <c r="J188" s="34" t="s">
        <v>22</v>
      </c>
      <c r="K188" s="34" t="s">
        <v>48</v>
      </c>
      <c r="L188" s="34" t="s">
        <v>47</v>
      </c>
      <c r="M188">
        <v>-3.3000000000000003</v>
      </c>
    </row>
    <row r="189" spans="1:13" x14ac:dyDescent="0.3">
      <c r="A189" s="34" t="s">
        <v>83</v>
      </c>
      <c r="B189">
        <v>-1</v>
      </c>
      <c r="C189">
        <v>2050</v>
      </c>
      <c r="D189" s="34" t="s">
        <v>55</v>
      </c>
      <c r="E189" s="34" t="s">
        <v>56</v>
      </c>
      <c r="F189" s="34" t="s">
        <v>69</v>
      </c>
      <c r="G189" s="34" t="s">
        <v>20</v>
      </c>
      <c r="H189" s="34" t="s">
        <v>21</v>
      </c>
      <c r="I189" s="34" t="s">
        <v>19</v>
      </c>
      <c r="J189" s="34" t="s">
        <v>22</v>
      </c>
      <c r="K189" s="34" t="s">
        <v>46</v>
      </c>
      <c r="L189" s="34" t="s">
        <v>47</v>
      </c>
      <c r="M189">
        <v>7.15</v>
      </c>
    </row>
    <row r="190" spans="1:13" x14ac:dyDescent="0.3">
      <c r="A190" s="34" t="s">
        <v>83</v>
      </c>
      <c r="B190">
        <v>-1</v>
      </c>
      <c r="C190">
        <v>2050</v>
      </c>
      <c r="D190" s="34" t="s">
        <v>55</v>
      </c>
      <c r="E190" s="34" t="s">
        <v>56</v>
      </c>
      <c r="F190" s="34" t="s">
        <v>69</v>
      </c>
      <c r="G190" s="34" t="s">
        <v>20</v>
      </c>
      <c r="H190" s="34" t="s">
        <v>21</v>
      </c>
      <c r="I190" s="34" t="s">
        <v>19</v>
      </c>
      <c r="J190" s="34" t="s">
        <v>22</v>
      </c>
      <c r="K190" s="34" t="s">
        <v>48</v>
      </c>
      <c r="L190" s="34" t="s">
        <v>47</v>
      </c>
      <c r="M190">
        <v>-7.15</v>
      </c>
    </row>
    <row r="191" spans="1:13" x14ac:dyDescent="0.3">
      <c r="A191" s="34" t="s">
        <v>83</v>
      </c>
      <c r="B191">
        <v>-1</v>
      </c>
      <c r="C191">
        <v>2050</v>
      </c>
      <c r="D191" s="34" t="s">
        <v>55</v>
      </c>
      <c r="E191" s="34" t="s">
        <v>56</v>
      </c>
      <c r="F191" s="34" t="s">
        <v>69</v>
      </c>
      <c r="G191" s="34" t="s">
        <v>30</v>
      </c>
      <c r="H191" s="34" t="s">
        <v>21</v>
      </c>
      <c r="I191" s="34" t="s">
        <v>19</v>
      </c>
      <c r="J191" s="34" t="s">
        <v>22</v>
      </c>
      <c r="K191" s="34" t="s">
        <v>46</v>
      </c>
      <c r="L191" s="34" t="s">
        <v>47</v>
      </c>
      <c r="M191">
        <v>0.55000000000000004</v>
      </c>
    </row>
    <row r="192" spans="1:13" x14ac:dyDescent="0.3">
      <c r="A192" s="34" t="s">
        <v>83</v>
      </c>
      <c r="B192">
        <v>-1</v>
      </c>
      <c r="C192">
        <v>2050</v>
      </c>
      <c r="D192" s="34" t="s">
        <v>55</v>
      </c>
      <c r="E192" s="34" t="s">
        <v>56</v>
      </c>
      <c r="F192" s="34" t="s">
        <v>69</v>
      </c>
      <c r="G192" s="34" t="s">
        <v>30</v>
      </c>
      <c r="H192" s="34" t="s">
        <v>21</v>
      </c>
      <c r="I192" s="34" t="s">
        <v>19</v>
      </c>
      <c r="J192" s="34" t="s">
        <v>22</v>
      </c>
      <c r="K192" s="34" t="s">
        <v>48</v>
      </c>
      <c r="L192" s="34" t="s">
        <v>47</v>
      </c>
      <c r="M192">
        <v>-0.55000000000000004</v>
      </c>
    </row>
    <row r="193" spans="1:13" x14ac:dyDescent="0.3">
      <c r="A193" s="34" t="s">
        <v>83</v>
      </c>
      <c r="B193">
        <v>-1</v>
      </c>
      <c r="C193">
        <v>2050</v>
      </c>
      <c r="D193" s="34" t="s">
        <v>55</v>
      </c>
      <c r="E193" s="34" t="s">
        <v>56</v>
      </c>
      <c r="F193" s="34" t="s">
        <v>69</v>
      </c>
      <c r="G193" s="34" t="s">
        <v>62</v>
      </c>
      <c r="H193" s="34" t="s">
        <v>21</v>
      </c>
      <c r="I193" s="34" t="s">
        <v>19</v>
      </c>
      <c r="J193" s="34" t="s">
        <v>22</v>
      </c>
      <c r="K193" s="34" t="s">
        <v>49</v>
      </c>
      <c r="L193" s="34" t="s">
        <v>47</v>
      </c>
      <c r="M193">
        <v>2.7545327138464106</v>
      </c>
    </row>
    <row r="194" spans="1:13" x14ac:dyDescent="0.3">
      <c r="A194" s="34" t="s">
        <v>83</v>
      </c>
      <c r="B194">
        <v>-1</v>
      </c>
      <c r="C194">
        <v>2050</v>
      </c>
      <c r="D194" s="34" t="s">
        <v>55</v>
      </c>
      <c r="E194" s="34" t="s">
        <v>56</v>
      </c>
      <c r="F194" s="34" t="s">
        <v>69</v>
      </c>
      <c r="G194" s="34" t="s">
        <v>64</v>
      </c>
      <c r="H194" s="34" t="s">
        <v>21</v>
      </c>
      <c r="I194" s="34" t="s">
        <v>19</v>
      </c>
      <c r="J194" s="34" t="s">
        <v>22</v>
      </c>
      <c r="K194" s="34" t="s">
        <v>49</v>
      </c>
      <c r="L194" s="34" t="s">
        <v>47</v>
      </c>
      <c r="M194">
        <v>41.408637207071379</v>
      </c>
    </row>
    <row r="195" spans="1:13" x14ac:dyDescent="0.3">
      <c r="A195" s="34" t="s">
        <v>83</v>
      </c>
      <c r="B195">
        <v>-1</v>
      </c>
      <c r="C195">
        <v>2050</v>
      </c>
      <c r="D195" s="34" t="s">
        <v>55</v>
      </c>
      <c r="E195" s="34" t="s">
        <v>56</v>
      </c>
      <c r="F195" s="34" t="s">
        <v>69</v>
      </c>
      <c r="G195" s="34" t="s">
        <v>68</v>
      </c>
      <c r="H195" s="34" t="s">
        <v>21</v>
      </c>
      <c r="I195" s="34" t="s">
        <v>19</v>
      </c>
      <c r="J195" s="34" t="s">
        <v>22</v>
      </c>
      <c r="K195" s="34" t="s">
        <v>49</v>
      </c>
      <c r="L195" s="34" t="s">
        <v>47</v>
      </c>
      <c r="M195">
        <v>12.943043674268166</v>
      </c>
    </row>
    <row r="196" spans="1:13" x14ac:dyDescent="0.3">
      <c r="A196" s="34" t="s">
        <v>83</v>
      </c>
      <c r="B196">
        <v>-1</v>
      </c>
      <c r="C196">
        <v>2050</v>
      </c>
      <c r="D196" s="34" t="s">
        <v>55</v>
      </c>
      <c r="E196" s="34" t="s">
        <v>56</v>
      </c>
      <c r="F196" s="34" t="s">
        <v>69</v>
      </c>
      <c r="G196" s="34" t="s">
        <v>63</v>
      </c>
      <c r="H196" s="34" t="s">
        <v>23</v>
      </c>
      <c r="I196" s="34" t="s">
        <v>19</v>
      </c>
      <c r="J196" s="34" t="s">
        <v>24</v>
      </c>
      <c r="K196" s="34" t="s">
        <v>49</v>
      </c>
      <c r="L196" s="34" t="s">
        <v>47</v>
      </c>
      <c r="M196">
        <v>25.978288495255512</v>
      </c>
    </row>
    <row r="197" spans="1:13" x14ac:dyDescent="0.3">
      <c r="A197" s="34" t="s">
        <v>83</v>
      </c>
      <c r="B197">
        <v>-1</v>
      </c>
      <c r="C197">
        <v>2050</v>
      </c>
      <c r="D197" s="34" t="s">
        <v>55</v>
      </c>
      <c r="E197" s="34" t="s">
        <v>56</v>
      </c>
      <c r="F197" s="34" t="s">
        <v>69</v>
      </c>
      <c r="G197" s="34" t="s">
        <v>65</v>
      </c>
      <c r="H197" s="34" t="s">
        <v>23</v>
      </c>
      <c r="I197" s="34" t="s">
        <v>19</v>
      </c>
      <c r="J197" s="34" t="s">
        <v>24</v>
      </c>
      <c r="K197" s="34" t="s">
        <v>49</v>
      </c>
      <c r="L197" s="34" t="s">
        <v>47</v>
      </c>
      <c r="M197">
        <v>18.431331789402435</v>
      </c>
    </row>
    <row r="198" spans="1:13" x14ac:dyDescent="0.3">
      <c r="A198" s="34" t="s">
        <v>83</v>
      </c>
      <c r="B198">
        <v>-1</v>
      </c>
      <c r="C198">
        <v>2050</v>
      </c>
      <c r="D198" s="34" t="s">
        <v>55</v>
      </c>
      <c r="E198" s="34" t="s">
        <v>56</v>
      </c>
      <c r="F198" s="34" t="s">
        <v>69</v>
      </c>
      <c r="G198" s="34" t="s">
        <v>67</v>
      </c>
      <c r="H198" s="34" t="s">
        <v>23</v>
      </c>
      <c r="I198" s="34" t="s">
        <v>19</v>
      </c>
      <c r="J198" s="34" t="s">
        <v>24</v>
      </c>
      <c r="K198" s="34" t="s">
        <v>49</v>
      </c>
      <c r="L198" s="34" t="s">
        <v>47</v>
      </c>
      <c r="M198">
        <v>21.88002700810782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W112"/>
  <sheetViews>
    <sheetView workbookViewId="0">
      <selection sqref="A1:L112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6.88671875" bestFit="1" customWidth="1"/>
    <col min="7" max="7" width="43.6640625" bestFit="1" customWidth="1"/>
    <col min="8" max="8" width="11.109375" bestFit="1" customWidth="1"/>
    <col min="9" max="9" width="13" bestFit="1" customWidth="1"/>
    <col min="10" max="10" width="18.109375" bestFit="1" customWidth="1"/>
    <col min="11" max="11" width="6.6640625" bestFit="1" customWidth="1"/>
    <col min="12" max="12" width="12.6640625" bestFit="1" customWidth="1"/>
    <col min="15" max="15" width="14.5546875" bestFit="1" customWidth="1"/>
    <col min="16" max="16" width="15.5546875" bestFit="1" customWidth="1"/>
    <col min="17" max="17" width="13.5546875" bestFit="1" customWidth="1"/>
    <col min="18" max="18" width="12.6640625" bestFit="1" customWidth="1"/>
    <col min="19" max="19" width="18.44140625" bestFit="1" customWidth="1"/>
    <col min="20" max="21" width="12" bestFit="1" customWidth="1"/>
    <col min="22" max="22" width="16.88671875" bestFit="1" customWidth="1"/>
    <col min="23" max="23" width="12" bestFit="1" customWidth="1"/>
    <col min="24" max="24" width="17.88671875" bestFit="1" customWidth="1"/>
    <col min="25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26.33203125" bestFit="1" customWidth="1"/>
    <col min="30" max="30" width="33" bestFit="1" customWidth="1"/>
    <col min="31" max="31" width="25.44140625" bestFit="1" customWidth="1"/>
    <col min="32" max="32" width="25.109375" bestFit="1" customWidth="1"/>
    <col min="33" max="33" width="25.77734375" bestFit="1" customWidth="1"/>
    <col min="34" max="34" width="36.33203125" bestFit="1" customWidth="1"/>
    <col min="35" max="36" width="33" bestFit="1" customWidth="1"/>
    <col min="37" max="37" width="12.77734375" bestFit="1" customWidth="1"/>
    <col min="38" max="38" width="14.5546875" bestFit="1" customWidth="1"/>
    <col min="39" max="39" width="40" bestFit="1" customWidth="1"/>
    <col min="40" max="41" width="40.6640625" bestFit="1" customWidth="1"/>
    <col min="42" max="45" width="36.6640625" bestFit="1" customWidth="1"/>
    <col min="46" max="46" width="17.6640625" bestFit="1" customWidth="1"/>
    <col min="47" max="47" width="15" bestFit="1" customWidth="1"/>
    <col min="48" max="48" width="18.21875" bestFit="1" customWidth="1"/>
    <col min="49" max="51" width="42.21875" bestFit="1" customWidth="1"/>
    <col min="52" max="52" width="14.44140625" bestFit="1" customWidth="1"/>
    <col min="53" max="53" width="35.109375" bestFit="1" customWidth="1"/>
    <col min="54" max="54" width="22.77734375" bestFit="1" customWidth="1"/>
    <col min="55" max="55" width="12" bestFit="1" customWidth="1"/>
  </cols>
  <sheetData>
    <row r="1" spans="1:23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  <c r="O1" s="1" t="s">
        <v>7</v>
      </c>
      <c r="P1" t="s">
        <v>51</v>
      </c>
    </row>
    <row r="2" spans="1:23" x14ac:dyDescent="0.3">
      <c r="A2" s="34" t="s">
        <v>80</v>
      </c>
      <c r="B2">
        <v>-1</v>
      </c>
      <c r="C2">
        <v>2020</v>
      </c>
      <c r="D2" s="34" t="s">
        <v>55</v>
      </c>
      <c r="E2" s="34" t="s">
        <v>56</v>
      </c>
      <c r="F2" s="34" t="s">
        <v>57</v>
      </c>
      <c r="G2" s="34" t="s">
        <v>44</v>
      </c>
      <c r="H2" s="34" t="s">
        <v>45</v>
      </c>
      <c r="I2" s="34" t="s">
        <v>19</v>
      </c>
      <c r="J2" s="34" t="s">
        <v>27</v>
      </c>
      <c r="K2" s="34" t="s">
        <v>15</v>
      </c>
      <c r="L2">
        <v>14.774699999999889</v>
      </c>
      <c r="O2" s="1" t="s">
        <v>37</v>
      </c>
      <c r="P2" t="s">
        <v>51</v>
      </c>
    </row>
    <row r="3" spans="1:23" x14ac:dyDescent="0.3">
      <c r="A3" s="34" t="s">
        <v>80</v>
      </c>
      <c r="B3">
        <v>-1</v>
      </c>
      <c r="C3">
        <v>2020</v>
      </c>
      <c r="D3" s="34" t="s">
        <v>55</v>
      </c>
      <c r="E3" s="34" t="s">
        <v>56</v>
      </c>
      <c r="F3" s="34" t="s">
        <v>57</v>
      </c>
      <c r="G3" s="34" t="s">
        <v>31</v>
      </c>
      <c r="H3" s="34" t="s">
        <v>18</v>
      </c>
      <c r="I3" s="34" t="s">
        <v>19</v>
      </c>
      <c r="J3" s="34" t="s">
        <v>32</v>
      </c>
      <c r="K3" s="34" t="s">
        <v>15</v>
      </c>
      <c r="L3">
        <v>94.759614626630693</v>
      </c>
    </row>
    <row r="4" spans="1:23" x14ac:dyDescent="0.3">
      <c r="A4" s="34" t="s">
        <v>80</v>
      </c>
      <c r="B4">
        <v>-1</v>
      </c>
      <c r="C4">
        <v>2020</v>
      </c>
      <c r="D4" s="34" t="s">
        <v>55</v>
      </c>
      <c r="E4" s="34" t="s">
        <v>56</v>
      </c>
      <c r="F4" s="34" t="s">
        <v>57</v>
      </c>
      <c r="G4" s="34" t="s">
        <v>11</v>
      </c>
      <c r="H4" s="34" t="s">
        <v>12</v>
      </c>
      <c r="I4" s="34" t="s">
        <v>13</v>
      </c>
      <c r="J4" s="34" t="s">
        <v>14</v>
      </c>
      <c r="K4" s="34" t="s">
        <v>15</v>
      </c>
      <c r="L4">
        <v>4.6674143351165958</v>
      </c>
      <c r="O4" s="1" t="s">
        <v>35</v>
      </c>
      <c r="P4" s="1" t="s">
        <v>36</v>
      </c>
    </row>
    <row r="5" spans="1:23" x14ac:dyDescent="0.3">
      <c r="A5" s="34" t="s">
        <v>80</v>
      </c>
      <c r="B5">
        <v>-1</v>
      </c>
      <c r="C5">
        <v>2020</v>
      </c>
      <c r="D5" s="34" t="s">
        <v>55</v>
      </c>
      <c r="E5" s="34" t="s">
        <v>56</v>
      </c>
      <c r="F5" s="34" t="s">
        <v>57</v>
      </c>
      <c r="G5" s="34" t="s">
        <v>70</v>
      </c>
      <c r="H5" s="34" t="s">
        <v>13</v>
      </c>
      <c r="I5" s="34" t="s">
        <v>13</v>
      </c>
      <c r="J5" s="34" t="s">
        <v>17</v>
      </c>
      <c r="K5" s="34" t="s">
        <v>15</v>
      </c>
      <c r="L5">
        <v>-2.7912695354093452E-15</v>
      </c>
      <c r="O5" s="1" t="s">
        <v>33</v>
      </c>
      <c r="P5" t="s">
        <v>27</v>
      </c>
      <c r="Q5" t="s">
        <v>14</v>
      </c>
      <c r="R5" t="s">
        <v>17</v>
      </c>
      <c r="S5" t="s">
        <v>32</v>
      </c>
      <c r="T5" t="s">
        <v>24</v>
      </c>
      <c r="U5" t="s">
        <v>22</v>
      </c>
      <c r="V5" t="s">
        <v>42</v>
      </c>
      <c r="W5" t="s">
        <v>34</v>
      </c>
    </row>
    <row r="6" spans="1:23" x14ac:dyDescent="0.3">
      <c r="A6" s="34" t="s">
        <v>80</v>
      </c>
      <c r="B6">
        <v>-1</v>
      </c>
      <c r="C6">
        <v>2020</v>
      </c>
      <c r="D6" s="34" t="s">
        <v>55</v>
      </c>
      <c r="E6" s="34" t="s">
        <v>56</v>
      </c>
      <c r="F6" s="34" t="s">
        <v>57</v>
      </c>
      <c r="G6" s="34" t="s">
        <v>41</v>
      </c>
      <c r="H6" s="34" t="s">
        <v>40</v>
      </c>
      <c r="I6" s="34" t="s">
        <v>13</v>
      </c>
      <c r="J6" s="34" t="s">
        <v>42</v>
      </c>
      <c r="K6" s="34" t="s">
        <v>15</v>
      </c>
      <c r="L6" s="5">
        <v>-2.4060663595814181E-15</v>
      </c>
      <c r="O6" s="2" t="s">
        <v>80</v>
      </c>
      <c r="P6" s="34">
        <v>34.040103721643</v>
      </c>
      <c r="Q6" s="34">
        <v>331.84728203168652</v>
      </c>
      <c r="R6" s="34">
        <v>5.7858975942348465</v>
      </c>
      <c r="S6" s="34">
        <v>379.03845850652266</v>
      </c>
      <c r="T6" s="34">
        <v>277.43978509767055</v>
      </c>
      <c r="U6" s="34">
        <v>428.90130497047051</v>
      </c>
      <c r="V6" s="34">
        <v>0.38831365303979642</v>
      </c>
      <c r="W6" s="34">
        <v>1457.4411455752677</v>
      </c>
    </row>
    <row r="7" spans="1:23" x14ac:dyDescent="0.3">
      <c r="A7" s="34" t="s">
        <v>80</v>
      </c>
      <c r="B7">
        <v>-1</v>
      </c>
      <c r="C7">
        <v>2020</v>
      </c>
      <c r="D7" s="34" t="s">
        <v>55</v>
      </c>
      <c r="E7" s="34" t="s">
        <v>56</v>
      </c>
      <c r="F7" s="34" t="s">
        <v>69</v>
      </c>
      <c r="G7" s="34" t="s">
        <v>28</v>
      </c>
      <c r="H7" s="34" t="s">
        <v>23</v>
      </c>
      <c r="I7" s="34" t="s">
        <v>19</v>
      </c>
      <c r="J7" s="34" t="s">
        <v>24</v>
      </c>
      <c r="K7" s="34" t="s">
        <v>15</v>
      </c>
      <c r="L7">
        <v>15.101039999999987</v>
      </c>
      <c r="O7" s="3" t="s">
        <v>19</v>
      </c>
      <c r="P7" s="34">
        <v>34.040103721643</v>
      </c>
      <c r="Q7" s="34"/>
      <c r="R7" s="34"/>
      <c r="S7" s="34">
        <v>379.03845850652266</v>
      </c>
      <c r="T7" s="34">
        <v>277.43978509767055</v>
      </c>
      <c r="U7" s="34">
        <v>428.90130497047051</v>
      </c>
      <c r="V7" s="34"/>
      <c r="W7" s="34">
        <v>1119.4196522963066</v>
      </c>
    </row>
    <row r="8" spans="1:23" x14ac:dyDescent="0.3">
      <c r="A8" s="34" t="s">
        <v>80</v>
      </c>
      <c r="B8">
        <v>-1</v>
      </c>
      <c r="C8">
        <v>2020</v>
      </c>
      <c r="D8" s="34" t="s">
        <v>55</v>
      </c>
      <c r="E8" s="34" t="s">
        <v>56</v>
      </c>
      <c r="F8" s="34" t="s">
        <v>69</v>
      </c>
      <c r="G8" s="34" t="s">
        <v>58</v>
      </c>
      <c r="H8" s="34" t="s">
        <v>21</v>
      </c>
      <c r="I8" s="34" t="s">
        <v>19</v>
      </c>
      <c r="J8" s="34" t="s">
        <v>22</v>
      </c>
      <c r="K8" s="34" t="s">
        <v>15</v>
      </c>
      <c r="L8">
        <v>32.367556475276764</v>
      </c>
      <c r="O8" s="4">
        <v>2020</v>
      </c>
      <c r="P8" s="34">
        <v>14.774699999999889</v>
      </c>
      <c r="Q8" s="34"/>
      <c r="R8" s="34"/>
      <c r="S8" s="34">
        <v>94.759614626630693</v>
      </c>
      <c r="T8" s="34">
        <v>15.101039999999987</v>
      </c>
      <c r="U8" s="34">
        <v>44.731138475276772</v>
      </c>
      <c r="V8" s="34"/>
      <c r="W8" s="34">
        <v>169.36649310190734</v>
      </c>
    </row>
    <row r="9" spans="1:23" x14ac:dyDescent="0.3">
      <c r="A9" s="34" t="s">
        <v>80</v>
      </c>
      <c r="B9">
        <v>-1</v>
      </c>
      <c r="C9">
        <v>2020</v>
      </c>
      <c r="D9" s="34" t="s">
        <v>55</v>
      </c>
      <c r="E9" s="34" t="s">
        <v>56</v>
      </c>
      <c r="F9" s="34" t="s">
        <v>69</v>
      </c>
      <c r="G9" s="34" t="s">
        <v>29</v>
      </c>
      <c r="H9" s="34" t="s">
        <v>21</v>
      </c>
      <c r="I9" s="34" t="s">
        <v>19</v>
      </c>
      <c r="J9" s="34" t="s">
        <v>22</v>
      </c>
      <c r="K9" s="34" t="s">
        <v>15</v>
      </c>
      <c r="L9">
        <v>10.59735600000001</v>
      </c>
      <c r="O9" s="4">
        <v>2030</v>
      </c>
      <c r="P9" s="34">
        <v>10.536090996410794</v>
      </c>
      <c r="Q9" s="34"/>
      <c r="R9" s="34"/>
      <c r="S9" s="34">
        <v>94.759614626630523</v>
      </c>
      <c r="T9" s="34">
        <v>59.303686236223193</v>
      </c>
      <c r="U9" s="34">
        <v>56.807979924644414</v>
      </c>
      <c r="V9" s="34"/>
      <c r="W9" s="34">
        <v>221.4073717839089</v>
      </c>
    </row>
    <row r="10" spans="1:23" x14ac:dyDescent="0.3">
      <c r="A10" s="34" t="s">
        <v>80</v>
      </c>
      <c r="B10">
        <v>-1</v>
      </c>
      <c r="C10">
        <v>2020</v>
      </c>
      <c r="D10" s="34" t="s">
        <v>55</v>
      </c>
      <c r="E10" s="34" t="s">
        <v>56</v>
      </c>
      <c r="F10" s="34" t="s">
        <v>69</v>
      </c>
      <c r="G10" s="34" t="s">
        <v>20</v>
      </c>
      <c r="H10" s="34" t="s">
        <v>21</v>
      </c>
      <c r="I10" s="34" t="s">
        <v>19</v>
      </c>
      <c r="J10" s="34" t="s">
        <v>22</v>
      </c>
      <c r="K10" s="34" t="s">
        <v>15</v>
      </c>
      <c r="L10">
        <v>-1.1603974923803291E-15</v>
      </c>
      <c r="O10" s="4">
        <v>2040</v>
      </c>
      <c r="P10" s="34">
        <v>3.589240736607116</v>
      </c>
      <c r="Q10" s="34"/>
      <c r="R10" s="34"/>
      <c r="S10" s="34">
        <v>94.759614626630679</v>
      </c>
      <c r="T10" s="34">
        <v>87.69256324882727</v>
      </c>
      <c r="U10" s="34">
        <v>144.58161218557359</v>
      </c>
      <c r="V10" s="34"/>
      <c r="W10" s="34">
        <v>330.62303079763865</v>
      </c>
    </row>
    <row r="11" spans="1:23" x14ac:dyDescent="0.3">
      <c r="A11" s="34" t="s">
        <v>80</v>
      </c>
      <c r="B11">
        <v>-1</v>
      </c>
      <c r="C11">
        <v>2020</v>
      </c>
      <c r="D11" s="34" t="s">
        <v>55</v>
      </c>
      <c r="E11" s="34" t="s">
        <v>56</v>
      </c>
      <c r="F11" s="34" t="s">
        <v>69</v>
      </c>
      <c r="G11" s="34" t="s">
        <v>30</v>
      </c>
      <c r="H11" s="34" t="s">
        <v>21</v>
      </c>
      <c r="I11" s="34" t="s">
        <v>19</v>
      </c>
      <c r="J11" s="34" t="s">
        <v>22</v>
      </c>
      <c r="K11" s="34" t="s">
        <v>15</v>
      </c>
      <c r="L11">
        <v>1.7662259999999994</v>
      </c>
      <c r="O11" s="4">
        <v>2050</v>
      </c>
      <c r="P11" s="34">
        <v>5.1400719886252002</v>
      </c>
      <c r="Q11" s="34"/>
      <c r="R11" s="34"/>
      <c r="S11" s="34">
        <v>94.75961462663075</v>
      </c>
      <c r="T11" s="34">
        <v>115.34249561262013</v>
      </c>
      <c r="U11" s="34">
        <v>182.78057438497575</v>
      </c>
      <c r="V11" s="34"/>
      <c r="W11" s="34">
        <v>398.02275661285182</v>
      </c>
    </row>
    <row r="12" spans="1:23" x14ac:dyDescent="0.3">
      <c r="A12" s="34" t="s">
        <v>80</v>
      </c>
      <c r="B12">
        <v>-1</v>
      </c>
      <c r="C12">
        <v>2030</v>
      </c>
      <c r="D12" s="34" t="s">
        <v>55</v>
      </c>
      <c r="E12" s="34" t="s">
        <v>56</v>
      </c>
      <c r="F12" s="34" t="s">
        <v>57</v>
      </c>
      <c r="G12" s="34" t="s">
        <v>44</v>
      </c>
      <c r="H12" s="34" t="s">
        <v>45</v>
      </c>
      <c r="I12" s="34" t="s">
        <v>19</v>
      </c>
      <c r="J12" s="34" t="s">
        <v>27</v>
      </c>
      <c r="K12" s="34" t="s">
        <v>15</v>
      </c>
      <c r="L12">
        <v>10.536090996410794</v>
      </c>
      <c r="O12" s="3" t="s">
        <v>13</v>
      </c>
      <c r="P12" s="34"/>
      <c r="Q12" s="34">
        <v>331.84728203168652</v>
      </c>
      <c r="R12" s="34">
        <v>5.7858975942348465</v>
      </c>
      <c r="S12" s="34"/>
      <c r="T12" s="34"/>
      <c r="U12" s="34"/>
      <c r="V12" s="34">
        <v>0.38831365303979642</v>
      </c>
      <c r="W12" s="34">
        <v>338.02149327896115</v>
      </c>
    </row>
    <row r="13" spans="1:23" x14ac:dyDescent="0.3">
      <c r="A13" s="34" t="s">
        <v>80</v>
      </c>
      <c r="B13">
        <v>-1</v>
      </c>
      <c r="C13">
        <v>2030</v>
      </c>
      <c r="D13" s="34" t="s">
        <v>55</v>
      </c>
      <c r="E13" s="34" t="s">
        <v>56</v>
      </c>
      <c r="F13" s="34" t="s">
        <v>57</v>
      </c>
      <c r="G13" s="34" t="s">
        <v>31</v>
      </c>
      <c r="H13" s="34" t="s">
        <v>18</v>
      </c>
      <c r="I13" s="34" t="s">
        <v>19</v>
      </c>
      <c r="J13" s="34" t="s">
        <v>32</v>
      </c>
      <c r="K13" s="34" t="s">
        <v>15</v>
      </c>
      <c r="L13">
        <v>94.759614626630523</v>
      </c>
      <c r="O13" s="4">
        <v>2020</v>
      </c>
      <c r="P13" s="34"/>
      <c r="Q13" s="34">
        <v>4.6674143351165958</v>
      </c>
      <c r="R13" s="34">
        <v>-2.7912695354093452E-15</v>
      </c>
      <c r="S13" s="34"/>
      <c r="T13" s="34"/>
      <c r="U13" s="34"/>
      <c r="V13" s="34">
        <v>-2.4060663595814181E-15</v>
      </c>
      <c r="W13" s="34">
        <v>4.6674143351165904</v>
      </c>
    </row>
    <row r="14" spans="1:23" x14ac:dyDescent="0.3">
      <c r="A14" s="34" t="s">
        <v>80</v>
      </c>
      <c r="B14">
        <v>-1</v>
      </c>
      <c r="C14">
        <v>2030</v>
      </c>
      <c r="D14" s="34" t="s">
        <v>55</v>
      </c>
      <c r="E14" s="34" t="s">
        <v>56</v>
      </c>
      <c r="F14" s="34" t="s">
        <v>57</v>
      </c>
      <c r="G14" s="34" t="s">
        <v>11</v>
      </c>
      <c r="H14" s="34" t="s">
        <v>12</v>
      </c>
      <c r="I14" s="34" t="s">
        <v>13</v>
      </c>
      <c r="J14" s="34" t="s">
        <v>14</v>
      </c>
      <c r="K14" s="34" t="s">
        <v>15</v>
      </c>
      <c r="L14">
        <v>4.6674143351165966</v>
      </c>
      <c r="O14" s="4">
        <v>2030</v>
      </c>
      <c r="P14" s="34"/>
      <c r="Q14" s="34">
        <v>39.646128899733661</v>
      </c>
      <c r="R14" s="34"/>
      <c r="S14" s="34"/>
      <c r="T14" s="34"/>
      <c r="U14" s="34"/>
      <c r="V14" s="34"/>
      <c r="W14" s="34">
        <v>39.646128899733661</v>
      </c>
    </row>
    <row r="15" spans="1:23" x14ac:dyDescent="0.3">
      <c r="A15" s="34" t="s">
        <v>80</v>
      </c>
      <c r="B15">
        <v>-1</v>
      </c>
      <c r="C15">
        <v>2030</v>
      </c>
      <c r="D15" s="34" t="s">
        <v>55</v>
      </c>
      <c r="E15" s="34" t="s">
        <v>56</v>
      </c>
      <c r="F15" s="34" t="s">
        <v>57</v>
      </c>
      <c r="G15" s="34" t="s">
        <v>59</v>
      </c>
      <c r="H15" s="34" t="s">
        <v>12</v>
      </c>
      <c r="I15" s="34" t="s">
        <v>13</v>
      </c>
      <c r="J15" s="34" t="s">
        <v>14</v>
      </c>
      <c r="K15" s="34" t="s">
        <v>15</v>
      </c>
      <c r="L15">
        <v>34.978714564617064</v>
      </c>
      <c r="O15" s="4">
        <v>2040</v>
      </c>
      <c r="P15" s="34"/>
      <c r="Q15" s="34">
        <v>117.34103343250813</v>
      </c>
      <c r="R15" s="34">
        <v>0.83679778162546081</v>
      </c>
      <c r="S15" s="34"/>
      <c r="T15" s="34"/>
      <c r="U15" s="34"/>
      <c r="V15" s="34"/>
      <c r="W15" s="34">
        <v>118.17783121413359</v>
      </c>
    </row>
    <row r="16" spans="1:23" x14ac:dyDescent="0.3">
      <c r="A16" s="34" t="s">
        <v>80</v>
      </c>
      <c r="B16">
        <v>-1</v>
      </c>
      <c r="C16">
        <v>2030</v>
      </c>
      <c r="D16" s="34" t="s">
        <v>55</v>
      </c>
      <c r="E16" s="34" t="s">
        <v>56</v>
      </c>
      <c r="F16" s="34" t="s">
        <v>69</v>
      </c>
      <c r="G16" s="34" t="s">
        <v>28</v>
      </c>
      <c r="H16" s="34" t="s">
        <v>23</v>
      </c>
      <c r="I16" s="34" t="s">
        <v>19</v>
      </c>
      <c r="J16" s="34" t="s">
        <v>24</v>
      </c>
      <c r="K16" s="34" t="s">
        <v>15</v>
      </c>
      <c r="L16">
        <v>10.066781560407874</v>
      </c>
      <c r="O16" s="4">
        <v>2050</v>
      </c>
      <c r="P16" s="34"/>
      <c r="Q16" s="34">
        <v>170.19270536432813</v>
      </c>
      <c r="R16" s="34">
        <v>4.9490998126093881</v>
      </c>
      <c r="S16" s="34"/>
      <c r="T16" s="34"/>
      <c r="U16" s="34"/>
      <c r="V16" s="34">
        <v>0.38831365303979881</v>
      </c>
      <c r="W16" s="34">
        <v>175.53011882997731</v>
      </c>
    </row>
    <row r="17" spans="1:23" x14ac:dyDescent="0.3">
      <c r="A17" s="34" t="s">
        <v>80</v>
      </c>
      <c r="B17">
        <v>-1</v>
      </c>
      <c r="C17">
        <v>2030</v>
      </c>
      <c r="D17" s="34" t="s">
        <v>55</v>
      </c>
      <c r="E17" s="34" t="s">
        <v>56</v>
      </c>
      <c r="F17" s="34" t="s">
        <v>69</v>
      </c>
      <c r="G17" s="34" t="s">
        <v>58</v>
      </c>
      <c r="H17" s="34" t="s">
        <v>21</v>
      </c>
      <c r="I17" s="34" t="s">
        <v>19</v>
      </c>
      <c r="J17" s="34" t="s">
        <v>22</v>
      </c>
      <c r="K17" s="34" t="s">
        <v>15</v>
      </c>
      <c r="L17">
        <v>24.154483950261948</v>
      </c>
      <c r="O17" s="2" t="s">
        <v>83</v>
      </c>
      <c r="P17" s="34">
        <v>33.997915828527134</v>
      </c>
      <c r="Q17" s="34">
        <v>304.55590778006842</v>
      </c>
      <c r="R17" s="34">
        <v>12.553797325401542</v>
      </c>
      <c r="S17" s="34">
        <v>379.03845850652283</v>
      </c>
      <c r="T17" s="34">
        <v>284.23061376042614</v>
      </c>
      <c r="U17" s="34">
        <v>382.08867816261659</v>
      </c>
      <c r="V17" s="34">
        <v>2.1212670852434634</v>
      </c>
      <c r="W17" s="34">
        <v>1398.5866384488061</v>
      </c>
    </row>
    <row r="18" spans="1:23" x14ac:dyDescent="0.3">
      <c r="A18" s="34" t="s">
        <v>80</v>
      </c>
      <c r="B18">
        <v>-1</v>
      </c>
      <c r="C18">
        <v>2030</v>
      </c>
      <c r="D18" s="34" t="s">
        <v>55</v>
      </c>
      <c r="E18" s="34" t="s">
        <v>56</v>
      </c>
      <c r="F18" s="34" t="s">
        <v>69</v>
      </c>
      <c r="G18" s="34" t="s">
        <v>29</v>
      </c>
      <c r="H18" s="34" t="s">
        <v>21</v>
      </c>
      <c r="I18" s="34" t="s">
        <v>19</v>
      </c>
      <c r="J18" s="34" t="s">
        <v>22</v>
      </c>
      <c r="K18" s="34" t="s">
        <v>15</v>
      </c>
      <c r="L18">
        <v>6.5845981583641251</v>
      </c>
      <c r="O18" s="3" t="s">
        <v>19</v>
      </c>
      <c r="P18" s="34">
        <v>33.997915828527134</v>
      </c>
      <c r="Q18" s="34"/>
      <c r="R18" s="34"/>
      <c r="S18" s="34">
        <v>379.03845850652283</v>
      </c>
      <c r="T18" s="34">
        <v>284.23061376042614</v>
      </c>
      <c r="U18" s="34">
        <v>382.08867816261659</v>
      </c>
      <c r="V18" s="34"/>
      <c r="W18" s="34">
        <v>1079.3556662580927</v>
      </c>
    </row>
    <row r="19" spans="1:23" x14ac:dyDescent="0.3">
      <c r="A19" s="34" t="s">
        <v>80</v>
      </c>
      <c r="B19">
        <v>-1</v>
      </c>
      <c r="C19">
        <v>2030</v>
      </c>
      <c r="D19" s="34" t="s">
        <v>55</v>
      </c>
      <c r="E19" s="34" t="s">
        <v>56</v>
      </c>
      <c r="F19" s="34" t="s">
        <v>69</v>
      </c>
      <c r="G19" s="34" t="s">
        <v>20</v>
      </c>
      <c r="H19" s="34" t="s">
        <v>21</v>
      </c>
      <c r="I19" s="34" t="s">
        <v>19</v>
      </c>
      <c r="J19" s="34" t="s">
        <v>22</v>
      </c>
      <c r="K19" s="34" t="s">
        <v>15</v>
      </c>
      <c r="L19">
        <v>14.88071984862121</v>
      </c>
      <c r="O19" s="4">
        <v>2020</v>
      </c>
      <c r="P19" s="34">
        <v>14.774699999999889</v>
      </c>
      <c r="Q19" s="34"/>
      <c r="R19" s="34"/>
      <c r="S19" s="34">
        <v>94.759614626630693</v>
      </c>
      <c r="T19" s="34">
        <v>15.101039999999987</v>
      </c>
      <c r="U19" s="34">
        <v>44.731138475276772</v>
      </c>
      <c r="V19" s="34"/>
      <c r="W19" s="34">
        <v>169.36649310190734</v>
      </c>
    </row>
    <row r="20" spans="1:23" x14ac:dyDescent="0.3">
      <c r="A20" s="34" t="s">
        <v>80</v>
      </c>
      <c r="B20">
        <v>-1</v>
      </c>
      <c r="C20">
        <v>2030</v>
      </c>
      <c r="D20" s="34" t="s">
        <v>55</v>
      </c>
      <c r="E20" s="34" t="s">
        <v>56</v>
      </c>
      <c r="F20" s="34" t="s">
        <v>69</v>
      </c>
      <c r="G20" s="34" t="s">
        <v>30</v>
      </c>
      <c r="H20" s="34" t="s">
        <v>21</v>
      </c>
      <c r="I20" s="34" t="s">
        <v>19</v>
      </c>
      <c r="J20" s="34" t="s">
        <v>22</v>
      </c>
      <c r="K20" s="34" t="s">
        <v>15</v>
      </c>
      <c r="L20">
        <v>1.0876694812290069</v>
      </c>
      <c r="O20" s="4">
        <v>2030</v>
      </c>
      <c r="P20" s="34">
        <v>10.529358599766852</v>
      </c>
      <c r="Q20" s="34"/>
      <c r="R20" s="34"/>
      <c r="S20" s="34">
        <v>94.759614626630665</v>
      </c>
      <c r="T20" s="34">
        <v>59.028882562184222</v>
      </c>
      <c r="U20" s="34">
        <v>55.214407964210345</v>
      </c>
      <c r="V20" s="34"/>
      <c r="W20" s="34">
        <v>219.53226375279209</v>
      </c>
    </row>
    <row r="21" spans="1:23" x14ac:dyDescent="0.3">
      <c r="A21" s="34" t="s">
        <v>80</v>
      </c>
      <c r="B21">
        <v>-1</v>
      </c>
      <c r="C21">
        <v>2030</v>
      </c>
      <c r="D21" s="34" t="s">
        <v>55</v>
      </c>
      <c r="E21" s="34" t="s">
        <v>56</v>
      </c>
      <c r="F21" s="34" t="s">
        <v>69</v>
      </c>
      <c r="G21" s="34" t="s">
        <v>62</v>
      </c>
      <c r="H21" s="34" t="s">
        <v>21</v>
      </c>
      <c r="I21" s="34" t="s">
        <v>19</v>
      </c>
      <c r="J21" s="34" t="s">
        <v>22</v>
      </c>
      <c r="K21" s="34" t="s">
        <v>15</v>
      </c>
      <c r="L21">
        <v>10.100508486168124</v>
      </c>
      <c r="O21" s="4">
        <v>2040</v>
      </c>
      <c r="P21" s="34">
        <v>3.5537852401351961</v>
      </c>
      <c r="Q21" s="34"/>
      <c r="R21" s="34"/>
      <c r="S21" s="34">
        <v>94.759614626630722</v>
      </c>
      <c r="T21" s="34">
        <v>86.589432905997995</v>
      </c>
      <c r="U21" s="34">
        <v>132.58395233947093</v>
      </c>
      <c r="V21" s="34"/>
      <c r="W21" s="34">
        <v>317.48678511223488</v>
      </c>
    </row>
    <row r="22" spans="1:23" x14ac:dyDescent="0.3">
      <c r="A22" s="34" t="s">
        <v>80</v>
      </c>
      <c r="B22">
        <v>-1</v>
      </c>
      <c r="C22">
        <v>2030</v>
      </c>
      <c r="D22" s="34" t="s">
        <v>55</v>
      </c>
      <c r="E22" s="34" t="s">
        <v>56</v>
      </c>
      <c r="F22" s="34" t="s">
        <v>69</v>
      </c>
      <c r="G22" s="34" t="s">
        <v>63</v>
      </c>
      <c r="H22" s="34" t="s">
        <v>23</v>
      </c>
      <c r="I22" s="34" t="s">
        <v>19</v>
      </c>
      <c r="J22" s="34" t="s">
        <v>24</v>
      </c>
      <c r="K22" s="34" t="s">
        <v>15</v>
      </c>
      <c r="L22">
        <v>49.236904675815317</v>
      </c>
      <c r="O22" s="4">
        <v>2050</v>
      </c>
      <c r="P22" s="34">
        <v>5.1400719886252002</v>
      </c>
      <c r="Q22" s="34"/>
      <c r="R22" s="34"/>
      <c r="S22" s="34">
        <v>94.759614626630793</v>
      </c>
      <c r="T22" s="34">
        <v>123.51125829224395</v>
      </c>
      <c r="U22" s="34">
        <v>149.55917938365855</v>
      </c>
      <c r="V22" s="34"/>
      <c r="W22" s="34">
        <v>372.97012429115847</v>
      </c>
    </row>
    <row r="23" spans="1:23" x14ac:dyDescent="0.3">
      <c r="A23" s="34" t="s">
        <v>80</v>
      </c>
      <c r="B23">
        <v>-1</v>
      </c>
      <c r="C23">
        <v>2040</v>
      </c>
      <c r="D23" s="34" t="s">
        <v>55</v>
      </c>
      <c r="E23" s="34" t="s">
        <v>56</v>
      </c>
      <c r="F23" s="34" t="s">
        <v>57</v>
      </c>
      <c r="G23" s="34" t="s">
        <v>44</v>
      </c>
      <c r="H23" s="34" t="s">
        <v>45</v>
      </c>
      <c r="I23" s="34" t="s">
        <v>19</v>
      </c>
      <c r="J23" s="34" t="s">
        <v>27</v>
      </c>
      <c r="K23" s="34" t="s">
        <v>15</v>
      </c>
      <c r="L23">
        <v>3.589240736607116</v>
      </c>
      <c r="O23" s="3" t="s">
        <v>13</v>
      </c>
      <c r="P23" s="34"/>
      <c r="Q23" s="34">
        <v>304.55590778006842</v>
      </c>
      <c r="R23" s="34">
        <v>12.553797325401542</v>
      </c>
      <c r="S23" s="34"/>
      <c r="T23" s="34"/>
      <c r="U23" s="34"/>
      <c r="V23" s="34">
        <v>2.1212670852434634</v>
      </c>
      <c r="W23" s="34">
        <v>319.23097219071343</v>
      </c>
    </row>
    <row r="24" spans="1:23" x14ac:dyDescent="0.3">
      <c r="A24" s="34" t="s">
        <v>80</v>
      </c>
      <c r="B24">
        <v>-1</v>
      </c>
      <c r="C24">
        <v>2040</v>
      </c>
      <c r="D24" s="34" t="s">
        <v>55</v>
      </c>
      <c r="E24" s="34" t="s">
        <v>56</v>
      </c>
      <c r="F24" s="34" t="s">
        <v>57</v>
      </c>
      <c r="G24" s="34" t="s">
        <v>31</v>
      </c>
      <c r="H24" s="34" t="s">
        <v>18</v>
      </c>
      <c r="I24" s="34" t="s">
        <v>19</v>
      </c>
      <c r="J24" s="34" t="s">
        <v>32</v>
      </c>
      <c r="K24" s="34" t="s">
        <v>15</v>
      </c>
      <c r="L24">
        <v>94.759614626630679</v>
      </c>
      <c r="O24" s="4">
        <v>2020</v>
      </c>
      <c r="P24" s="34"/>
      <c r="Q24" s="34">
        <v>4.6674143351165958</v>
      </c>
      <c r="R24" s="34">
        <v>-2.7912695354093452E-15</v>
      </c>
      <c r="S24" s="34"/>
      <c r="T24" s="34"/>
      <c r="U24" s="34"/>
      <c r="V24" s="34">
        <v>-2.4060663595814181E-15</v>
      </c>
      <c r="W24" s="34">
        <v>4.6674143351165904</v>
      </c>
    </row>
    <row r="25" spans="1:23" x14ac:dyDescent="0.3">
      <c r="A25" s="34" t="s">
        <v>80</v>
      </c>
      <c r="B25">
        <v>-1</v>
      </c>
      <c r="C25">
        <v>2040</v>
      </c>
      <c r="D25" s="34" t="s">
        <v>55</v>
      </c>
      <c r="E25" s="34" t="s">
        <v>56</v>
      </c>
      <c r="F25" s="34" t="s">
        <v>57</v>
      </c>
      <c r="G25" s="34" t="s">
        <v>11</v>
      </c>
      <c r="H25" s="34" t="s">
        <v>12</v>
      </c>
      <c r="I25" s="34" t="s">
        <v>13</v>
      </c>
      <c r="J25" s="34" t="s">
        <v>14</v>
      </c>
      <c r="K25" s="34" t="s">
        <v>15</v>
      </c>
      <c r="L25">
        <v>1.1373302332617667</v>
      </c>
      <c r="O25" s="4">
        <v>2030</v>
      </c>
      <c r="P25" s="34"/>
      <c r="Q25" s="34">
        <v>38.385795287785271</v>
      </c>
      <c r="R25" s="34">
        <v>-5.6463786027701633E-16</v>
      </c>
      <c r="S25" s="34"/>
      <c r="T25" s="34"/>
      <c r="U25" s="34"/>
      <c r="V25" s="34">
        <v>-1.3397181776651578E-15</v>
      </c>
      <c r="W25" s="34">
        <v>38.385795287785271</v>
      </c>
    </row>
    <row r="26" spans="1:23" x14ac:dyDescent="0.3">
      <c r="A26" s="34" t="s">
        <v>80</v>
      </c>
      <c r="B26">
        <v>-1</v>
      </c>
      <c r="C26">
        <v>2040</v>
      </c>
      <c r="D26" s="34" t="s">
        <v>55</v>
      </c>
      <c r="E26" s="34" t="s">
        <v>56</v>
      </c>
      <c r="F26" s="34" t="s">
        <v>57</v>
      </c>
      <c r="G26" s="34" t="s">
        <v>59</v>
      </c>
      <c r="H26" s="34" t="s">
        <v>12</v>
      </c>
      <c r="I26" s="34" t="s">
        <v>13</v>
      </c>
      <c r="J26" s="34" t="s">
        <v>14</v>
      </c>
      <c r="K26" s="34" t="s">
        <v>15</v>
      </c>
      <c r="L26">
        <v>30.639235060194913</v>
      </c>
      <c r="O26" s="4">
        <v>2040</v>
      </c>
      <c r="P26" s="34"/>
      <c r="Q26" s="34">
        <v>108.00155977226547</v>
      </c>
      <c r="R26" s="34">
        <v>1.0766948514720736</v>
      </c>
      <c r="S26" s="34"/>
      <c r="T26" s="34"/>
      <c r="U26" s="34"/>
      <c r="V26" s="34">
        <v>0.93967278330960791</v>
      </c>
      <c r="W26" s="34">
        <v>110.01792740704714</v>
      </c>
    </row>
    <row r="27" spans="1:23" x14ac:dyDescent="0.3">
      <c r="A27" s="34" t="s">
        <v>80</v>
      </c>
      <c r="B27">
        <v>-1</v>
      </c>
      <c r="C27">
        <v>2040</v>
      </c>
      <c r="D27" s="34" t="s">
        <v>55</v>
      </c>
      <c r="E27" s="34" t="s">
        <v>56</v>
      </c>
      <c r="F27" s="34" t="s">
        <v>57</v>
      </c>
      <c r="G27" s="34" t="s">
        <v>60</v>
      </c>
      <c r="H27" s="34" t="s">
        <v>12</v>
      </c>
      <c r="I27" s="34" t="s">
        <v>13</v>
      </c>
      <c r="J27" s="34" t="s">
        <v>14</v>
      </c>
      <c r="K27" s="34" t="s">
        <v>15</v>
      </c>
      <c r="L27">
        <v>85.564468139051442</v>
      </c>
      <c r="O27" s="4">
        <v>2050</v>
      </c>
      <c r="P27" s="34"/>
      <c r="Q27" s="34">
        <v>153.50113838490108</v>
      </c>
      <c r="R27" s="34">
        <v>11.477102473929472</v>
      </c>
      <c r="S27" s="34"/>
      <c r="T27" s="34"/>
      <c r="U27" s="34"/>
      <c r="V27" s="34">
        <v>1.1815943019338595</v>
      </c>
      <c r="W27" s="34">
        <v>166.15983516076443</v>
      </c>
    </row>
    <row r="28" spans="1:23" x14ac:dyDescent="0.3">
      <c r="A28" s="34" t="s">
        <v>80</v>
      </c>
      <c r="B28">
        <v>-1</v>
      </c>
      <c r="C28">
        <v>2040</v>
      </c>
      <c r="D28" s="34" t="s">
        <v>55</v>
      </c>
      <c r="E28" s="34" t="s">
        <v>56</v>
      </c>
      <c r="F28" s="34" t="s">
        <v>57</v>
      </c>
      <c r="G28" s="34" t="s">
        <v>66</v>
      </c>
      <c r="H28" s="34" t="s">
        <v>13</v>
      </c>
      <c r="I28" s="34" t="s">
        <v>13</v>
      </c>
      <c r="J28" s="34" t="s">
        <v>17</v>
      </c>
      <c r="K28" s="34" t="s">
        <v>15</v>
      </c>
      <c r="L28">
        <v>0.83679778162546081</v>
      </c>
      <c r="O28" s="2" t="s">
        <v>34</v>
      </c>
      <c r="P28" s="34">
        <v>68.038019550170134</v>
      </c>
      <c r="Q28" s="34">
        <v>636.40318981175483</v>
      </c>
      <c r="R28" s="34">
        <v>18.339694919636386</v>
      </c>
      <c r="S28" s="34">
        <v>758.07691701304554</v>
      </c>
      <c r="T28" s="34">
        <v>561.67039885809675</v>
      </c>
      <c r="U28" s="34">
        <v>810.98998313308698</v>
      </c>
      <c r="V28" s="34">
        <v>2.50958073828326</v>
      </c>
      <c r="W28" s="34">
        <v>2856.0277840240733</v>
      </c>
    </row>
    <row r="29" spans="1:23" x14ac:dyDescent="0.3">
      <c r="A29" s="34" t="s">
        <v>80</v>
      </c>
      <c r="B29">
        <v>-1</v>
      </c>
      <c r="C29">
        <v>2040</v>
      </c>
      <c r="D29" s="34" t="s">
        <v>55</v>
      </c>
      <c r="E29" s="34" t="s">
        <v>56</v>
      </c>
      <c r="F29" s="34" t="s">
        <v>69</v>
      </c>
      <c r="G29" s="34" t="s">
        <v>28</v>
      </c>
      <c r="H29" s="34" t="s">
        <v>23</v>
      </c>
      <c r="I29" s="34" t="s">
        <v>19</v>
      </c>
      <c r="J29" s="34" t="s">
        <v>24</v>
      </c>
      <c r="K29" s="34" t="s">
        <v>15</v>
      </c>
      <c r="L29">
        <v>3.7752599999999967</v>
      </c>
    </row>
    <row r="30" spans="1:23" x14ac:dyDescent="0.3">
      <c r="A30" s="34" t="s">
        <v>80</v>
      </c>
      <c r="B30">
        <v>-1</v>
      </c>
      <c r="C30">
        <v>2040</v>
      </c>
      <c r="D30" s="34" t="s">
        <v>55</v>
      </c>
      <c r="E30" s="34" t="s">
        <v>56</v>
      </c>
      <c r="F30" s="34" t="s">
        <v>69</v>
      </c>
      <c r="G30" s="34" t="s">
        <v>58</v>
      </c>
      <c r="H30" s="34" t="s">
        <v>21</v>
      </c>
      <c r="I30" s="34" t="s">
        <v>19</v>
      </c>
      <c r="J30" s="34" t="s">
        <v>22</v>
      </c>
      <c r="K30" s="34" t="s">
        <v>15</v>
      </c>
      <c r="L30">
        <v>5.8133012147605845</v>
      </c>
    </row>
    <row r="31" spans="1:23" x14ac:dyDescent="0.3">
      <c r="A31" s="34" t="s">
        <v>80</v>
      </c>
      <c r="B31">
        <v>-1</v>
      </c>
      <c r="C31">
        <v>2040</v>
      </c>
      <c r="D31" s="34" t="s">
        <v>55</v>
      </c>
      <c r="E31" s="34" t="s">
        <v>56</v>
      </c>
      <c r="F31" s="34" t="s">
        <v>69</v>
      </c>
      <c r="G31" s="34" t="s">
        <v>29</v>
      </c>
      <c r="H31" s="34" t="s">
        <v>21</v>
      </c>
      <c r="I31" s="34" t="s">
        <v>19</v>
      </c>
      <c r="J31" s="34" t="s">
        <v>22</v>
      </c>
      <c r="K31" s="34" t="s">
        <v>15</v>
      </c>
      <c r="L31">
        <v>1.6300219888830163</v>
      </c>
    </row>
    <row r="32" spans="1:23" x14ac:dyDescent="0.3">
      <c r="A32" s="34" t="s">
        <v>80</v>
      </c>
      <c r="B32">
        <v>-1</v>
      </c>
      <c r="C32">
        <v>2040</v>
      </c>
      <c r="D32" s="34" t="s">
        <v>55</v>
      </c>
      <c r="E32" s="34" t="s">
        <v>56</v>
      </c>
      <c r="F32" s="34" t="s">
        <v>69</v>
      </c>
      <c r="G32" s="34" t="s">
        <v>20</v>
      </c>
      <c r="H32" s="34" t="s">
        <v>21</v>
      </c>
      <c r="I32" s="34" t="s">
        <v>19</v>
      </c>
      <c r="J32" s="34" t="s">
        <v>22</v>
      </c>
      <c r="K32" s="34" t="s">
        <v>15</v>
      </c>
      <c r="L32">
        <v>3.6193626876402551</v>
      </c>
    </row>
    <row r="33" spans="1:12" x14ac:dyDescent="0.3">
      <c r="A33" s="34" t="s">
        <v>80</v>
      </c>
      <c r="B33">
        <v>-1</v>
      </c>
      <c r="C33">
        <v>2040</v>
      </c>
      <c r="D33" s="34" t="s">
        <v>55</v>
      </c>
      <c r="E33" s="34" t="s">
        <v>56</v>
      </c>
      <c r="F33" s="34" t="s">
        <v>69</v>
      </c>
      <c r="G33" s="34" t="s">
        <v>30</v>
      </c>
      <c r="H33" s="34" t="s">
        <v>21</v>
      </c>
      <c r="I33" s="34" t="s">
        <v>19</v>
      </c>
      <c r="J33" s="34" t="s">
        <v>22</v>
      </c>
      <c r="K33" s="34" t="s">
        <v>15</v>
      </c>
      <c r="L33">
        <v>0.26918522438503772</v>
      </c>
    </row>
    <row r="34" spans="1:12" x14ac:dyDescent="0.3">
      <c r="A34" s="34" t="s">
        <v>80</v>
      </c>
      <c r="B34">
        <v>-1</v>
      </c>
      <c r="C34">
        <v>2040</v>
      </c>
      <c r="D34" s="34" t="s">
        <v>55</v>
      </c>
      <c r="E34" s="34" t="s">
        <v>56</v>
      </c>
      <c r="F34" s="34" t="s">
        <v>69</v>
      </c>
      <c r="G34" s="34" t="s">
        <v>62</v>
      </c>
      <c r="H34" s="34" t="s">
        <v>21</v>
      </c>
      <c r="I34" s="34" t="s">
        <v>19</v>
      </c>
      <c r="J34" s="34" t="s">
        <v>22</v>
      </c>
      <c r="K34" s="34" t="s">
        <v>15</v>
      </c>
      <c r="L34">
        <v>7.3583027991922529</v>
      </c>
    </row>
    <row r="35" spans="1:12" x14ac:dyDescent="0.3">
      <c r="A35" s="34" t="s">
        <v>80</v>
      </c>
      <c r="B35">
        <v>-1</v>
      </c>
      <c r="C35">
        <v>2040</v>
      </c>
      <c r="D35" s="34" t="s">
        <v>55</v>
      </c>
      <c r="E35" s="34" t="s">
        <v>56</v>
      </c>
      <c r="F35" s="34" t="s">
        <v>69</v>
      </c>
      <c r="G35" s="34" t="s">
        <v>64</v>
      </c>
      <c r="H35" s="34" t="s">
        <v>21</v>
      </c>
      <c r="I35" s="34" t="s">
        <v>19</v>
      </c>
      <c r="J35" s="34" t="s">
        <v>22</v>
      </c>
      <c r="K35" s="34" t="s">
        <v>15</v>
      </c>
      <c r="L35">
        <v>125.89143827071246</v>
      </c>
    </row>
    <row r="36" spans="1:12" x14ac:dyDescent="0.3">
      <c r="A36" s="34" t="s">
        <v>80</v>
      </c>
      <c r="B36">
        <v>-1</v>
      </c>
      <c r="C36">
        <v>2040</v>
      </c>
      <c r="D36" s="34" t="s">
        <v>55</v>
      </c>
      <c r="E36" s="34" t="s">
        <v>56</v>
      </c>
      <c r="F36" s="34" t="s">
        <v>69</v>
      </c>
      <c r="G36" s="34" t="s">
        <v>63</v>
      </c>
      <c r="H36" s="34" t="s">
        <v>23</v>
      </c>
      <c r="I36" s="34" t="s">
        <v>19</v>
      </c>
      <c r="J36" s="34" t="s">
        <v>24</v>
      </c>
      <c r="K36" s="34" t="s">
        <v>15</v>
      </c>
      <c r="L36">
        <v>48.695451565194425</v>
      </c>
    </row>
    <row r="37" spans="1:12" x14ac:dyDescent="0.3">
      <c r="A37" s="34" t="s">
        <v>80</v>
      </c>
      <c r="B37">
        <v>-1</v>
      </c>
      <c r="C37">
        <v>2040</v>
      </c>
      <c r="D37" s="34" t="s">
        <v>55</v>
      </c>
      <c r="E37" s="34" t="s">
        <v>56</v>
      </c>
      <c r="F37" s="34" t="s">
        <v>69</v>
      </c>
      <c r="G37" s="34" t="s">
        <v>65</v>
      </c>
      <c r="H37" s="34" t="s">
        <v>23</v>
      </c>
      <c r="I37" s="34" t="s">
        <v>19</v>
      </c>
      <c r="J37" s="34" t="s">
        <v>24</v>
      </c>
      <c r="K37" s="34" t="s">
        <v>15</v>
      </c>
      <c r="L37">
        <v>35.221851683632842</v>
      </c>
    </row>
    <row r="38" spans="1:12" x14ac:dyDescent="0.3">
      <c r="A38" s="34" t="s">
        <v>80</v>
      </c>
      <c r="B38">
        <v>-1</v>
      </c>
      <c r="C38">
        <v>2050</v>
      </c>
      <c r="D38" s="34" t="s">
        <v>55</v>
      </c>
      <c r="E38" s="34" t="s">
        <v>56</v>
      </c>
      <c r="F38" s="34" t="s">
        <v>57</v>
      </c>
      <c r="G38" s="34" t="s">
        <v>31</v>
      </c>
      <c r="H38" s="34" t="s">
        <v>18</v>
      </c>
      <c r="I38" s="34" t="s">
        <v>19</v>
      </c>
      <c r="J38" s="34" t="s">
        <v>32</v>
      </c>
      <c r="K38" s="34" t="s">
        <v>15</v>
      </c>
      <c r="L38">
        <v>94.75961462663075</v>
      </c>
    </row>
    <row r="39" spans="1:12" x14ac:dyDescent="0.3">
      <c r="A39" s="34" t="s">
        <v>80</v>
      </c>
      <c r="B39">
        <v>-1</v>
      </c>
      <c r="C39">
        <v>2050</v>
      </c>
      <c r="D39" s="34" t="s">
        <v>55</v>
      </c>
      <c r="E39" s="34" t="s">
        <v>56</v>
      </c>
      <c r="F39" s="34" t="s">
        <v>57</v>
      </c>
      <c r="G39" s="34" t="s">
        <v>25</v>
      </c>
      <c r="H39" s="34" t="s">
        <v>26</v>
      </c>
      <c r="I39" s="34" t="s">
        <v>19</v>
      </c>
      <c r="J39" s="34" t="s">
        <v>27</v>
      </c>
      <c r="K39" s="34" t="s">
        <v>15</v>
      </c>
      <c r="L39">
        <v>5.1400719886252002</v>
      </c>
    </row>
    <row r="40" spans="1:12" x14ac:dyDescent="0.3">
      <c r="A40" s="34" t="s">
        <v>80</v>
      </c>
      <c r="B40">
        <v>-1</v>
      </c>
      <c r="C40">
        <v>2050</v>
      </c>
      <c r="D40" s="34" t="s">
        <v>55</v>
      </c>
      <c r="E40" s="34" t="s">
        <v>56</v>
      </c>
      <c r="F40" s="34" t="s">
        <v>57</v>
      </c>
      <c r="G40" s="34" t="s">
        <v>59</v>
      </c>
      <c r="H40" s="34" t="s">
        <v>12</v>
      </c>
      <c r="I40" s="34" t="s">
        <v>13</v>
      </c>
      <c r="J40" s="34" t="s">
        <v>14</v>
      </c>
      <c r="K40" s="34" t="s">
        <v>15</v>
      </c>
      <c r="L40">
        <v>7.9258914250411445</v>
      </c>
    </row>
    <row r="41" spans="1:12" x14ac:dyDescent="0.3">
      <c r="A41" s="34" t="s">
        <v>80</v>
      </c>
      <c r="B41">
        <v>-1</v>
      </c>
      <c r="C41">
        <v>2050</v>
      </c>
      <c r="D41" s="34" t="s">
        <v>55</v>
      </c>
      <c r="E41" s="34" t="s">
        <v>56</v>
      </c>
      <c r="F41" s="34" t="s">
        <v>57</v>
      </c>
      <c r="G41" s="34" t="s">
        <v>60</v>
      </c>
      <c r="H41" s="34" t="s">
        <v>12</v>
      </c>
      <c r="I41" s="34" t="s">
        <v>13</v>
      </c>
      <c r="J41" s="34" t="s">
        <v>14</v>
      </c>
      <c r="K41" s="34" t="s">
        <v>15</v>
      </c>
      <c r="L41">
        <v>77.921691758242019</v>
      </c>
    </row>
    <row r="42" spans="1:12" x14ac:dyDescent="0.3">
      <c r="A42" s="34" t="s">
        <v>80</v>
      </c>
      <c r="B42">
        <v>-1</v>
      </c>
      <c r="C42">
        <v>2050</v>
      </c>
      <c r="D42" s="34" t="s">
        <v>55</v>
      </c>
      <c r="E42" s="34" t="s">
        <v>56</v>
      </c>
      <c r="F42" s="34" t="s">
        <v>57</v>
      </c>
      <c r="G42" s="34" t="s">
        <v>16</v>
      </c>
      <c r="H42" s="34" t="s">
        <v>12</v>
      </c>
      <c r="I42" s="34" t="s">
        <v>13</v>
      </c>
      <c r="J42" s="34" t="s">
        <v>14</v>
      </c>
      <c r="K42" s="34" t="s">
        <v>15</v>
      </c>
      <c r="L42">
        <v>84.345122181044971</v>
      </c>
    </row>
    <row r="43" spans="1:12" x14ac:dyDescent="0.3">
      <c r="A43" s="34" t="s">
        <v>80</v>
      </c>
      <c r="B43">
        <v>-1</v>
      </c>
      <c r="C43">
        <v>2050</v>
      </c>
      <c r="D43" s="34" t="s">
        <v>55</v>
      </c>
      <c r="E43" s="34" t="s">
        <v>56</v>
      </c>
      <c r="F43" s="34" t="s">
        <v>57</v>
      </c>
      <c r="G43" s="34" t="s">
        <v>66</v>
      </c>
      <c r="H43" s="34" t="s">
        <v>13</v>
      </c>
      <c r="I43" s="34" t="s">
        <v>13</v>
      </c>
      <c r="J43" s="34" t="s">
        <v>17</v>
      </c>
      <c r="K43" s="34" t="s">
        <v>15</v>
      </c>
      <c r="L43">
        <v>0.98189354528629802</v>
      </c>
    </row>
    <row r="44" spans="1:12" x14ac:dyDescent="0.3">
      <c r="A44" s="34" t="s">
        <v>80</v>
      </c>
      <c r="B44">
        <v>-1</v>
      </c>
      <c r="C44">
        <v>2050</v>
      </c>
      <c r="D44" s="34" t="s">
        <v>55</v>
      </c>
      <c r="E44" s="34" t="s">
        <v>56</v>
      </c>
      <c r="F44" s="34" t="s">
        <v>57</v>
      </c>
      <c r="G44" s="34" t="s">
        <v>61</v>
      </c>
      <c r="H44" s="34" t="s">
        <v>13</v>
      </c>
      <c r="I44" s="34" t="s">
        <v>13</v>
      </c>
      <c r="J44" s="34" t="s">
        <v>17</v>
      </c>
      <c r="K44" s="34" t="s">
        <v>15</v>
      </c>
      <c r="L44">
        <v>3.9672062673230903</v>
      </c>
    </row>
    <row r="45" spans="1:12" x14ac:dyDescent="0.3">
      <c r="A45" s="34" t="s">
        <v>80</v>
      </c>
      <c r="B45">
        <v>-1</v>
      </c>
      <c r="C45">
        <v>2050</v>
      </c>
      <c r="D45" s="34" t="s">
        <v>55</v>
      </c>
      <c r="E45" s="34" t="s">
        <v>56</v>
      </c>
      <c r="F45" s="34" t="s">
        <v>57</v>
      </c>
      <c r="G45" s="34" t="s">
        <v>41</v>
      </c>
      <c r="H45" s="34" t="s">
        <v>40</v>
      </c>
      <c r="I45" s="34" t="s">
        <v>13</v>
      </c>
      <c r="J45" s="34" t="s">
        <v>42</v>
      </c>
      <c r="K45" s="34" t="s">
        <v>15</v>
      </c>
      <c r="L45">
        <v>0.38831365303979881</v>
      </c>
    </row>
    <row r="46" spans="1:12" x14ac:dyDescent="0.3">
      <c r="A46" s="34" t="s">
        <v>80</v>
      </c>
      <c r="B46">
        <v>-1</v>
      </c>
      <c r="C46">
        <v>2050</v>
      </c>
      <c r="D46" s="34" t="s">
        <v>55</v>
      </c>
      <c r="E46" s="34" t="s">
        <v>56</v>
      </c>
      <c r="F46" s="34" t="s">
        <v>69</v>
      </c>
      <c r="G46" s="34" t="s">
        <v>28</v>
      </c>
      <c r="H46" s="34" t="s">
        <v>23</v>
      </c>
      <c r="I46" s="34" t="s">
        <v>19</v>
      </c>
      <c r="J46" s="34" t="s">
        <v>24</v>
      </c>
      <c r="K46" s="34" t="s">
        <v>15</v>
      </c>
      <c r="L46">
        <v>-9.1438729603916247E-16</v>
      </c>
    </row>
    <row r="47" spans="1:12" x14ac:dyDescent="0.3">
      <c r="A47" s="34" t="s">
        <v>80</v>
      </c>
      <c r="B47">
        <v>-1</v>
      </c>
      <c r="C47">
        <v>2050</v>
      </c>
      <c r="D47" s="34" t="s">
        <v>55</v>
      </c>
      <c r="E47" s="34" t="s">
        <v>56</v>
      </c>
      <c r="F47" s="34" t="s">
        <v>69</v>
      </c>
      <c r="G47" s="34" t="s">
        <v>58</v>
      </c>
      <c r="H47" s="34" t="s">
        <v>21</v>
      </c>
      <c r="I47" s="34" t="s">
        <v>19</v>
      </c>
      <c r="J47" s="34" t="s">
        <v>22</v>
      </c>
      <c r="K47" s="34" t="s">
        <v>15</v>
      </c>
      <c r="L47">
        <v>-8.8178353507828464E-16</v>
      </c>
    </row>
    <row r="48" spans="1:12" x14ac:dyDescent="0.3">
      <c r="A48" s="34" t="s">
        <v>80</v>
      </c>
      <c r="B48">
        <v>-1</v>
      </c>
      <c r="C48">
        <v>2050</v>
      </c>
      <c r="D48" s="34" t="s">
        <v>55</v>
      </c>
      <c r="E48" s="34" t="s">
        <v>56</v>
      </c>
      <c r="F48" s="34" t="s">
        <v>69</v>
      </c>
      <c r="G48" s="34" t="s">
        <v>29</v>
      </c>
      <c r="H48" s="34" t="s">
        <v>21</v>
      </c>
      <c r="I48" s="34" t="s">
        <v>19</v>
      </c>
      <c r="J48" s="34" t="s">
        <v>22</v>
      </c>
      <c r="K48" s="34" t="s">
        <v>15</v>
      </c>
      <c r="L48">
        <v>-3.1418169653209434E-16</v>
      </c>
    </row>
    <row r="49" spans="1:12" x14ac:dyDescent="0.3">
      <c r="A49" s="34" t="s">
        <v>80</v>
      </c>
      <c r="B49">
        <v>-1</v>
      </c>
      <c r="C49">
        <v>2050</v>
      </c>
      <c r="D49" s="34" t="s">
        <v>55</v>
      </c>
      <c r="E49" s="34" t="s">
        <v>56</v>
      </c>
      <c r="F49" s="34" t="s">
        <v>69</v>
      </c>
      <c r="G49" s="34" t="s">
        <v>20</v>
      </c>
      <c r="H49" s="34" t="s">
        <v>21</v>
      </c>
      <c r="I49" s="34" t="s">
        <v>19</v>
      </c>
      <c r="J49" s="34" t="s">
        <v>22</v>
      </c>
      <c r="K49" s="34" t="s">
        <v>15</v>
      </c>
      <c r="L49">
        <v>-6.802330127746764E-16</v>
      </c>
    </row>
    <row r="50" spans="1:12" x14ac:dyDescent="0.3">
      <c r="A50" s="34" t="s">
        <v>80</v>
      </c>
      <c r="B50">
        <v>-1</v>
      </c>
      <c r="C50">
        <v>2050</v>
      </c>
      <c r="D50" s="34" t="s">
        <v>55</v>
      </c>
      <c r="E50" s="34" t="s">
        <v>56</v>
      </c>
      <c r="F50" s="34" t="s">
        <v>69</v>
      </c>
      <c r="G50" s="34" t="s">
        <v>62</v>
      </c>
      <c r="H50" s="34" t="s">
        <v>21</v>
      </c>
      <c r="I50" s="34" t="s">
        <v>19</v>
      </c>
      <c r="J50" s="34" t="s">
        <v>22</v>
      </c>
      <c r="K50" s="34" t="s">
        <v>15</v>
      </c>
      <c r="L50">
        <v>5.6009991244678732</v>
      </c>
    </row>
    <row r="51" spans="1:12" x14ac:dyDescent="0.3">
      <c r="A51" s="34" t="s">
        <v>80</v>
      </c>
      <c r="B51">
        <v>-1</v>
      </c>
      <c r="C51">
        <v>2050</v>
      </c>
      <c r="D51" s="34" t="s">
        <v>55</v>
      </c>
      <c r="E51" s="34" t="s">
        <v>56</v>
      </c>
      <c r="F51" s="34" t="s">
        <v>69</v>
      </c>
      <c r="G51" s="34" t="s">
        <v>64</v>
      </c>
      <c r="H51" s="34" t="s">
        <v>21</v>
      </c>
      <c r="I51" s="34" t="s">
        <v>19</v>
      </c>
      <c r="J51" s="34" t="s">
        <v>22</v>
      </c>
      <c r="K51" s="34" t="s">
        <v>15</v>
      </c>
      <c r="L51">
        <v>110.24485612039135</v>
      </c>
    </row>
    <row r="52" spans="1:12" x14ac:dyDescent="0.3">
      <c r="A52" s="34" t="s">
        <v>80</v>
      </c>
      <c r="B52">
        <v>-1</v>
      </c>
      <c r="C52">
        <v>2050</v>
      </c>
      <c r="D52" s="34" t="s">
        <v>55</v>
      </c>
      <c r="E52" s="34" t="s">
        <v>56</v>
      </c>
      <c r="F52" s="34" t="s">
        <v>69</v>
      </c>
      <c r="G52" s="34" t="s">
        <v>68</v>
      </c>
      <c r="H52" s="34" t="s">
        <v>21</v>
      </c>
      <c r="I52" s="34" t="s">
        <v>19</v>
      </c>
      <c r="J52" s="34" t="s">
        <v>22</v>
      </c>
      <c r="K52" s="34" t="s">
        <v>15</v>
      </c>
      <c r="L52">
        <v>66.934719140116528</v>
      </c>
    </row>
    <row r="53" spans="1:12" x14ac:dyDescent="0.3">
      <c r="A53" s="34" t="s">
        <v>80</v>
      </c>
      <c r="B53">
        <v>-1</v>
      </c>
      <c r="C53">
        <v>2050</v>
      </c>
      <c r="D53" s="34" t="s">
        <v>55</v>
      </c>
      <c r="E53" s="34" t="s">
        <v>56</v>
      </c>
      <c r="F53" s="34" t="s">
        <v>69</v>
      </c>
      <c r="G53" s="34" t="s">
        <v>63</v>
      </c>
      <c r="H53" s="34" t="s">
        <v>23</v>
      </c>
      <c r="I53" s="34" t="s">
        <v>19</v>
      </c>
      <c r="J53" s="34" t="s">
        <v>24</v>
      </c>
      <c r="K53" s="34" t="s">
        <v>15</v>
      </c>
      <c r="L53">
        <v>48.844141804581533</v>
      </c>
    </row>
    <row r="54" spans="1:12" x14ac:dyDescent="0.3">
      <c r="A54" s="34" t="s">
        <v>80</v>
      </c>
      <c r="B54">
        <v>-1</v>
      </c>
      <c r="C54">
        <v>2050</v>
      </c>
      <c r="D54" s="34" t="s">
        <v>55</v>
      </c>
      <c r="E54" s="34" t="s">
        <v>56</v>
      </c>
      <c r="F54" s="34" t="s">
        <v>69</v>
      </c>
      <c r="G54" s="34" t="s">
        <v>65</v>
      </c>
      <c r="H54" s="34" t="s">
        <v>23</v>
      </c>
      <c r="I54" s="34" t="s">
        <v>19</v>
      </c>
      <c r="J54" s="34" t="s">
        <v>24</v>
      </c>
      <c r="K54" s="34" t="s">
        <v>15</v>
      </c>
      <c r="L54">
        <v>35.003274155229811</v>
      </c>
    </row>
    <row r="55" spans="1:12" x14ac:dyDescent="0.3">
      <c r="A55" s="34" t="s">
        <v>80</v>
      </c>
      <c r="B55">
        <v>-1</v>
      </c>
      <c r="C55">
        <v>2050</v>
      </c>
      <c r="D55" s="34" t="s">
        <v>55</v>
      </c>
      <c r="E55" s="34" t="s">
        <v>56</v>
      </c>
      <c r="F55" s="34" t="s">
        <v>69</v>
      </c>
      <c r="G55" s="34" t="s">
        <v>67</v>
      </c>
      <c r="H55" s="34" t="s">
        <v>23</v>
      </c>
      <c r="I55" s="34" t="s">
        <v>19</v>
      </c>
      <c r="J55" s="34" t="s">
        <v>24</v>
      </c>
      <c r="K55" s="34" t="s">
        <v>15</v>
      </c>
      <c r="L55">
        <v>31.495079652808787</v>
      </c>
    </row>
    <row r="56" spans="1:12" x14ac:dyDescent="0.3">
      <c r="A56" s="34" t="s">
        <v>83</v>
      </c>
      <c r="B56">
        <v>-1</v>
      </c>
      <c r="C56">
        <v>2020</v>
      </c>
      <c r="D56" s="34" t="s">
        <v>55</v>
      </c>
      <c r="E56" s="34" t="s">
        <v>56</v>
      </c>
      <c r="F56" s="34" t="s">
        <v>57</v>
      </c>
      <c r="G56" s="34" t="s">
        <v>44</v>
      </c>
      <c r="H56" s="34" t="s">
        <v>45</v>
      </c>
      <c r="I56" s="34" t="s">
        <v>19</v>
      </c>
      <c r="J56" s="34" t="s">
        <v>27</v>
      </c>
      <c r="K56" s="34" t="s">
        <v>15</v>
      </c>
      <c r="L56">
        <v>14.774699999999889</v>
      </c>
    </row>
    <row r="57" spans="1:12" x14ac:dyDescent="0.3">
      <c r="A57" s="34" t="s">
        <v>83</v>
      </c>
      <c r="B57">
        <v>-1</v>
      </c>
      <c r="C57">
        <v>2020</v>
      </c>
      <c r="D57" s="34" t="s">
        <v>55</v>
      </c>
      <c r="E57" s="34" t="s">
        <v>56</v>
      </c>
      <c r="F57" s="34" t="s">
        <v>57</v>
      </c>
      <c r="G57" s="34" t="s">
        <v>31</v>
      </c>
      <c r="H57" s="34" t="s">
        <v>18</v>
      </c>
      <c r="I57" s="34" t="s">
        <v>19</v>
      </c>
      <c r="J57" s="34" t="s">
        <v>32</v>
      </c>
      <c r="K57" s="34" t="s">
        <v>15</v>
      </c>
      <c r="L57">
        <v>94.759614626630693</v>
      </c>
    </row>
    <row r="58" spans="1:12" x14ac:dyDescent="0.3">
      <c r="A58" s="34" t="s">
        <v>83</v>
      </c>
      <c r="B58">
        <v>-1</v>
      </c>
      <c r="C58">
        <v>2020</v>
      </c>
      <c r="D58" s="34" t="s">
        <v>55</v>
      </c>
      <c r="E58" s="34" t="s">
        <v>56</v>
      </c>
      <c r="F58" s="34" t="s">
        <v>57</v>
      </c>
      <c r="G58" s="34" t="s">
        <v>11</v>
      </c>
      <c r="H58" s="34" t="s">
        <v>12</v>
      </c>
      <c r="I58" s="34" t="s">
        <v>13</v>
      </c>
      <c r="J58" s="34" t="s">
        <v>14</v>
      </c>
      <c r="K58" s="34" t="s">
        <v>15</v>
      </c>
      <c r="L58">
        <v>4.6674143351165958</v>
      </c>
    </row>
    <row r="59" spans="1:12" x14ac:dyDescent="0.3">
      <c r="A59" s="34" t="s">
        <v>83</v>
      </c>
      <c r="B59">
        <v>-1</v>
      </c>
      <c r="C59">
        <v>2020</v>
      </c>
      <c r="D59" s="34" t="s">
        <v>55</v>
      </c>
      <c r="E59" s="34" t="s">
        <v>56</v>
      </c>
      <c r="F59" s="34" t="s">
        <v>57</v>
      </c>
      <c r="G59" s="34" t="s">
        <v>70</v>
      </c>
      <c r="H59" s="34" t="s">
        <v>13</v>
      </c>
      <c r="I59" s="34" t="s">
        <v>13</v>
      </c>
      <c r="J59" s="34" t="s">
        <v>17</v>
      </c>
      <c r="K59" s="34" t="s">
        <v>15</v>
      </c>
      <c r="L59">
        <v>-2.7912695354093452E-15</v>
      </c>
    </row>
    <row r="60" spans="1:12" x14ac:dyDescent="0.3">
      <c r="A60" s="34" t="s">
        <v>83</v>
      </c>
      <c r="B60">
        <v>-1</v>
      </c>
      <c r="C60">
        <v>2020</v>
      </c>
      <c r="D60" s="34" t="s">
        <v>55</v>
      </c>
      <c r="E60" s="34" t="s">
        <v>56</v>
      </c>
      <c r="F60" s="34" t="s">
        <v>57</v>
      </c>
      <c r="G60" s="34" t="s">
        <v>41</v>
      </c>
      <c r="H60" s="34" t="s">
        <v>40</v>
      </c>
      <c r="I60" s="34" t="s">
        <v>13</v>
      </c>
      <c r="J60" s="34" t="s">
        <v>42</v>
      </c>
      <c r="K60" s="34" t="s">
        <v>15</v>
      </c>
      <c r="L60">
        <v>-2.4060663595814181E-15</v>
      </c>
    </row>
    <row r="61" spans="1:12" x14ac:dyDescent="0.3">
      <c r="A61" s="34" t="s">
        <v>83</v>
      </c>
      <c r="B61">
        <v>-1</v>
      </c>
      <c r="C61">
        <v>2020</v>
      </c>
      <c r="D61" s="34" t="s">
        <v>55</v>
      </c>
      <c r="E61" s="34" t="s">
        <v>56</v>
      </c>
      <c r="F61" s="34" t="s">
        <v>69</v>
      </c>
      <c r="G61" s="34" t="s">
        <v>28</v>
      </c>
      <c r="H61" s="34" t="s">
        <v>23</v>
      </c>
      <c r="I61" s="34" t="s">
        <v>19</v>
      </c>
      <c r="J61" s="34" t="s">
        <v>24</v>
      </c>
      <c r="K61" s="34" t="s">
        <v>15</v>
      </c>
      <c r="L61">
        <v>15.101039999999987</v>
      </c>
    </row>
    <row r="62" spans="1:12" x14ac:dyDescent="0.3">
      <c r="A62" s="34" t="s">
        <v>83</v>
      </c>
      <c r="B62">
        <v>-1</v>
      </c>
      <c r="C62">
        <v>2020</v>
      </c>
      <c r="D62" s="34" t="s">
        <v>55</v>
      </c>
      <c r="E62" s="34" t="s">
        <v>56</v>
      </c>
      <c r="F62" s="34" t="s">
        <v>69</v>
      </c>
      <c r="G62" s="34" t="s">
        <v>58</v>
      </c>
      <c r="H62" s="34" t="s">
        <v>21</v>
      </c>
      <c r="I62" s="34" t="s">
        <v>19</v>
      </c>
      <c r="J62" s="34" t="s">
        <v>22</v>
      </c>
      <c r="K62" s="34" t="s">
        <v>15</v>
      </c>
      <c r="L62">
        <v>32.367556475276764</v>
      </c>
    </row>
    <row r="63" spans="1:12" x14ac:dyDescent="0.3">
      <c r="A63" s="34" t="s">
        <v>83</v>
      </c>
      <c r="B63">
        <v>-1</v>
      </c>
      <c r="C63">
        <v>2020</v>
      </c>
      <c r="D63" s="34" t="s">
        <v>55</v>
      </c>
      <c r="E63" s="34" t="s">
        <v>56</v>
      </c>
      <c r="F63" s="34" t="s">
        <v>69</v>
      </c>
      <c r="G63" s="34" t="s">
        <v>29</v>
      </c>
      <c r="H63" s="34" t="s">
        <v>21</v>
      </c>
      <c r="I63" s="34" t="s">
        <v>19</v>
      </c>
      <c r="J63" s="34" t="s">
        <v>22</v>
      </c>
      <c r="K63" s="34" t="s">
        <v>15</v>
      </c>
      <c r="L63">
        <v>10.59735600000001</v>
      </c>
    </row>
    <row r="64" spans="1:12" x14ac:dyDescent="0.3">
      <c r="A64" s="34" t="s">
        <v>83</v>
      </c>
      <c r="B64">
        <v>-1</v>
      </c>
      <c r="C64">
        <v>2020</v>
      </c>
      <c r="D64" s="34" t="s">
        <v>55</v>
      </c>
      <c r="E64" s="34" t="s">
        <v>56</v>
      </c>
      <c r="F64" s="34" t="s">
        <v>69</v>
      </c>
      <c r="G64" s="34" t="s">
        <v>20</v>
      </c>
      <c r="H64" s="34" t="s">
        <v>21</v>
      </c>
      <c r="I64" s="34" t="s">
        <v>19</v>
      </c>
      <c r="J64" s="34" t="s">
        <v>22</v>
      </c>
      <c r="K64" s="34" t="s">
        <v>15</v>
      </c>
      <c r="L64">
        <v>-1.1603974923803291E-15</v>
      </c>
    </row>
    <row r="65" spans="1:12" x14ac:dyDescent="0.3">
      <c r="A65" s="34" t="s">
        <v>83</v>
      </c>
      <c r="B65">
        <v>-1</v>
      </c>
      <c r="C65">
        <v>2020</v>
      </c>
      <c r="D65" s="34" t="s">
        <v>55</v>
      </c>
      <c r="E65" s="34" t="s">
        <v>56</v>
      </c>
      <c r="F65" s="34" t="s">
        <v>69</v>
      </c>
      <c r="G65" s="34" t="s">
        <v>30</v>
      </c>
      <c r="H65" s="34" t="s">
        <v>21</v>
      </c>
      <c r="I65" s="34" t="s">
        <v>19</v>
      </c>
      <c r="J65" s="34" t="s">
        <v>22</v>
      </c>
      <c r="K65" s="34" t="s">
        <v>15</v>
      </c>
      <c r="L65">
        <v>1.7662259999999994</v>
      </c>
    </row>
    <row r="66" spans="1:12" x14ac:dyDescent="0.3">
      <c r="A66" s="34" t="s">
        <v>83</v>
      </c>
      <c r="B66">
        <v>-1</v>
      </c>
      <c r="C66">
        <v>2030</v>
      </c>
      <c r="D66" s="34" t="s">
        <v>55</v>
      </c>
      <c r="E66" s="34" t="s">
        <v>56</v>
      </c>
      <c r="F66" s="34" t="s">
        <v>57</v>
      </c>
      <c r="G66" s="34" t="s">
        <v>44</v>
      </c>
      <c r="H66" s="34" t="s">
        <v>45</v>
      </c>
      <c r="I66" s="34" t="s">
        <v>19</v>
      </c>
      <c r="J66" s="34" t="s">
        <v>27</v>
      </c>
      <c r="K66" s="34" t="s">
        <v>15</v>
      </c>
      <c r="L66">
        <v>10.529358599766852</v>
      </c>
    </row>
    <row r="67" spans="1:12" x14ac:dyDescent="0.3">
      <c r="A67" s="34" t="s">
        <v>83</v>
      </c>
      <c r="B67">
        <v>-1</v>
      </c>
      <c r="C67">
        <v>2030</v>
      </c>
      <c r="D67" s="34" t="s">
        <v>55</v>
      </c>
      <c r="E67" s="34" t="s">
        <v>56</v>
      </c>
      <c r="F67" s="34" t="s">
        <v>57</v>
      </c>
      <c r="G67" s="34" t="s">
        <v>31</v>
      </c>
      <c r="H67" s="34" t="s">
        <v>18</v>
      </c>
      <c r="I67" s="34" t="s">
        <v>19</v>
      </c>
      <c r="J67" s="34" t="s">
        <v>32</v>
      </c>
      <c r="K67" s="34" t="s">
        <v>15</v>
      </c>
      <c r="L67">
        <v>94.759614626630665</v>
      </c>
    </row>
    <row r="68" spans="1:12" x14ac:dyDescent="0.3">
      <c r="A68" s="34" t="s">
        <v>83</v>
      </c>
      <c r="B68">
        <v>-1</v>
      </c>
      <c r="C68">
        <v>2030</v>
      </c>
      <c r="D68" s="34" t="s">
        <v>55</v>
      </c>
      <c r="E68" s="34" t="s">
        <v>56</v>
      </c>
      <c r="F68" s="34" t="s">
        <v>57</v>
      </c>
      <c r="G68" s="34" t="s">
        <v>11</v>
      </c>
      <c r="H68" s="34" t="s">
        <v>12</v>
      </c>
      <c r="I68" s="34" t="s">
        <v>13</v>
      </c>
      <c r="J68" s="34" t="s">
        <v>14</v>
      </c>
      <c r="K68" s="34" t="s">
        <v>15</v>
      </c>
      <c r="L68">
        <v>4.6674143351165966</v>
      </c>
    </row>
    <row r="69" spans="1:12" x14ac:dyDescent="0.3">
      <c r="A69" s="34" t="s">
        <v>83</v>
      </c>
      <c r="B69">
        <v>-1</v>
      </c>
      <c r="C69">
        <v>2030</v>
      </c>
      <c r="D69" s="34" t="s">
        <v>55</v>
      </c>
      <c r="E69" s="34" t="s">
        <v>56</v>
      </c>
      <c r="F69" s="34" t="s">
        <v>57</v>
      </c>
      <c r="G69" s="34" t="s">
        <v>59</v>
      </c>
      <c r="H69" s="34" t="s">
        <v>12</v>
      </c>
      <c r="I69" s="34" t="s">
        <v>13</v>
      </c>
      <c r="J69" s="34" t="s">
        <v>14</v>
      </c>
      <c r="K69" s="34" t="s">
        <v>15</v>
      </c>
      <c r="L69">
        <v>33.718380952668674</v>
      </c>
    </row>
    <row r="70" spans="1:12" x14ac:dyDescent="0.3">
      <c r="A70" s="34" t="s">
        <v>83</v>
      </c>
      <c r="B70">
        <v>-1</v>
      </c>
      <c r="C70">
        <v>2030</v>
      </c>
      <c r="D70" s="34" t="s">
        <v>55</v>
      </c>
      <c r="E70" s="34" t="s">
        <v>56</v>
      </c>
      <c r="F70" s="34" t="s">
        <v>57</v>
      </c>
      <c r="G70" s="34" t="s">
        <v>183</v>
      </c>
      <c r="H70" s="34" t="s">
        <v>13</v>
      </c>
      <c r="I70" s="34" t="s">
        <v>13</v>
      </c>
      <c r="J70" s="34" t="s">
        <v>17</v>
      </c>
      <c r="K70" s="34" t="s">
        <v>15</v>
      </c>
      <c r="L70">
        <v>-5.6463786027701633E-16</v>
      </c>
    </row>
    <row r="71" spans="1:12" x14ac:dyDescent="0.3">
      <c r="A71" s="34" t="s">
        <v>83</v>
      </c>
      <c r="B71">
        <v>-1</v>
      </c>
      <c r="C71">
        <v>2030</v>
      </c>
      <c r="D71" s="34" t="s">
        <v>55</v>
      </c>
      <c r="E71" s="34" t="s">
        <v>56</v>
      </c>
      <c r="F71" s="34" t="s">
        <v>57</v>
      </c>
      <c r="G71" s="34" t="s">
        <v>41</v>
      </c>
      <c r="H71" s="34" t="s">
        <v>40</v>
      </c>
      <c r="I71" s="34" t="s">
        <v>13</v>
      </c>
      <c r="J71" s="34" t="s">
        <v>42</v>
      </c>
      <c r="K71" s="34" t="s">
        <v>15</v>
      </c>
      <c r="L71">
        <v>-1.3397181776651578E-15</v>
      </c>
    </row>
    <row r="72" spans="1:12" x14ac:dyDescent="0.3">
      <c r="A72" s="34" t="s">
        <v>83</v>
      </c>
      <c r="B72">
        <v>-1</v>
      </c>
      <c r="C72">
        <v>2030</v>
      </c>
      <c r="D72" s="34" t="s">
        <v>55</v>
      </c>
      <c r="E72" s="34" t="s">
        <v>56</v>
      </c>
      <c r="F72" s="34" t="s">
        <v>69</v>
      </c>
      <c r="G72" s="34" t="s">
        <v>28</v>
      </c>
      <c r="H72" s="34" t="s">
        <v>23</v>
      </c>
      <c r="I72" s="34" t="s">
        <v>19</v>
      </c>
      <c r="J72" s="34" t="s">
        <v>24</v>
      </c>
      <c r="K72" s="34" t="s">
        <v>15</v>
      </c>
      <c r="L72">
        <v>10.024034083113445</v>
      </c>
    </row>
    <row r="73" spans="1:12" x14ac:dyDescent="0.3">
      <c r="A73" s="34" t="s">
        <v>83</v>
      </c>
      <c r="B73">
        <v>-1</v>
      </c>
      <c r="C73">
        <v>2030</v>
      </c>
      <c r="D73" s="34" t="s">
        <v>55</v>
      </c>
      <c r="E73" s="34" t="s">
        <v>56</v>
      </c>
      <c r="F73" s="34" t="s">
        <v>69</v>
      </c>
      <c r="G73" s="34" t="s">
        <v>58</v>
      </c>
      <c r="H73" s="34" t="s">
        <v>21</v>
      </c>
      <c r="I73" s="34" t="s">
        <v>19</v>
      </c>
      <c r="J73" s="34" t="s">
        <v>22</v>
      </c>
      <c r="K73" s="34" t="s">
        <v>15</v>
      </c>
      <c r="L73">
        <v>24.197961553926376</v>
      </c>
    </row>
    <row r="74" spans="1:12" x14ac:dyDescent="0.3">
      <c r="A74" s="34" t="s">
        <v>83</v>
      </c>
      <c r="B74">
        <v>-1</v>
      </c>
      <c r="C74">
        <v>2030</v>
      </c>
      <c r="D74" s="34" t="s">
        <v>55</v>
      </c>
      <c r="E74" s="34" t="s">
        <v>56</v>
      </c>
      <c r="F74" s="34" t="s">
        <v>69</v>
      </c>
      <c r="G74" s="34" t="s">
        <v>29</v>
      </c>
      <c r="H74" s="34" t="s">
        <v>21</v>
      </c>
      <c r="I74" s="34" t="s">
        <v>19</v>
      </c>
      <c r="J74" s="34" t="s">
        <v>22</v>
      </c>
      <c r="K74" s="34" t="s">
        <v>15</v>
      </c>
      <c r="L74">
        <v>6.6115050710732817</v>
      </c>
    </row>
    <row r="75" spans="1:12" x14ac:dyDescent="0.3">
      <c r="A75" s="34" t="s">
        <v>83</v>
      </c>
      <c r="B75">
        <v>-1</v>
      </c>
      <c r="C75">
        <v>2030</v>
      </c>
      <c r="D75" s="34" t="s">
        <v>55</v>
      </c>
      <c r="E75" s="34" t="s">
        <v>56</v>
      </c>
      <c r="F75" s="34" t="s">
        <v>69</v>
      </c>
      <c r="G75" s="34" t="s">
        <v>20</v>
      </c>
      <c r="H75" s="34" t="s">
        <v>21</v>
      </c>
      <c r="I75" s="34" t="s">
        <v>19</v>
      </c>
      <c r="J75" s="34" t="s">
        <v>22</v>
      </c>
      <c r="K75" s="34" t="s">
        <v>15</v>
      </c>
      <c r="L75">
        <v>14.921991153665672</v>
      </c>
    </row>
    <row r="76" spans="1:12" x14ac:dyDescent="0.3">
      <c r="A76" s="34" t="s">
        <v>83</v>
      </c>
      <c r="B76">
        <v>-1</v>
      </c>
      <c r="C76">
        <v>2030</v>
      </c>
      <c r="D76" s="34" t="s">
        <v>55</v>
      </c>
      <c r="E76" s="34" t="s">
        <v>56</v>
      </c>
      <c r="F76" s="34" t="s">
        <v>69</v>
      </c>
      <c r="G76" s="34" t="s">
        <v>30</v>
      </c>
      <c r="H76" s="34" t="s">
        <v>21</v>
      </c>
      <c r="I76" s="34" t="s">
        <v>19</v>
      </c>
      <c r="J76" s="34" t="s">
        <v>22</v>
      </c>
      <c r="K76" s="34" t="s">
        <v>15</v>
      </c>
      <c r="L76">
        <v>1.0899975180786317</v>
      </c>
    </row>
    <row r="77" spans="1:12" x14ac:dyDescent="0.3">
      <c r="A77" s="34" t="s">
        <v>83</v>
      </c>
      <c r="B77">
        <v>-1</v>
      </c>
      <c r="C77">
        <v>2030</v>
      </c>
      <c r="D77" s="34" t="s">
        <v>55</v>
      </c>
      <c r="E77" s="34" t="s">
        <v>56</v>
      </c>
      <c r="F77" s="34" t="s">
        <v>69</v>
      </c>
      <c r="G77" s="34" t="s">
        <v>62</v>
      </c>
      <c r="H77" s="34" t="s">
        <v>21</v>
      </c>
      <c r="I77" s="34" t="s">
        <v>19</v>
      </c>
      <c r="J77" s="34" t="s">
        <v>22</v>
      </c>
      <c r="K77" s="34" t="s">
        <v>15</v>
      </c>
      <c r="L77">
        <v>8.3929526674663819</v>
      </c>
    </row>
    <row r="78" spans="1:12" x14ac:dyDescent="0.3">
      <c r="A78" s="34" t="s">
        <v>83</v>
      </c>
      <c r="B78">
        <v>-1</v>
      </c>
      <c r="C78">
        <v>2030</v>
      </c>
      <c r="D78" s="34" t="s">
        <v>55</v>
      </c>
      <c r="E78" s="34" t="s">
        <v>56</v>
      </c>
      <c r="F78" s="34" t="s">
        <v>69</v>
      </c>
      <c r="G78" s="34" t="s">
        <v>63</v>
      </c>
      <c r="H78" s="34" t="s">
        <v>23</v>
      </c>
      <c r="I78" s="34" t="s">
        <v>19</v>
      </c>
      <c r="J78" s="34" t="s">
        <v>24</v>
      </c>
      <c r="K78" s="34" t="s">
        <v>15</v>
      </c>
      <c r="L78">
        <v>49.004848479070773</v>
      </c>
    </row>
    <row r="79" spans="1:12" x14ac:dyDescent="0.3">
      <c r="A79" s="34" t="s">
        <v>83</v>
      </c>
      <c r="B79">
        <v>-1</v>
      </c>
      <c r="C79">
        <v>2040</v>
      </c>
      <c r="D79" s="34" t="s">
        <v>55</v>
      </c>
      <c r="E79" s="34" t="s">
        <v>56</v>
      </c>
      <c r="F79" s="34" t="s">
        <v>57</v>
      </c>
      <c r="G79" s="34" t="s">
        <v>44</v>
      </c>
      <c r="H79" s="34" t="s">
        <v>45</v>
      </c>
      <c r="I79" s="34" t="s">
        <v>19</v>
      </c>
      <c r="J79" s="34" t="s">
        <v>27</v>
      </c>
      <c r="K79" s="34" t="s">
        <v>15</v>
      </c>
      <c r="L79">
        <v>3.5537852401351961</v>
      </c>
    </row>
    <row r="80" spans="1:12" x14ac:dyDescent="0.3">
      <c r="A80" s="34" t="s">
        <v>83</v>
      </c>
      <c r="B80">
        <v>-1</v>
      </c>
      <c r="C80">
        <v>2040</v>
      </c>
      <c r="D80" s="34" t="s">
        <v>55</v>
      </c>
      <c r="E80" s="34" t="s">
        <v>56</v>
      </c>
      <c r="F80" s="34" t="s">
        <v>57</v>
      </c>
      <c r="G80" s="34" t="s">
        <v>31</v>
      </c>
      <c r="H80" s="34" t="s">
        <v>18</v>
      </c>
      <c r="I80" s="34" t="s">
        <v>19</v>
      </c>
      <c r="J80" s="34" t="s">
        <v>32</v>
      </c>
      <c r="K80" s="34" t="s">
        <v>15</v>
      </c>
      <c r="L80">
        <v>94.759614626630722</v>
      </c>
    </row>
    <row r="81" spans="1:12" x14ac:dyDescent="0.3">
      <c r="A81" s="34" t="s">
        <v>83</v>
      </c>
      <c r="B81">
        <v>-1</v>
      </c>
      <c r="C81">
        <v>2040</v>
      </c>
      <c r="D81" s="34" t="s">
        <v>55</v>
      </c>
      <c r="E81" s="34" t="s">
        <v>56</v>
      </c>
      <c r="F81" s="34" t="s">
        <v>57</v>
      </c>
      <c r="G81" s="34" t="s">
        <v>11</v>
      </c>
      <c r="H81" s="34" t="s">
        <v>12</v>
      </c>
      <c r="I81" s="34" t="s">
        <v>13</v>
      </c>
      <c r="J81" s="34" t="s">
        <v>14</v>
      </c>
      <c r="K81" s="34" t="s">
        <v>15</v>
      </c>
      <c r="L81">
        <v>1.0160884899304954</v>
      </c>
    </row>
    <row r="82" spans="1:12" x14ac:dyDescent="0.3">
      <c r="A82" s="34" t="s">
        <v>83</v>
      </c>
      <c r="B82">
        <v>-1</v>
      </c>
      <c r="C82">
        <v>2040</v>
      </c>
      <c r="D82" s="34" t="s">
        <v>55</v>
      </c>
      <c r="E82" s="34" t="s">
        <v>56</v>
      </c>
      <c r="F82" s="34" t="s">
        <v>57</v>
      </c>
      <c r="G82" s="34" t="s">
        <v>59</v>
      </c>
      <c r="H82" s="34" t="s">
        <v>12</v>
      </c>
      <c r="I82" s="34" t="s">
        <v>13</v>
      </c>
      <c r="J82" s="34" t="s">
        <v>14</v>
      </c>
      <c r="K82" s="34" t="s">
        <v>15</v>
      </c>
      <c r="L82">
        <v>31.878753410303258</v>
      </c>
    </row>
    <row r="83" spans="1:12" x14ac:dyDescent="0.3">
      <c r="A83" s="34" t="s">
        <v>83</v>
      </c>
      <c r="B83">
        <v>-1</v>
      </c>
      <c r="C83">
        <v>2040</v>
      </c>
      <c r="D83" s="34" t="s">
        <v>55</v>
      </c>
      <c r="E83" s="34" t="s">
        <v>56</v>
      </c>
      <c r="F83" s="34" t="s">
        <v>57</v>
      </c>
      <c r="G83" s="34" t="s">
        <v>60</v>
      </c>
      <c r="H83" s="34" t="s">
        <v>12</v>
      </c>
      <c r="I83" s="34" t="s">
        <v>13</v>
      </c>
      <c r="J83" s="34" t="s">
        <v>14</v>
      </c>
      <c r="K83" s="34" t="s">
        <v>15</v>
      </c>
      <c r="L83">
        <v>75.106717872031709</v>
      </c>
    </row>
    <row r="84" spans="1:12" x14ac:dyDescent="0.3">
      <c r="A84" s="34" t="s">
        <v>83</v>
      </c>
      <c r="B84">
        <v>-1</v>
      </c>
      <c r="C84">
        <v>2040</v>
      </c>
      <c r="D84" s="34" t="s">
        <v>55</v>
      </c>
      <c r="E84" s="34" t="s">
        <v>56</v>
      </c>
      <c r="F84" s="34" t="s">
        <v>57</v>
      </c>
      <c r="G84" s="34" t="s">
        <v>66</v>
      </c>
      <c r="H84" s="34" t="s">
        <v>13</v>
      </c>
      <c r="I84" s="34" t="s">
        <v>13</v>
      </c>
      <c r="J84" s="34" t="s">
        <v>17</v>
      </c>
      <c r="K84" s="34" t="s">
        <v>15</v>
      </c>
      <c r="L84">
        <v>1.0766948514720736</v>
      </c>
    </row>
    <row r="85" spans="1:12" x14ac:dyDescent="0.3">
      <c r="A85" s="34" t="s">
        <v>83</v>
      </c>
      <c r="B85">
        <v>-1</v>
      </c>
      <c r="C85">
        <v>2040</v>
      </c>
      <c r="D85" s="34" t="s">
        <v>55</v>
      </c>
      <c r="E85" s="34" t="s">
        <v>56</v>
      </c>
      <c r="F85" s="34" t="s">
        <v>57</v>
      </c>
      <c r="G85" s="34" t="s">
        <v>41</v>
      </c>
      <c r="H85" s="34" t="s">
        <v>40</v>
      </c>
      <c r="I85" s="34" t="s">
        <v>13</v>
      </c>
      <c r="J85" s="34" t="s">
        <v>42</v>
      </c>
      <c r="K85" s="34" t="s">
        <v>15</v>
      </c>
      <c r="L85">
        <v>0.93967278330960791</v>
      </c>
    </row>
    <row r="86" spans="1:12" x14ac:dyDescent="0.3">
      <c r="A86" s="34" t="s">
        <v>83</v>
      </c>
      <c r="B86">
        <v>-1</v>
      </c>
      <c r="C86">
        <v>2040</v>
      </c>
      <c r="D86" s="34" t="s">
        <v>55</v>
      </c>
      <c r="E86" s="34" t="s">
        <v>56</v>
      </c>
      <c r="F86" s="34" t="s">
        <v>69</v>
      </c>
      <c r="G86" s="34" t="s">
        <v>28</v>
      </c>
      <c r="H86" s="34" t="s">
        <v>23</v>
      </c>
      <c r="I86" s="34" t="s">
        <v>19</v>
      </c>
      <c r="J86" s="34" t="s">
        <v>24</v>
      </c>
      <c r="K86" s="34" t="s">
        <v>15</v>
      </c>
      <c r="L86">
        <v>3.7752599999999967</v>
      </c>
    </row>
    <row r="87" spans="1:12" x14ac:dyDescent="0.3">
      <c r="A87" s="34" t="s">
        <v>83</v>
      </c>
      <c r="B87">
        <v>-1</v>
      </c>
      <c r="C87">
        <v>2040</v>
      </c>
      <c r="D87" s="34" t="s">
        <v>55</v>
      </c>
      <c r="E87" s="34" t="s">
        <v>56</v>
      </c>
      <c r="F87" s="34" t="s">
        <v>69</v>
      </c>
      <c r="G87" s="34" t="s">
        <v>58</v>
      </c>
      <c r="H87" s="34" t="s">
        <v>21</v>
      </c>
      <c r="I87" s="34" t="s">
        <v>19</v>
      </c>
      <c r="J87" s="34" t="s">
        <v>22</v>
      </c>
      <c r="K87" s="34" t="s">
        <v>15</v>
      </c>
      <c r="L87">
        <v>5.8895774527375941</v>
      </c>
    </row>
    <row r="88" spans="1:12" x14ac:dyDescent="0.3">
      <c r="A88" s="34" t="s">
        <v>83</v>
      </c>
      <c r="B88">
        <v>-1</v>
      </c>
      <c r="C88">
        <v>2040</v>
      </c>
      <c r="D88" s="34" t="s">
        <v>55</v>
      </c>
      <c r="E88" s="34" t="s">
        <v>56</v>
      </c>
      <c r="F88" s="34" t="s">
        <v>69</v>
      </c>
      <c r="G88" s="34" t="s">
        <v>29</v>
      </c>
      <c r="H88" s="34" t="s">
        <v>21</v>
      </c>
      <c r="I88" s="34" t="s">
        <v>19</v>
      </c>
      <c r="J88" s="34" t="s">
        <v>22</v>
      </c>
      <c r="K88" s="34" t="s">
        <v>15</v>
      </c>
      <c r="L88">
        <v>1.6565242873953303</v>
      </c>
    </row>
    <row r="89" spans="1:12" x14ac:dyDescent="0.3">
      <c r="A89" s="34" t="s">
        <v>83</v>
      </c>
      <c r="B89">
        <v>-1</v>
      </c>
      <c r="C89">
        <v>2040</v>
      </c>
      <c r="D89" s="34" t="s">
        <v>55</v>
      </c>
      <c r="E89" s="34" t="s">
        <v>56</v>
      </c>
      <c r="F89" s="34" t="s">
        <v>69</v>
      </c>
      <c r="G89" s="34" t="s">
        <v>20</v>
      </c>
      <c r="H89" s="34" t="s">
        <v>21</v>
      </c>
      <c r="I89" s="34" t="s">
        <v>19</v>
      </c>
      <c r="J89" s="34" t="s">
        <v>22</v>
      </c>
      <c r="K89" s="34" t="s">
        <v>15</v>
      </c>
      <c r="L89">
        <v>3.6859214855681013</v>
      </c>
    </row>
    <row r="90" spans="1:12" x14ac:dyDescent="0.3">
      <c r="A90" s="34" t="s">
        <v>83</v>
      </c>
      <c r="B90">
        <v>-1</v>
      </c>
      <c r="C90">
        <v>2040</v>
      </c>
      <c r="D90" s="34" t="s">
        <v>55</v>
      </c>
      <c r="E90" s="34" t="s">
        <v>56</v>
      </c>
      <c r="F90" s="34" t="s">
        <v>69</v>
      </c>
      <c r="G90" s="34" t="s">
        <v>30</v>
      </c>
      <c r="H90" s="34" t="s">
        <v>21</v>
      </c>
      <c r="I90" s="34" t="s">
        <v>19</v>
      </c>
      <c r="J90" s="34" t="s">
        <v>22</v>
      </c>
      <c r="K90" s="34" t="s">
        <v>15</v>
      </c>
      <c r="L90">
        <v>0.27466033480854307</v>
      </c>
    </row>
    <row r="91" spans="1:12" x14ac:dyDescent="0.3">
      <c r="A91" s="34" t="s">
        <v>83</v>
      </c>
      <c r="B91">
        <v>-1</v>
      </c>
      <c r="C91">
        <v>2040</v>
      </c>
      <c r="D91" s="34" t="s">
        <v>55</v>
      </c>
      <c r="E91" s="34" t="s">
        <v>56</v>
      </c>
      <c r="F91" s="34" t="s">
        <v>69</v>
      </c>
      <c r="G91" s="34" t="s">
        <v>62</v>
      </c>
      <c r="H91" s="34" t="s">
        <v>21</v>
      </c>
      <c r="I91" s="34" t="s">
        <v>19</v>
      </c>
      <c r="J91" s="34" t="s">
        <v>22</v>
      </c>
      <c r="K91" s="34" t="s">
        <v>15</v>
      </c>
      <c r="L91">
        <v>6.1937017515751984</v>
      </c>
    </row>
    <row r="92" spans="1:12" x14ac:dyDescent="0.3">
      <c r="A92" s="34" t="s">
        <v>83</v>
      </c>
      <c r="B92">
        <v>-1</v>
      </c>
      <c r="C92">
        <v>2040</v>
      </c>
      <c r="D92" s="34" t="s">
        <v>55</v>
      </c>
      <c r="E92" s="34" t="s">
        <v>56</v>
      </c>
      <c r="F92" s="34" t="s">
        <v>69</v>
      </c>
      <c r="G92" s="34" t="s">
        <v>64</v>
      </c>
      <c r="H92" s="34" t="s">
        <v>21</v>
      </c>
      <c r="I92" s="34" t="s">
        <v>19</v>
      </c>
      <c r="J92" s="34" t="s">
        <v>22</v>
      </c>
      <c r="K92" s="34" t="s">
        <v>15</v>
      </c>
      <c r="L92">
        <v>114.88356702738616</v>
      </c>
    </row>
    <row r="93" spans="1:12" x14ac:dyDescent="0.3">
      <c r="A93" s="34" t="s">
        <v>83</v>
      </c>
      <c r="B93">
        <v>-1</v>
      </c>
      <c r="C93">
        <v>2040</v>
      </c>
      <c r="D93" s="34" t="s">
        <v>55</v>
      </c>
      <c r="E93" s="34" t="s">
        <v>56</v>
      </c>
      <c r="F93" s="34" t="s">
        <v>69</v>
      </c>
      <c r="G93" s="34" t="s">
        <v>63</v>
      </c>
      <c r="H93" s="34" t="s">
        <v>23</v>
      </c>
      <c r="I93" s="34" t="s">
        <v>19</v>
      </c>
      <c r="J93" s="34" t="s">
        <v>24</v>
      </c>
      <c r="K93" s="34" t="s">
        <v>15</v>
      </c>
      <c r="L93">
        <v>48.022638080368267</v>
      </c>
    </row>
    <row r="94" spans="1:12" x14ac:dyDescent="0.3">
      <c r="A94" s="34" t="s">
        <v>83</v>
      </c>
      <c r="B94">
        <v>-1</v>
      </c>
      <c r="C94">
        <v>2040</v>
      </c>
      <c r="D94" s="34" t="s">
        <v>55</v>
      </c>
      <c r="E94" s="34" t="s">
        <v>56</v>
      </c>
      <c r="F94" s="34" t="s">
        <v>69</v>
      </c>
      <c r="G94" s="34" t="s">
        <v>65</v>
      </c>
      <c r="H94" s="34" t="s">
        <v>23</v>
      </c>
      <c r="I94" s="34" t="s">
        <v>19</v>
      </c>
      <c r="J94" s="34" t="s">
        <v>24</v>
      </c>
      <c r="K94" s="34" t="s">
        <v>15</v>
      </c>
      <c r="L94">
        <v>34.791534825629739</v>
      </c>
    </row>
    <row r="95" spans="1:12" x14ac:dyDescent="0.3">
      <c r="A95" s="34" t="s">
        <v>83</v>
      </c>
      <c r="B95">
        <v>-1</v>
      </c>
      <c r="C95">
        <v>2050</v>
      </c>
      <c r="D95" s="34" t="s">
        <v>55</v>
      </c>
      <c r="E95" s="34" t="s">
        <v>56</v>
      </c>
      <c r="F95" s="34" t="s">
        <v>57</v>
      </c>
      <c r="G95" s="34" t="s">
        <v>31</v>
      </c>
      <c r="H95" s="34" t="s">
        <v>18</v>
      </c>
      <c r="I95" s="34" t="s">
        <v>19</v>
      </c>
      <c r="J95" s="34" t="s">
        <v>32</v>
      </c>
      <c r="K95" s="34" t="s">
        <v>15</v>
      </c>
      <c r="L95">
        <v>94.759614626630793</v>
      </c>
    </row>
    <row r="96" spans="1:12" x14ac:dyDescent="0.3">
      <c r="A96" s="34" t="s">
        <v>83</v>
      </c>
      <c r="B96">
        <v>-1</v>
      </c>
      <c r="C96">
        <v>2050</v>
      </c>
      <c r="D96" s="34" t="s">
        <v>55</v>
      </c>
      <c r="E96" s="34" t="s">
        <v>56</v>
      </c>
      <c r="F96" s="34" t="s">
        <v>57</v>
      </c>
      <c r="G96" s="34" t="s">
        <v>25</v>
      </c>
      <c r="H96" s="34" t="s">
        <v>26</v>
      </c>
      <c r="I96" s="34" t="s">
        <v>19</v>
      </c>
      <c r="J96" s="34" t="s">
        <v>27</v>
      </c>
      <c r="K96" s="34" t="s">
        <v>15</v>
      </c>
      <c r="L96">
        <v>5.1400719886252002</v>
      </c>
    </row>
    <row r="97" spans="1:12" x14ac:dyDescent="0.3">
      <c r="A97" s="34" t="s">
        <v>83</v>
      </c>
      <c r="B97">
        <v>-1</v>
      </c>
      <c r="C97">
        <v>2050</v>
      </c>
      <c r="D97" s="34" t="s">
        <v>55</v>
      </c>
      <c r="E97" s="34" t="s">
        <v>56</v>
      </c>
      <c r="F97" s="34" t="s">
        <v>57</v>
      </c>
      <c r="G97" s="34" t="s">
        <v>59</v>
      </c>
      <c r="H97" s="34" t="s">
        <v>12</v>
      </c>
      <c r="I97" s="34" t="s">
        <v>13</v>
      </c>
      <c r="J97" s="34" t="s">
        <v>14</v>
      </c>
      <c r="K97" s="34" t="s">
        <v>15</v>
      </c>
      <c r="L97">
        <v>5.1729940498463378</v>
      </c>
    </row>
    <row r="98" spans="1:12" x14ac:dyDescent="0.3">
      <c r="A98" s="34" t="s">
        <v>83</v>
      </c>
      <c r="B98">
        <v>-1</v>
      </c>
      <c r="C98">
        <v>2050</v>
      </c>
      <c r="D98" s="34" t="s">
        <v>55</v>
      </c>
      <c r="E98" s="34" t="s">
        <v>56</v>
      </c>
      <c r="F98" s="34" t="s">
        <v>57</v>
      </c>
      <c r="G98" s="34" t="s">
        <v>60</v>
      </c>
      <c r="H98" s="34" t="s">
        <v>12</v>
      </c>
      <c r="I98" s="34" t="s">
        <v>13</v>
      </c>
      <c r="J98" s="34" t="s">
        <v>14</v>
      </c>
      <c r="K98" s="34" t="s">
        <v>15</v>
      </c>
      <c r="L98">
        <v>45.325550363755895</v>
      </c>
    </row>
    <row r="99" spans="1:12" x14ac:dyDescent="0.3">
      <c r="A99" s="34" t="s">
        <v>83</v>
      </c>
      <c r="B99">
        <v>-1</v>
      </c>
      <c r="C99">
        <v>2050</v>
      </c>
      <c r="D99" s="34" t="s">
        <v>55</v>
      </c>
      <c r="E99" s="34" t="s">
        <v>56</v>
      </c>
      <c r="F99" s="34" t="s">
        <v>57</v>
      </c>
      <c r="G99" s="34" t="s">
        <v>16</v>
      </c>
      <c r="H99" s="34" t="s">
        <v>12</v>
      </c>
      <c r="I99" s="34" t="s">
        <v>13</v>
      </c>
      <c r="J99" s="34" t="s">
        <v>14</v>
      </c>
      <c r="K99" s="34" t="s">
        <v>15</v>
      </c>
      <c r="L99">
        <v>103.00259397129886</v>
      </c>
    </row>
    <row r="100" spans="1:12" x14ac:dyDescent="0.3">
      <c r="A100" s="34" t="s">
        <v>83</v>
      </c>
      <c r="B100">
        <v>-1</v>
      </c>
      <c r="C100">
        <v>2050</v>
      </c>
      <c r="D100" s="34" t="s">
        <v>55</v>
      </c>
      <c r="E100" s="34" t="s">
        <v>56</v>
      </c>
      <c r="F100" s="34" t="s">
        <v>57</v>
      </c>
      <c r="G100" s="34" t="s">
        <v>66</v>
      </c>
      <c r="H100" s="34" t="s">
        <v>13</v>
      </c>
      <c r="I100" s="34" t="s">
        <v>13</v>
      </c>
      <c r="J100" s="34" t="s">
        <v>17</v>
      </c>
      <c r="K100" s="34" t="s">
        <v>15</v>
      </c>
      <c r="L100">
        <v>1.0401546980782224</v>
      </c>
    </row>
    <row r="101" spans="1:12" x14ac:dyDescent="0.3">
      <c r="A101" s="34" t="s">
        <v>83</v>
      </c>
      <c r="B101">
        <v>-1</v>
      </c>
      <c r="C101">
        <v>2050</v>
      </c>
      <c r="D101" s="34" t="s">
        <v>55</v>
      </c>
      <c r="E101" s="34" t="s">
        <v>56</v>
      </c>
      <c r="F101" s="34" t="s">
        <v>57</v>
      </c>
      <c r="G101" s="34" t="s">
        <v>61</v>
      </c>
      <c r="H101" s="34" t="s">
        <v>13</v>
      </c>
      <c r="I101" s="34" t="s">
        <v>13</v>
      </c>
      <c r="J101" s="34" t="s">
        <v>17</v>
      </c>
      <c r="K101" s="34" t="s">
        <v>15</v>
      </c>
      <c r="L101">
        <v>10.43694777585125</v>
      </c>
    </row>
    <row r="102" spans="1:12" x14ac:dyDescent="0.3">
      <c r="A102" s="34" t="s">
        <v>83</v>
      </c>
      <c r="B102">
        <v>-1</v>
      </c>
      <c r="C102">
        <v>2050</v>
      </c>
      <c r="D102" s="34" t="s">
        <v>55</v>
      </c>
      <c r="E102" s="34" t="s">
        <v>56</v>
      </c>
      <c r="F102" s="34" t="s">
        <v>57</v>
      </c>
      <c r="G102" s="34" t="s">
        <v>41</v>
      </c>
      <c r="H102" s="34" t="s">
        <v>40</v>
      </c>
      <c r="I102" s="34" t="s">
        <v>13</v>
      </c>
      <c r="J102" s="34" t="s">
        <v>42</v>
      </c>
      <c r="K102" s="34" t="s">
        <v>15</v>
      </c>
      <c r="L102">
        <v>1.1815943019338595</v>
      </c>
    </row>
    <row r="103" spans="1:12" x14ac:dyDescent="0.3">
      <c r="A103" s="34" t="s">
        <v>83</v>
      </c>
      <c r="B103">
        <v>-1</v>
      </c>
      <c r="C103">
        <v>2050</v>
      </c>
      <c r="D103" s="34" t="s">
        <v>55</v>
      </c>
      <c r="E103" s="34" t="s">
        <v>56</v>
      </c>
      <c r="F103" s="34" t="s">
        <v>69</v>
      </c>
      <c r="G103" s="34" t="s">
        <v>28</v>
      </c>
      <c r="H103" s="34" t="s">
        <v>23</v>
      </c>
      <c r="I103" s="34" t="s">
        <v>19</v>
      </c>
      <c r="J103" s="34" t="s">
        <v>24</v>
      </c>
      <c r="K103" s="34" t="s">
        <v>15</v>
      </c>
      <c r="L103">
        <v>-8.5510773065574844E-16</v>
      </c>
    </row>
    <row r="104" spans="1:12" x14ac:dyDescent="0.3">
      <c r="A104" s="34" t="s">
        <v>83</v>
      </c>
      <c r="B104">
        <v>-1</v>
      </c>
      <c r="C104">
        <v>2050</v>
      </c>
      <c r="D104" s="34" t="s">
        <v>55</v>
      </c>
      <c r="E104" s="34" t="s">
        <v>56</v>
      </c>
      <c r="F104" s="34" t="s">
        <v>69</v>
      </c>
      <c r="G104" s="34" t="s">
        <v>58</v>
      </c>
      <c r="H104" s="34" t="s">
        <v>21</v>
      </c>
      <c r="I104" s="34" t="s">
        <v>19</v>
      </c>
      <c r="J104" s="34" t="s">
        <v>22</v>
      </c>
      <c r="K104" s="34" t="s">
        <v>15</v>
      </c>
      <c r="L104">
        <v>-9.3958111132711369E-16</v>
      </c>
    </row>
    <row r="105" spans="1:12" x14ac:dyDescent="0.3">
      <c r="A105" s="34" t="s">
        <v>83</v>
      </c>
      <c r="B105">
        <v>-1</v>
      </c>
      <c r="C105">
        <v>2050</v>
      </c>
      <c r="D105" s="34" t="s">
        <v>55</v>
      </c>
      <c r="E105" s="34" t="s">
        <v>56</v>
      </c>
      <c r="F105" s="34" t="s">
        <v>69</v>
      </c>
      <c r="G105" s="34" t="s">
        <v>29</v>
      </c>
      <c r="H105" s="34" t="s">
        <v>21</v>
      </c>
      <c r="I105" s="34" t="s">
        <v>19</v>
      </c>
      <c r="J105" s="34" t="s">
        <v>22</v>
      </c>
      <c r="K105" s="34" t="s">
        <v>15</v>
      </c>
      <c r="L105">
        <v>-3.2159164220502116E-16</v>
      </c>
    </row>
    <row r="106" spans="1:12" x14ac:dyDescent="0.3">
      <c r="A106" s="34" t="s">
        <v>83</v>
      </c>
      <c r="B106">
        <v>-1</v>
      </c>
      <c r="C106">
        <v>2050</v>
      </c>
      <c r="D106" s="34" t="s">
        <v>55</v>
      </c>
      <c r="E106" s="34" t="s">
        <v>56</v>
      </c>
      <c r="F106" s="34" t="s">
        <v>69</v>
      </c>
      <c r="G106" s="34" t="s">
        <v>20</v>
      </c>
      <c r="H106" s="34" t="s">
        <v>21</v>
      </c>
      <c r="I106" s="34" t="s">
        <v>19</v>
      </c>
      <c r="J106" s="34" t="s">
        <v>22</v>
      </c>
      <c r="K106" s="34" t="s">
        <v>15</v>
      </c>
      <c r="L106">
        <v>-7.246926868122369E-16</v>
      </c>
    </row>
    <row r="107" spans="1:12" x14ac:dyDescent="0.3">
      <c r="A107" s="34" t="s">
        <v>83</v>
      </c>
      <c r="B107">
        <v>-1</v>
      </c>
      <c r="C107">
        <v>2050</v>
      </c>
      <c r="D107" s="34" t="s">
        <v>55</v>
      </c>
      <c r="E107" s="34" t="s">
        <v>56</v>
      </c>
      <c r="F107" s="34" t="s">
        <v>69</v>
      </c>
      <c r="G107" s="34" t="s">
        <v>62</v>
      </c>
      <c r="H107" s="34" t="s">
        <v>21</v>
      </c>
      <c r="I107" s="34" t="s">
        <v>19</v>
      </c>
      <c r="J107" s="34" t="s">
        <v>22</v>
      </c>
      <c r="K107" s="34" t="s">
        <v>15</v>
      </c>
      <c r="L107">
        <v>5.0767895675817876</v>
      </c>
    </row>
    <row r="108" spans="1:12" x14ac:dyDescent="0.3">
      <c r="A108" s="34" t="s">
        <v>83</v>
      </c>
      <c r="B108">
        <v>-1</v>
      </c>
      <c r="C108">
        <v>2050</v>
      </c>
      <c r="D108" s="34" t="s">
        <v>55</v>
      </c>
      <c r="E108" s="34" t="s">
        <v>56</v>
      </c>
      <c r="F108" s="34" t="s">
        <v>69</v>
      </c>
      <c r="G108" s="34" t="s">
        <v>64</v>
      </c>
      <c r="H108" s="34" t="s">
        <v>21</v>
      </c>
      <c r="I108" s="34" t="s">
        <v>19</v>
      </c>
      <c r="J108" s="34" t="s">
        <v>22</v>
      </c>
      <c r="K108" s="34" t="s">
        <v>15</v>
      </c>
      <c r="L108">
        <v>106.68782551917299</v>
      </c>
    </row>
    <row r="109" spans="1:12" x14ac:dyDescent="0.3">
      <c r="A109" s="34" t="s">
        <v>83</v>
      </c>
      <c r="B109">
        <v>-1</v>
      </c>
      <c r="C109">
        <v>2050</v>
      </c>
      <c r="D109" s="34" t="s">
        <v>55</v>
      </c>
      <c r="E109" s="34" t="s">
        <v>56</v>
      </c>
      <c r="F109" s="34" t="s">
        <v>69</v>
      </c>
      <c r="G109" s="34" t="s">
        <v>68</v>
      </c>
      <c r="H109" s="34" t="s">
        <v>21</v>
      </c>
      <c r="I109" s="34" t="s">
        <v>19</v>
      </c>
      <c r="J109" s="34" t="s">
        <v>22</v>
      </c>
      <c r="K109" s="34" t="s">
        <v>15</v>
      </c>
      <c r="L109">
        <v>37.794564296903779</v>
      </c>
    </row>
    <row r="110" spans="1:12" x14ac:dyDescent="0.3">
      <c r="A110" s="34" t="s">
        <v>83</v>
      </c>
      <c r="B110">
        <v>-1</v>
      </c>
      <c r="C110">
        <v>2050</v>
      </c>
      <c r="D110" s="34" t="s">
        <v>55</v>
      </c>
      <c r="E110" s="34" t="s">
        <v>56</v>
      </c>
      <c r="F110" s="34" t="s">
        <v>69</v>
      </c>
      <c r="G110" s="34" t="s">
        <v>63</v>
      </c>
      <c r="H110" s="34" t="s">
        <v>23</v>
      </c>
      <c r="I110" s="34" t="s">
        <v>19</v>
      </c>
      <c r="J110" s="34" t="s">
        <v>24</v>
      </c>
      <c r="K110" s="34" t="s">
        <v>15</v>
      </c>
      <c r="L110">
        <v>47.925747531941873</v>
      </c>
    </row>
    <row r="111" spans="1:12" x14ac:dyDescent="0.3">
      <c r="A111" s="34" t="s">
        <v>83</v>
      </c>
      <c r="B111">
        <v>-1</v>
      </c>
      <c r="C111">
        <v>2050</v>
      </c>
      <c r="D111" s="34" t="s">
        <v>55</v>
      </c>
      <c r="E111" s="34" t="s">
        <v>56</v>
      </c>
      <c r="F111" s="34" t="s">
        <v>69</v>
      </c>
      <c r="G111" s="34" t="s">
        <v>65</v>
      </c>
      <c r="H111" s="34" t="s">
        <v>23</v>
      </c>
      <c r="I111" s="34" t="s">
        <v>19</v>
      </c>
      <c r="J111" s="34" t="s">
        <v>24</v>
      </c>
      <c r="K111" s="34" t="s">
        <v>15</v>
      </c>
      <c r="L111">
        <v>34.284115378987536</v>
      </c>
    </row>
    <row r="112" spans="1:12" x14ac:dyDescent="0.3">
      <c r="A112" s="34" t="s">
        <v>83</v>
      </c>
      <c r="B112">
        <v>-1</v>
      </c>
      <c r="C112">
        <v>2050</v>
      </c>
      <c r="D112" s="34" t="s">
        <v>55</v>
      </c>
      <c r="E112" s="34" t="s">
        <v>56</v>
      </c>
      <c r="F112" s="34" t="s">
        <v>69</v>
      </c>
      <c r="G112" s="34" t="s">
        <v>67</v>
      </c>
      <c r="H112" s="34" t="s">
        <v>23</v>
      </c>
      <c r="I112" s="34" t="s">
        <v>19</v>
      </c>
      <c r="J112" s="34" t="s">
        <v>24</v>
      </c>
      <c r="K112" s="34" t="s">
        <v>15</v>
      </c>
      <c r="L112">
        <v>41.301395381314535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Q39"/>
  <sheetViews>
    <sheetView topLeftCell="H1" workbookViewId="0">
      <selection sqref="A1:M99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31.109375" bestFit="1" customWidth="1"/>
    <col min="7" max="7" width="7.77734375" bestFit="1" customWidth="1"/>
    <col min="8" max="8" width="12.6640625" bestFit="1" customWidth="1"/>
    <col min="11" max="11" width="14.5546875" bestFit="1" customWidth="1"/>
    <col min="12" max="12" width="26.5546875" bestFit="1" customWidth="1"/>
    <col min="13" max="13" width="24.44140625" bestFit="1" customWidth="1"/>
    <col min="14" max="14" width="23.6640625" bestFit="1" customWidth="1"/>
    <col min="15" max="15" width="31.5546875" bestFit="1" customWidth="1"/>
    <col min="16" max="16" width="20.44140625" bestFit="1" customWidth="1"/>
    <col min="17" max="17" width="12" bestFit="1" customWidth="1"/>
  </cols>
  <sheetData>
    <row r="1" spans="1:17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7" x14ac:dyDescent="0.3">
      <c r="A2" s="34" t="s">
        <v>80</v>
      </c>
      <c r="B2">
        <v>-1</v>
      </c>
      <c r="C2">
        <v>2020</v>
      </c>
      <c r="D2" s="34" t="s">
        <v>55</v>
      </c>
      <c r="E2" s="34" t="s">
        <v>56</v>
      </c>
      <c r="F2" s="34" t="s">
        <v>71</v>
      </c>
      <c r="G2" s="34" t="s">
        <v>72</v>
      </c>
      <c r="H2">
        <v>53.451088374092045</v>
      </c>
    </row>
    <row r="3" spans="1:17" x14ac:dyDescent="0.3">
      <c r="A3" s="34" t="s">
        <v>80</v>
      </c>
      <c r="B3">
        <v>-1</v>
      </c>
      <c r="C3">
        <v>2020</v>
      </c>
      <c r="D3" s="34" t="s">
        <v>55</v>
      </c>
      <c r="E3" s="34" t="s">
        <v>56</v>
      </c>
      <c r="F3" s="34" t="s">
        <v>73</v>
      </c>
      <c r="G3" s="34" t="s">
        <v>72</v>
      </c>
      <c r="H3">
        <v>1154.3842153816881</v>
      </c>
    </row>
    <row r="4" spans="1:17" x14ac:dyDescent="0.3">
      <c r="A4" s="34" t="s">
        <v>80</v>
      </c>
      <c r="B4">
        <v>-1</v>
      </c>
      <c r="C4">
        <v>2020</v>
      </c>
      <c r="D4" s="34" t="s">
        <v>55</v>
      </c>
      <c r="E4" s="34" t="s">
        <v>56</v>
      </c>
      <c r="F4" s="34" t="s">
        <v>74</v>
      </c>
      <c r="G4" s="34" t="s">
        <v>72</v>
      </c>
      <c r="H4">
        <v>125.44257334363498</v>
      </c>
    </row>
    <row r="5" spans="1:17" x14ac:dyDescent="0.3">
      <c r="A5" s="34" t="s">
        <v>80</v>
      </c>
      <c r="B5">
        <v>-1</v>
      </c>
      <c r="C5">
        <v>2020</v>
      </c>
      <c r="D5" s="34" t="s">
        <v>55</v>
      </c>
      <c r="E5" s="34" t="s">
        <v>56</v>
      </c>
      <c r="F5" s="34" t="s">
        <v>75</v>
      </c>
      <c r="G5" s="34" t="s">
        <v>72</v>
      </c>
      <c r="H5">
        <v>4.7588194444042076</v>
      </c>
    </row>
    <row r="6" spans="1:17" x14ac:dyDescent="0.3">
      <c r="A6" s="34" t="s">
        <v>80</v>
      </c>
      <c r="B6">
        <v>-1</v>
      </c>
      <c r="C6">
        <v>2020</v>
      </c>
      <c r="D6" s="34" t="s">
        <v>55</v>
      </c>
      <c r="E6" s="34" t="s">
        <v>56</v>
      </c>
      <c r="F6" s="34" t="s">
        <v>76</v>
      </c>
      <c r="G6" s="34" t="s">
        <v>72</v>
      </c>
      <c r="H6">
        <v>-5.4230860707075413E-14</v>
      </c>
      <c r="K6" s="1" t="s">
        <v>35</v>
      </c>
      <c r="L6" s="1" t="s">
        <v>36</v>
      </c>
    </row>
    <row r="7" spans="1:17" x14ac:dyDescent="0.3">
      <c r="A7" s="34" t="s">
        <v>80</v>
      </c>
      <c r="B7">
        <v>-1</v>
      </c>
      <c r="C7">
        <v>2030</v>
      </c>
      <c r="D7" s="34" t="s">
        <v>55</v>
      </c>
      <c r="E7" s="34" t="s">
        <v>56</v>
      </c>
      <c r="F7" s="34" t="s">
        <v>71</v>
      </c>
      <c r="G7" s="34" t="s">
        <v>72</v>
      </c>
      <c r="H7">
        <v>1065.3669259820831</v>
      </c>
      <c r="K7" s="1" t="s">
        <v>33</v>
      </c>
      <c r="L7" t="s">
        <v>71</v>
      </c>
      <c r="M7" t="s">
        <v>73</v>
      </c>
      <c r="N7" t="s">
        <v>75</v>
      </c>
      <c r="O7" t="s">
        <v>74</v>
      </c>
      <c r="P7" t="s">
        <v>76</v>
      </c>
      <c r="Q7" t="s">
        <v>34</v>
      </c>
    </row>
    <row r="8" spans="1:17" x14ac:dyDescent="0.3">
      <c r="A8" s="34" t="s">
        <v>80</v>
      </c>
      <c r="B8">
        <v>-1</v>
      </c>
      <c r="C8">
        <v>2030</v>
      </c>
      <c r="D8" s="34" t="s">
        <v>55</v>
      </c>
      <c r="E8" s="34" t="s">
        <v>56</v>
      </c>
      <c r="F8" s="34" t="s">
        <v>73</v>
      </c>
      <c r="G8" s="34" t="s">
        <v>72</v>
      </c>
      <c r="H8">
        <v>1553.8670957697223</v>
      </c>
      <c r="K8" s="2" t="s">
        <v>80</v>
      </c>
      <c r="L8" s="34">
        <v>12966.712733705339</v>
      </c>
      <c r="M8" s="34">
        <v>7195.5635426799026</v>
      </c>
      <c r="N8" s="34">
        <v>-231.05035499196083</v>
      </c>
      <c r="O8" s="34">
        <v>849.61102269223466</v>
      </c>
      <c r="P8" s="34">
        <v>28.052202334104127</v>
      </c>
      <c r="Q8" s="34">
        <v>20808.88914641962</v>
      </c>
    </row>
    <row r="9" spans="1:17" x14ac:dyDescent="0.3">
      <c r="A9" s="34" t="s">
        <v>80</v>
      </c>
      <c r="B9">
        <v>-1</v>
      </c>
      <c r="C9">
        <v>2030</v>
      </c>
      <c r="D9" s="34" t="s">
        <v>55</v>
      </c>
      <c r="E9" s="34" t="s">
        <v>56</v>
      </c>
      <c r="F9" s="34" t="s">
        <v>74</v>
      </c>
      <c r="G9" s="34" t="s">
        <v>72</v>
      </c>
      <c r="H9">
        <v>145.84965459190076</v>
      </c>
      <c r="K9" s="3">
        <v>2020</v>
      </c>
      <c r="L9" s="34">
        <v>53.451088374092045</v>
      </c>
      <c r="M9" s="34">
        <v>1154.3842153816881</v>
      </c>
      <c r="N9" s="34">
        <v>4.7588194444042076</v>
      </c>
      <c r="O9" s="34">
        <v>125.44257334363498</v>
      </c>
      <c r="P9" s="34">
        <v>-5.4230860707075413E-14</v>
      </c>
      <c r="Q9" s="34">
        <v>1338.0366965438193</v>
      </c>
    </row>
    <row r="10" spans="1:17" x14ac:dyDescent="0.3">
      <c r="A10" s="34" t="s">
        <v>80</v>
      </c>
      <c r="B10">
        <v>-1</v>
      </c>
      <c r="C10">
        <v>2030</v>
      </c>
      <c r="D10" s="34" t="s">
        <v>55</v>
      </c>
      <c r="E10" s="34" t="s">
        <v>56</v>
      </c>
      <c r="F10" s="34" t="s">
        <v>75</v>
      </c>
      <c r="G10" s="34" t="s">
        <v>72</v>
      </c>
      <c r="H10">
        <v>3.3935954504479438</v>
      </c>
      <c r="K10" s="3">
        <v>2030</v>
      </c>
      <c r="L10" s="34">
        <v>1065.3669259820831</v>
      </c>
      <c r="M10" s="34">
        <v>1553.8670957697223</v>
      </c>
      <c r="N10" s="34">
        <v>3.3935954504479438</v>
      </c>
      <c r="O10" s="34">
        <v>145.84965459190076</v>
      </c>
      <c r="P10" s="34"/>
      <c r="Q10" s="34">
        <v>2768.4772717941537</v>
      </c>
    </row>
    <row r="11" spans="1:17" x14ac:dyDescent="0.3">
      <c r="A11" s="34" t="s">
        <v>80</v>
      </c>
      <c r="B11">
        <v>-1</v>
      </c>
      <c r="C11">
        <v>2040</v>
      </c>
      <c r="D11" s="34" t="s">
        <v>55</v>
      </c>
      <c r="E11" s="34" t="s">
        <v>56</v>
      </c>
      <c r="F11" s="34" t="s">
        <v>71</v>
      </c>
      <c r="G11" s="34" t="s">
        <v>72</v>
      </c>
      <c r="H11">
        <v>4722.671511446044</v>
      </c>
      <c r="K11" s="3">
        <v>2040</v>
      </c>
      <c r="L11" s="34">
        <v>4722.671511446044</v>
      </c>
      <c r="M11" s="34">
        <v>2037.3154297155208</v>
      </c>
      <c r="N11" s="34">
        <v>1.1560673724687551</v>
      </c>
      <c r="O11" s="34">
        <v>212.44038968514332</v>
      </c>
      <c r="P11" s="34"/>
      <c r="Q11" s="34">
        <v>6973.5833982191771</v>
      </c>
    </row>
    <row r="12" spans="1:17" x14ac:dyDescent="0.3">
      <c r="A12" s="34" t="s">
        <v>80</v>
      </c>
      <c r="B12">
        <v>-1</v>
      </c>
      <c r="C12">
        <v>2040</v>
      </c>
      <c r="D12" s="34" t="s">
        <v>55</v>
      </c>
      <c r="E12" s="34" t="s">
        <v>56</v>
      </c>
      <c r="F12" s="34" t="s">
        <v>73</v>
      </c>
      <c r="G12" s="34" t="s">
        <v>72</v>
      </c>
      <c r="H12">
        <v>2037.3154297155208</v>
      </c>
      <c r="K12" s="3">
        <v>2050</v>
      </c>
      <c r="L12" s="34">
        <v>7125.223207903121</v>
      </c>
      <c r="M12" s="34">
        <v>2449.9968018129712</v>
      </c>
      <c r="N12" s="34">
        <v>-240.35883725928173</v>
      </c>
      <c r="O12" s="34">
        <v>365.87840507155556</v>
      </c>
      <c r="P12" s="34">
        <v>28.05220233410418</v>
      </c>
      <c r="Q12" s="34">
        <v>9728.7917798624694</v>
      </c>
    </row>
    <row r="13" spans="1:17" x14ac:dyDescent="0.3">
      <c r="A13" s="34" t="s">
        <v>80</v>
      </c>
      <c r="B13">
        <v>-1</v>
      </c>
      <c r="C13">
        <v>2040</v>
      </c>
      <c r="D13" s="34" t="s">
        <v>55</v>
      </c>
      <c r="E13" s="34" t="s">
        <v>56</v>
      </c>
      <c r="F13" s="34" t="s">
        <v>74</v>
      </c>
      <c r="G13" s="34" t="s">
        <v>72</v>
      </c>
      <c r="H13">
        <v>212.44038968514332</v>
      </c>
      <c r="K13" s="2" t="s">
        <v>83</v>
      </c>
      <c r="L13" s="34">
        <v>12193.811949170609</v>
      </c>
      <c r="M13" s="34">
        <v>6974.1507118442678</v>
      </c>
      <c r="N13" s="34">
        <v>-201.9354244754939</v>
      </c>
      <c r="O13" s="34">
        <v>787.05830435643088</v>
      </c>
      <c r="P13" s="34">
        <v>141.02371282363174</v>
      </c>
      <c r="Q13" s="34">
        <v>19894.109253719445</v>
      </c>
    </row>
    <row r="14" spans="1:17" x14ac:dyDescent="0.3">
      <c r="A14" s="34" t="s">
        <v>80</v>
      </c>
      <c r="B14">
        <v>-1</v>
      </c>
      <c r="C14">
        <v>2040</v>
      </c>
      <c r="D14" s="34" t="s">
        <v>55</v>
      </c>
      <c r="E14" s="34" t="s">
        <v>56</v>
      </c>
      <c r="F14" s="34" t="s">
        <v>75</v>
      </c>
      <c r="G14" s="34" t="s">
        <v>72</v>
      </c>
      <c r="H14">
        <v>1.1560673724687551</v>
      </c>
      <c r="K14" s="3">
        <v>2020</v>
      </c>
      <c r="L14" s="34">
        <v>53.451088374092045</v>
      </c>
      <c r="M14" s="34">
        <v>1154.3842153816881</v>
      </c>
      <c r="N14" s="34">
        <v>4.7588194444042076</v>
      </c>
      <c r="O14" s="34">
        <v>125.44257334363498</v>
      </c>
      <c r="P14" s="34">
        <v>-5.4230860707075413E-14</v>
      </c>
      <c r="Q14" s="34">
        <v>1338.0366965438193</v>
      </c>
    </row>
    <row r="15" spans="1:17" x14ac:dyDescent="0.3">
      <c r="A15" s="34" t="s">
        <v>80</v>
      </c>
      <c r="B15">
        <v>-1</v>
      </c>
      <c r="C15">
        <v>2050</v>
      </c>
      <c r="D15" s="34" t="s">
        <v>55</v>
      </c>
      <c r="E15" s="34" t="s">
        <v>56</v>
      </c>
      <c r="F15" s="34" t="s">
        <v>71</v>
      </c>
      <c r="G15" s="34" t="s">
        <v>72</v>
      </c>
      <c r="H15">
        <v>7125.223207903121</v>
      </c>
      <c r="K15" s="3">
        <v>2030</v>
      </c>
      <c r="L15" s="34">
        <v>1016.1466376274921</v>
      </c>
      <c r="M15" s="34">
        <v>1543.1119640236752</v>
      </c>
      <c r="N15" s="34">
        <v>3.3914269962622736</v>
      </c>
      <c r="O15" s="34">
        <v>143.6563315292762</v>
      </c>
      <c r="P15" s="34">
        <v>-5.4198314310997374E-14</v>
      </c>
      <c r="Q15" s="34">
        <v>2706.3063601767058</v>
      </c>
    </row>
    <row r="16" spans="1:17" x14ac:dyDescent="0.3">
      <c r="A16" s="34" t="s">
        <v>80</v>
      </c>
      <c r="B16">
        <v>-1</v>
      </c>
      <c r="C16">
        <v>2050</v>
      </c>
      <c r="D16" s="34" t="s">
        <v>55</v>
      </c>
      <c r="E16" s="34" t="s">
        <v>56</v>
      </c>
      <c r="F16" s="34" t="s">
        <v>73</v>
      </c>
      <c r="G16" s="34" t="s">
        <v>72</v>
      </c>
      <c r="H16">
        <v>2449.9968018129712</v>
      </c>
      <c r="K16" s="3">
        <v>2040</v>
      </c>
      <c r="L16" s="34">
        <v>4409.1372352103017</v>
      </c>
      <c r="M16" s="34">
        <v>1976.0287575414543</v>
      </c>
      <c r="N16" s="34">
        <v>17.659205557267502</v>
      </c>
      <c r="O16" s="34">
        <v>196.36664941960234</v>
      </c>
      <c r="P16" s="34">
        <v>55.664050150952072</v>
      </c>
      <c r="Q16" s="34">
        <v>6654.8558978795772</v>
      </c>
    </row>
    <row r="17" spans="1:17" x14ac:dyDescent="0.3">
      <c r="A17" s="34" t="s">
        <v>80</v>
      </c>
      <c r="B17">
        <v>-1</v>
      </c>
      <c r="C17">
        <v>2050</v>
      </c>
      <c r="D17" s="34" t="s">
        <v>55</v>
      </c>
      <c r="E17" s="34" t="s">
        <v>56</v>
      </c>
      <c r="F17" s="34" t="s">
        <v>74</v>
      </c>
      <c r="G17" s="34" t="s">
        <v>72</v>
      </c>
      <c r="H17">
        <v>365.87840507155556</v>
      </c>
      <c r="K17" s="3">
        <v>2050</v>
      </c>
      <c r="L17" s="34">
        <v>6715.0769879587233</v>
      </c>
      <c r="M17" s="34">
        <v>2300.6257748974504</v>
      </c>
      <c r="N17" s="34">
        <v>-227.74487647342789</v>
      </c>
      <c r="O17" s="34">
        <v>321.59275006391744</v>
      </c>
      <c r="P17" s="34">
        <v>85.359662672679789</v>
      </c>
      <c r="Q17" s="34">
        <v>9194.9102991193431</v>
      </c>
    </row>
    <row r="18" spans="1:17" x14ac:dyDescent="0.3">
      <c r="A18" s="34" t="s">
        <v>80</v>
      </c>
      <c r="B18">
        <v>-1</v>
      </c>
      <c r="C18">
        <v>2050</v>
      </c>
      <c r="D18" s="34" t="s">
        <v>55</v>
      </c>
      <c r="E18" s="34" t="s">
        <v>56</v>
      </c>
      <c r="F18" s="34" t="s">
        <v>75</v>
      </c>
      <c r="G18" s="34" t="s">
        <v>72</v>
      </c>
      <c r="H18">
        <v>-240.35883725928173</v>
      </c>
      <c r="K18" s="2" t="s">
        <v>34</v>
      </c>
      <c r="L18" s="34">
        <v>25160.524682875948</v>
      </c>
      <c r="M18" s="34">
        <v>14169.714254524173</v>
      </c>
      <c r="N18" s="34">
        <v>-432.98577946745473</v>
      </c>
      <c r="O18" s="34">
        <v>1636.6693270486655</v>
      </c>
      <c r="P18" s="34">
        <v>169.07591515773589</v>
      </c>
      <c r="Q18" s="34">
        <v>40702.998400139069</v>
      </c>
    </row>
    <row r="19" spans="1:17" x14ac:dyDescent="0.3">
      <c r="A19" s="34" t="s">
        <v>80</v>
      </c>
      <c r="B19">
        <v>-1</v>
      </c>
      <c r="C19">
        <v>2050</v>
      </c>
      <c r="D19" s="34" t="s">
        <v>55</v>
      </c>
      <c r="E19" s="34" t="s">
        <v>56</v>
      </c>
      <c r="F19" s="34" t="s">
        <v>76</v>
      </c>
      <c r="G19" s="34" t="s">
        <v>72</v>
      </c>
      <c r="H19">
        <v>28.05220233410418</v>
      </c>
    </row>
    <row r="20" spans="1:17" x14ac:dyDescent="0.3">
      <c r="A20" s="34" t="s">
        <v>83</v>
      </c>
      <c r="B20">
        <v>-1</v>
      </c>
      <c r="C20">
        <v>2020</v>
      </c>
      <c r="D20" s="34" t="s">
        <v>55</v>
      </c>
      <c r="E20" s="34" t="s">
        <v>56</v>
      </c>
      <c r="F20" s="34" t="s">
        <v>71</v>
      </c>
      <c r="G20" s="34" t="s">
        <v>72</v>
      </c>
      <c r="H20">
        <v>53.451088374092045</v>
      </c>
    </row>
    <row r="21" spans="1:17" x14ac:dyDescent="0.3">
      <c r="A21" s="34" t="s">
        <v>83</v>
      </c>
      <c r="B21">
        <v>-1</v>
      </c>
      <c r="C21">
        <v>2020</v>
      </c>
      <c r="D21" s="34" t="s">
        <v>55</v>
      </c>
      <c r="E21" s="34" t="s">
        <v>56</v>
      </c>
      <c r="F21" s="34" t="s">
        <v>73</v>
      </c>
      <c r="G21" s="34" t="s">
        <v>72</v>
      </c>
      <c r="H21">
        <v>1154.3842153816881</v>
      </c>
    </row>
    <row r="22" spans="1:17" x14ac:dyDescent="0.3">
      <c r="A22" s="34" t="s">
        <v>83</v>
      </c>
      <c r="B22">
        <v>-1</v>
      </c>
      <c r="C22">
        <v>2020</v>
      </c>
      <c r="D22" s="34" t="s">
        <v>55</v>
      </c>
      <c r="E22" s="34" t="s">
        <v>56</v>
      </c>
      <c r="F22" s="34" t="s">
        <v>74</v>
      </c>
      <c r="G22" s="34" t="s">
        <v>72</v>
      </c>
      <c r="H22">
        <v>125.44257334363498</v>
      </c>
    </row>
    <row r="23" spans="1:17" x14ac:dyDescent="0.3">
      <c r="A23" s="34" t="s">
        <v>83</v>
      </c>
      <c r="B23">
        <v>-1</v>
      </c>
      <c r="C23">
        <v>2020</v>
      </c>
      <c r="D23" s="34" t="s">
        <v>55</v>
      </c>
      <c r="E23" s="34" t="s">
        <v>56</v>
      </c>
      <c r="F23" s="34" t="s">
        <v>75</v>
      </c>
      <c r="G23" s="34" t="s">
        <v>72</v>
      </c>
      <c r="H23">
        <v>4.7588194444042076</v>
      </c>
    </row>
    <row r="24" spans="1:17" x14ac:dyDescent="0.3">
      <c r="A24" s="34" t="s">
        <v>83</v>
      </c>
      <c r="B24">
        <v>-1</v>
      </c>
      <c r="C24">
        <v>2020</v>
      </c>
      <c r="D24" s="34" t="s">
        <v>55</v>
      </c>
      <c r="E24" s="34" t="s">
        <v>56</v>
      </c>
      <c r="F24" s="34" t="s">
        <v>76</v>
      </c>
      <c r="G24" s="34" t="s">
        <v>72</v>
      </c>
      <c r="H24">
        <v>-5.4230860707075413E-14</v>
      </c>
    </row>
    <row r="25" spans="1:17" x14ac:dyDescent="0.3">
      <c r="A25" s="34" t="s">
        <v>83</v>
      </c>
      <c r="B25">
        <v>-1</v>
      </c>
      <c r="C25">
        <v>2030</v>
      </c>
      <c r="D25" s="34" t="s">
        <v>55</v>
      </c>
      <c r="E25" s="34" t="s">
        <v>56</v>
      </c>
      <c r="F25" s="34" t="s">
        <v>71</v>
      </c>
      <c r="G25" s="34" t="s">
        <v>72</v>
      </c>
      <c r="H25">
        <v>1016.1466376274921</v>
      </c>
    </row>
    <row r="26" spans="1:17" x14ac:dyDescent="0.3">
      <c r="A26" s="34" t="s">
        <v>83</v>
      </c>
      <c r="B26">
        <v>-1</v>
      </c>
      <c r="C26">
        <v>2030</v>
      </c>
      <c r="D26" s="34" t="s">
        <v>55</v>
      </c>
      <c r="E26" s="34" t="s">
        <v>56</v>
      </c>
      <c r="F26" s="34" t="s">
        <v>73</v>
      </c>
      <c r="G26" s="34" t="s">
        <v>72</v>
      </c>
      <c r="H26">
        <v>1543.1119640236752</v>
      </c>
    </row>
    <row r="27" spans="1:17" x14ac:dyDescent="0.3">
      <c r="A27" s="34" t="s">
        <v>83</v>
      </c>
      <c r="B27">
        <v>-1</v>
      </c>
      <c r="C27">
        <v>2030</v>
      </c>
      <c r="D27" s="34" t="s">
        <v>55</v>
      </c>
      <c r="E27" s="34" t="s">
        <v>56</v>
      </c>
      <c r="F27" s="34" t="s">
        <v>74</v>
      </c>
      <c r="G27" s="34" t="s">
        <v>72</v>
      </c>
      <c r="H27">
        <v>143.6563315292762</v>
      </c>
    </row>
    <row r="28" spans="1:17" x14ac:dyDescent="0.3">
      <c r="A28" s="34" t="s">
        <v>83</v>
      </c>
      <c r="B28">
        <v>-1</v>
      </c>
      <c r="C28">
        <v>2030</v>
      </c>
      <c r="D28" s="34" t="s">
        <v>55</v>
      </c>
      <c r="E28" s="34" t="s">
        <v>56</v>
      </c>
      <c r="F28" s="34" t="s">
        <v>75</v>
      </c>
      <c r="G28" s="34" t="s">
        <v>72</v>
      </c>
      <c r="H28">
        <v>3.3914269962622736</v>
      </c>
    </row>
    <row r="29" spans="1:17" x14ac:dyDescent="0.3">
      <c r="A29" s="34" t="s">
        <v>83</v>
      </c>
      <c r="B29">
        <v>-1</v>
      </c>
      <c r="C29">
        <v>2030</v>
      </c>
      <c r="D29" s="34" t="s">
        <v>55</v>
      </c>
      <c r="E29" s="34" t="s">
        <v>56</v>
      </c>
      <c r="F29" s="34" t="s">
        <v>76</v>
      </c>
      <c r="G29" s="34" t="s">
        <v>72</v>
      </c>
      <c r="H29">
        <v>-5.4198314310997374E-14</v>
      </c>
    </row>
    <row r="30" spans="1:17" x14ac:dyDescent="0.3">
      <c r="A30" s="34" t="s">
        <v>83</v>
      </c>
      <c r="B30">
        <v>-1</v>
      </c>
      <c r="C30">
        <v>2040</v>
      </c>
      <c r="D30" s="34" t="s">
        <v>55</v>
      </c>
      <c r="E30" s="34" t="s">
        <v>56</v>
      </c>
      <c r="F30" s="34" t="s">
        <v>71</v>
      </c>
      <c r="G30" s="34" t="s">
        <v>72</v>
      </c>
      <c r="H30">
        <v>4409.1372352103017</v>
      </c>
    </row>
    <row r="31" spans="1:17" x14ac:dyDescent="0.3">
      <c r="A31" s="34" t="s">
        <v>83</v>
      </c>
      <c r="B31">
        <v>-1</v>
      </c>
      <c r="C31">
        <v>2040</v>
      </c>
      <c r="D31" s="34" t="s">
        <v>55</v>
      </c>
      <c r="E31" s="34" t="s">
        <v>56</v>
      </c>
      <c r="F31" s="34" t="s">
        <v>73</v>
      </c>
      <c r="G31" s="34" t="s">
        <v>72</v>
      </c>
      <c r="H31">
        <v>1976.0287575414543</v>
      </c>
    </row>
    <row r="32" spans="1:17" x14ac:dyDescent="0.3">
      <c r="A32" s="34" t="s">
        <v>83</v>
      </c>
      <c r="B32">
        <v>-1</v>
      </c>
      <c r="C32">
        <v>2040</v>
      </c>
      <c r="D32" s="34" t="s">
        <v>55</v>
      </c>
      <c r="E32" s="34" t="s">
        <v>56</v>
      </c>
      <c r="F32" s="34" t="s">
        <v>74</v>
      </c>
      <c r="G32" s="34" t="s">
        <v>72</v>
      </c>
      <c r="H32">
        <v>196.36664941960234</v>
      </c>
    </row>
    <row r="33" spans="1:8" x14ac:dyDescent="0.3">
      <c r="A33" s="34" t="s">
        <v>83</v>
      </c>
      <c r="B33">
        <v>-1</v>
      </c>
      <c r="C33">
        <v>2040</v>
      </c>
      <c r="D33" s="34" t="s">
        <v>55</v>
      </c>
      <c r="E33" s="34" t="s">
        <v>56</v>
      </c>
      <c r="F33" s="34" t="s">
        <v>75</v>
      </c>
      <c r="G33" s="34" t="s">
        <v>72</v>
      </c>
      <c r="H33">
        <v>17.659205557267502</v>
      </c>
    </row>
    <row r="34" spans="1:8" x14ac:dyDescent="0.3">
      <c r="A34" s="34" t="s">
        <v>83</v>
      </c>
      <c r="B34">
        <v>-1</v>
      </c>
      <c r="C34">
        <v>2040</v>
      </c>
      <c r="D34" s="34" t="s">
        <v>55</v>
      </c>
      <c r="E34" s="34" t="s">
        <v>56</v>
      </c>
      <c r="F34" s="34" t="s">
        <v>76</v>
      </c>
      <c r="G34" s="34" t="s">
        <v>72</v>
      </c>
      <c r="H34">
        <v>55.664050150952072</v>
      </c>
    </row>
    <row r="35" spans="1:8" x14ac:dyDescent="0.3">
      <c r="A35" s="34" t="s">
        <v>83</v>
      </c>
      <c r="B35">
        <v>-1</v>
      </c>
      <c r="C35">
        <v>2050</v>
      </c>
      <c r="D35" s="34" t="s">
        <v>55</v>
      </c>
      <c r="E35" s="34" t="s">
        <v>56</v>
      </c>
      <c r="F35" s="34" t="s">
        <v>71</v>
      </c>
      <c r="G35" s="34" t="s">
        <v>72</v>
      </c>
      <c r="H35">
        <v>6715.0769879587233</v>
      </c>
    </row>
    <row r="36" spans="1:8" x14ac:dyDescent="0.3">
      <c r="A36" s="34" t="s">
        <v>83</v>
      </c>
      <c r="B36">
        <v>-1</v>
      </c>
      <c r="C36">
        <v>2050</v>
      </c>
      <c r="D36" s="34" t="s">
        <v>55</v>
      </c>
      <c r="E36" s="34" t="s">
        <v>56</v>
      </c>
      <c r="F36" s="34" t="s">
        <v>73</v>
      </c>
      <c r="G36" s="34" t="s">
        <v>72</v>
      </c>
      <c r="H36">
        <v>2300.6257748974504</v>
      </c>
    </row>
    <row r="37" spans="1:8" x14ac:dyDescent="0.3">
      <c r="A37" s="34" t="s">
        <v>83</v>
      </c>
      <c r="B37">
        <v>-1</v>
      </c>
      <c r="C37">
        <v>2050</v>
      </c>
      <c r="D37" s="34" t="s">
        <v>55</v>
      </c>
      <c r="E37" s="34" t="s">
        <v>56</v>
      </c>
      <c r="F37" s="34" t="s">
        <v>74</v>
      </c>
      <c r="G37" s="34" t="s">
        <v>72</v>
      </c>
      <c r="H37">
        <v>321.59275006391744</v>
      </c>
    </row>
    <row r="38" spans="1:8" x14ac:dyDescent="0.3">
      <c r="A38" s="34" t="s">
        <v>83</v>
      </c>
      <c r="B38">
        <v>-1</v>
      </c>
      <c r="C38">
        <v>2050</v>
      </c>
      <c r="D38" s="34" t="s">
        <v>55</v>
      </c>
      <c r="E38" s="34" t="s">
        <v>56</v>
      </c>
      <c r="F38" s="34" t="s">
        <v>75</v>
      </c>
      <c r="G38" s="34" t="s">
        <v>72</v>
      </c>
      <c r="H38">
        <v>-227.74487647342789</v>
      </c>
    </row>
    <row r="39" spans="1:8" x14ac:dyDescent="0.3">
      <c r="A39" s="34" t="s">
        <v>83</v>
      </c>
      <c r="B39">
        <v>-1</v>
      </c>
      <c r="C39">
        <v>2050</v>
      </c>
      <c r="D39" s="34" t="s">
        <v>55</v>
      </c>
      <c r="E39" s="34" t="s">
        <v>56</v>
      </c>
      <c r="F39" s="34" t="s">
        <v>76</v>
      </c>
      <c r="G39" s="34" t="s">
        <v>72</v>
      </c>
      <c r="H39">
        <v>85.359662672679789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25"/>
  <sheetViews>
    <sheetView workbookViewId="0">
      <selection activeCell="K6" sqref="K6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8.77734375" bestFit="1" customWidth="1"/>
    <col min="7" max="7" width="14.6640625" bestFit="1" customWidth="1"/>
    <col min="8" max="8" width="12" bestFit="1" customWidth="1"/>
    <col min="9" max="9" width="9.33203125" bestFit="1" customWidth="1"/>
    <col min="10" max="10" width="15.44140625" bestFit="1" customWidth="1"/>
    <col min="11" max="12" width="14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144</v>
      </c>
      <c r="G1" t="s">
        <v>10</v>
      </c>
      <c r="H1" t="s">
        <v>0</v>
      </c>
    </row>
    <row r="2" spans="1:12" x14ac:dyDescent="0.3">
      <c r="A2" s="34" t="s">
        <v>80</v>
      </c>
      <c r="B2">
        <v>-1</v>
      </c>
      <c r="C2">
        <v>2020</v>
      </c>
      <c r="D2" s="34" t="s">
        <v>55</v>
      </c>
      <c r="E2" s="34" t="s">
        <v>56</v>
      </c>
      <c r="F2" s="34" t="s">
        <v>142</v>
      </c>
      <c r="G2" s="34" t="s">
        <v>143</v>
      </c>
      <c r="H2">
        <v>10.788603765978005</v>
      </c>
    </row>
    <row r="3" spans="1:12" x14ac:dyDescent="0.3">
      <c r="A3" s="34" t="s">
        <v>80</v>
      </c>
      <c r="B3">
        <v>-1</v>
      </c>
      <c r="C3">
        <v>2030</v>
      </c>
      <c r="D3" s="34" t="s">
        <v>55</v>
      </c>
      <c r="E3" s="34" t="s">
        <v>56</v>
      </c>
      <c r="F3" s="34" t="s">
        <v>142</v>
      </c>
      <c r="G3" s="34" t="s">
        <v>143</v>
      </c>
      <c r="H3">
        <v>26.704225986468138</v>
      </c>
    </row>
    <row r="4" spans="1:12" x14ac:dyDescent="0.3">
      <c r="A4" s="34" t="s">
        <v>80</v>
      </c>
      <c r="B4">
        <v>-1</v>
      </c>
      <c r="C4">
        <v>2040</v>
      </c>
      <c r="D4" s="34" t="s">
        <v>55</v>
      </c>
      <c r="E4" s="34" t="s">
        <v>56</v>
      </c>
      <c r="F4" s="34" t="s">
        <v>142</v>
      </c>
      <c r="G4" s="34" t="s">
        <v>143</v>
      </c>
      <c r="H4">
        <v>30.641771901178167</v>
      </c>
    </row>
    <row r="5" spans="1:12" x14ac:dyDescent="0.3">
      <c r="A5" s="34" t="s">
        <v>80</v>
      </c>
      <c r="B5">
        <v>-1</v>
      </c>
      <c r="C5">
        <v>2050</v>
      </c>
      <c r="D5" s="34" t="s">
        <v>55</v>
      </c>
      <c r="E5" s="34" t="s">
        <v>56</v>
      </c>
      <c r="F5" s="34" t="s">
        <v>142</v>
      </c>
      <c r="G5" s="34" t="s">
        <v>143</v>
      </c>
      <c r="H5">
        <v>33.528625237013657</v>
      </c>
    </row>
    <row r="6" spans="1:12" x14ac:dyDescent="0.3">
      <c r="A6" s="34" t="s">
        <v>83</v>
      </c>
      <c r="B6">
        <v>-1</v>
      </c>
      <c r="C6">
        <v>2020</v>
      </c>
      <c r="D6" s="34" t="s">
        <v>55</v>
      </c>
      <c r="E6" s="34" t="s">
        <v>56</v>
      </c>
      <c r="F6" s="34" t="s">
        <v>142</v>
      </c>
      <c r="G6" s="34" t="s">
        <v>143</v>
      </c>
      <c r="H6">
        <v>10.788603765978005</v>
      </c>
      <c r="K6" s="1" t="s">
        <v>33</v>
      </c>
      <c r="L6" t="s">
        <v>154</v>
      </c>
    </row>
    <row r="7" spans="1:12" x14ac:dyDescent="0.3">
      <c r="A7" s="34" t="s">
        <v>83</v>
      </c>
      <c r="B7">
        <v>-1</v>
      </c>
      <c r="C7">
        <v>2030</v>
      </c>
      <c r="D7" s="34" t="s">
        <v>55</v>
      </c>
      <c r="E7" s="34" t="s">
        <v>56</v>
      </c>
      <c r="F7" s="34" t="s">
        <v>142</v>
      </c>
      <c r="G7" s="34" t="s">
        <v>143</v>
      </c>
      <c r="H7">
        <v>26.681148828514747</v>
      </c>
      <c r="K7" s="2" t="s">
        <v>83</v>
      </c>
      <c r="L7" s="34">
        <v>25.895596707392411</v>
      </c>
    </row>
    <row r="8" spans="1:12" x14ac:dyDescent="0.3">
      <c r="A8" s="34" t="s">
        <v>83</v>
      </c>
      <c r="B8">
        <v>-1</v>
      </c>
      <c r="C8">
        <v>2040</v>
      </c>
      <c r="D8" s="34" t="s">
        <v>55</v>
      </c>
      <c r="E8" s="34" t="s">
        <v>56</v>
      </c>
      <c r="F8" s="34" t="s">
        <v>142</v>
      </c>
      <c r="G8" s="34" t="s">
        <v>143</v>
      </c>
      <c r="H8">
        <v>31.955003630102475</v>
      </c>
      <c r="K8" s="3">
        <v>2020</v>
      </c>
      <c r="L8" s="34">
        <v>10.788603765978005</v>
      </c>
    </row>
    <row r="9" spans="1:12" x14ac:dyDescent="0.3">
      <c r="A9" s="34" t="s">
        <v>83</v>
      </c>
      <c r="B9">
        <v>-1</v>
      </c>
      <c r="C9">
        <v>2050</v>
      </c>
      <c r="D9" s="34" t="s">
        <v>55</v>
      </c>
      <c r="E9" s="34" t="s">
        <v>56</v>
      </c>
      <c r="F9" s="34" t="s">
        <v>142</v>
      </c>
      <c r="G9" s="34" t="s">
        <v>143</v>
      </c>
      <c r="H9">
        <v>34.157630604974415</v>
      </c>
      <c r="K9" s="4" t="s">
        <v>56</v>
      </c>
      <c r="L9" s="34">
        <v>10.788603765978005</v>
      </c>
    </row>
    <row r="10" spans="1:12" x14ac:dyDescent="0.3">
      <c r="K10" s="3">
        <v>2030</v>
      </c>
      <c r="L10" s="34">
        <v>26.681148828514747</v>
      </c>
    </row>
    <row r="11" spans="1:12" x14ac:dyDescent="0.3">
      <c r="K11" s="4" t="s">
        <v>56</v>
      </c>
      <c r="L11" s="34">
        <v>26.681148828514747</v>
      </c>
    </row>
    <row r="12" spans="1:12" x14ac:dyDescent="0.3">
      <c r="K12" s="3">
        <v>2040</v>
      </c>
      <c r="L12" s="34">
        <v>31.955003630102475</v>
      </c>
    </row>
    <row r="13" spans="1:12" x14ac:dyDescent="0.3">
      <c r="K13" s="4" t="s">
        <v>56</v>
      </c>
      <c r="L13" s="34">
        <v>31.955003630102475</v>
      </c>
    </row>
    <row r="14" spans="1:12" x14ac:dyDescent="0.3">
      <c r="K14" s="3">
        <v>2050</v>
      </c>
      <c r="L14" s="34">
        <v>34.157630604974415</v>
      </c>
    </row>
    <row r="15" spans="1:12" x14ac:dyDescent="0.3">
      <c r="K15" s="4" t="s">
        <v>56</v>
      </c>
      <c r="L15" s="34">
        <v>34.157630604974415</v>
      </c>
    </row>
    <row r="16" spans="1:12" x14ac:dyDescent="0.3">
      <c r="K16" s="2" t="s">
        <v>80</v>
      </c>
      <c r="L16" s="34">
        <v>25.415806722659493</v>
      </c>
    </row>
    <row r="17" spans="11:12" x14ac:dyDescent="0.3">
      <c r="K17" s="3">
        <v>2020</v>
      </c>
      <c r="L17" s="34">
        <v>10.788603765978005</v>
      </c>
    </row>
    <row r="18" spans="11:12" x14ac:dyDescent="0.3">
      <c r="K18" s="4" t="s">
        <v>56</v>
      </c>
      <c r="L18" s="34">
        <v>10.788603765978005</v>
      </c>
    </row>
    <row r="19" spans="11:12" x14ac:dyDescent="0.3">
      <c r="K19" s="3">
        <v>2030</v>
      </c>
      <c r="L19" s="34">
        <v>26.704225986468138</v>
      </c>
    </row>
    <row r="20" spans="11:12" x14ac:dyDescent="0.3">
      <c r="K20" s="4" t="s">
        <v>56</v>
      </c>
      <c r="L20" s="34">
        <v>26.704225986468138</v>
      </c>
    </row>
    <row r="21" spans="11:12" x14ac:dyDescent="0.3">
      <c r="K21" s="3">
        <v>2040</v>
      </c>
      <c r="L21" s="34">
        <v>30.641771901178167</v>
      </c>
    </row>
    <row r="22" spans="11:12" x14ac:dyDescent="0.3">
      <c r="K22" s="4" t="s">
        <v>56</v>
      </c>
      <c r="L22" s="34">
        <v>30.641771901178167</v>
      </c>
    </row>
    <row r="23" spans="11:12" x14ac:dyDescent="0.3">
      <c r="K23" s="3">
        <v>2050</v>
      </c>
      <c r="L23" s="34">
        <v>33.528625237013657</v>
      </c>
    </row>
    <row r="24" spans="11:12" x14ac:dyDescent="0.3">
      <c r="K24" s="4" t="s">
        <v>56</v>
      </c>
      <c r="L24" s="34">
        <v>33.528625237013657</v>
      </c>
    </row>
    <row r="25" spans="11:12" x14ac:dyDescent="0.3">
      <c r="K25" s="2" t="s">
        <v>34</v>
      </c>
      <c r="L25" s="34">
        <v>25.655701715025955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R15"/>
  <sheetViews>
    <sheetView workbookViewId="0">
      <selection activeCell="P19" sqref="P19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4.88671875" bestFit="1" customWidth="1"/>
    <col min="7" max="7" width="33.21875" bestFit="1" customWidth="1"/>
    <col min="8" max="8" width="7.77734375" bestFit="1" customWidth="1"/>
    <col min="9" max="9" width="16.6640625" bestFit="1" customWidth="1"/>
    <col min="10" max="10" width="6.6640625" bestFit="1" customWidth="1"/>
    <col min="11" max="11" width="12.6640625" bestFit="1" customWidth="1"/>
    <col min="16" max="16" width="14.5546875" bestFit="1" customWidth="1"/>
    <col min="17" max="17" width="15.5546875" bestFit="1" customWidth="1"/>
    <col min="18" max="18" width="12.6640625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18" x14ac:dyDescent="0.3">
      <c r="A2" s="34" t="s">
        <v>80</v>
      </c>
      <c r="B2">
        <v>-1</v>
      </c>
      <c r="C2">
        <v>2020</v>
      </c>
      <c r="D2" s="34" t="s">
        <v>55</v>
      </c>
      <c r="E2" s="34" t="s">
        <v>56</v>
      </c>
      <c r="F2" s="34" t="s">
        <v>57</v>
      </c>
      <c r="G2" s="34" t="s">
        <v>41</v>
      </c>
      <c r="H2" s="34" t="s">
        <v>40</v>
      </c>
      <c r="I2" s="34" t="s">
        <v>42</v>
      </c>
      <c r="J2" s="34" t="s">
        <v>181</v>
      </c>
      <c r="K2">
        <v>-6.9418451711580459E-13</v>
      </c>
    </row>
    <row r="3" spans="1:18" x14ac:dyDescent="0.3">
      <c r="A3" s="34" t="s">
        <v>80</v>
      </c>
      <c r="B3">
        <v>-1</v>
      </c>
      <c r="C3">
        <v>2050</v>
      </c>
      <c r="D3" s="34" t="s">
        <v>55</v>
      </c>
      <c r="E3" s="34" t="s">
        <v>56</v>
      </c>
      <c r="F3" s="34" t="s">
        <v>57</v>
      </c>
      <c r="G3" s="34" t="s">
        <v>41</v>
      </c>
      <c r="H3" s="34" t="s">
        <v>40</v>
      </c>
      <c r="I3" s="34" t="s">
        <v>42</v>
      </c>
      <c r="J3" s="34" t="s">
        <v>181</v>
      </c>
      <c r="K3">
        <v>112.03403623988251</v>
      </c>
      <c r="P3" s="1" t="s">
        <v>35</v>
      </c>
      <c r="Q3" s="1" t="s">
        <v>36</v>
      </c>
    </row>
    <row r="4" spans="1:18" x14ac:dyDescent="0.3">
      <c r="A4" s="34" t="s">
        <v>83</v>
      </c>
      <c r="B4">
        <v>-1</v>
      </c>
      <c r="C4">
        <v>2020</v>
      </c>
      <c r="D4" s="34" t="s">
        <v>55</v>
      </c>
      <c r="E4" s="34" t="s">
        <v>56</v>
      </c>
      <c r="F4" s="34" t="s">
        <v>57</v>
      </c>
      <c r="G4" s="34" t="s">
        <v>41</v>
      </c>
      <c r="H4" s="34" t="s">
        <v>40</v>
      </c>
      <c r="I4" s="34" t="s">
        <v>42</v>
      </c>
      <c r="J4" s="34" t="s">
        <v>181</v>
      </c>
      <c r="K4">
        <v>-6.9418451711580459E-13</v>
      </c>
      <c r="P4" s="1" t="s">
        <v>33</v>
      </c>
      <c r="Q4" t="s">
        <v>56</v>
      </c>
      <c r="R4" t="s">
        <v>34</v>
      </c>
    </row>
    <row r="5" spans="1:18" x14ac:dyDescent="0.3">
      <c r="A5" s="34" t="s">
        <v>83</v>
      </c>
      <c r="B5">
        <v>-1</v>
      </c>
      <c r="C5">
        <v>2030</v>
      </c>
      <c r="D5" s="34" t="s">
        <v>55</v>
      </c>
      <c r="E5" s="34" t="s">
        <v>56</v>
      </c>
      <c r="F5" s="34" t="s">
        <v>57</v>
      </c>
      <c r="G5" s="34" t="s">
        <v>41</v>
      </c>
      <c r="H5" s="34" t="s">
        <v>40</v>
      </c>
      <c r="I5" s="34" t="s">
        <v>42</v>
      </c>
      <c r="J5" s="34" t="s">
        <v>181</v>
      </c>
      <c r="K5">
        <v>-3.865278330875076E-13</v>
      </c>
      <c r="P5" s="2" t="s">
        <v>80</v>
      </c>
      <c r="Q5" s="34">
        <v>112.03403623988181</v>
      </c>
      <c r="R5" s="34">
        <v>112.03403623988181</v>
      </c>
    </row>
    <row r="6" spans="1:18" x14ac:dyDescent="0.3">
      <c r="A6" s="34" t="s">
        <v>83</v>
      </c>
      <c r="B6">
        <v>-1</v>
      </c>
      <c r="C6">
        <v>2040</v>
      </c>
      <c r="D6" s="34" t="s">
        <v>55</v>
      </c>
      <c r="E6" s="34" t="s">
        <v>56</v>
      </c>
      <c r="F6" s="34" t="s">
        <v>57</v>
      </c>
      <c r="G6" s="34" t="s">
        <v>41</v>
      </c>
      <c r="H6" s="34" t="s">
        <v>40</v>
      </c>
      <c r="I6" s="34" t="s">
        <v>42</v>
      </c>
      <c r="J6" s="34" t="s">
        <v>181</v>
      </c>
      <c r="K6">
        <v>271.10902188172827</v>
      </c>
      <c r="P6" s="3">
        <v>-1</v>
      </c>
      <c r="Q6" s="34">
        <v>112.03403623988181</v>
      </c>
      <c r="R6" s="34">
        <v>112.03403623988181</v>
      </c>
    </row>
    <row r="7" spans="1:18" x14ac:dyDescent="0.3">
      <c r="A7" s="34" t="s">
        <v>83</v>
      </c>
      <c r="B7">
        <v>-1</v>
      </c>
      <c r="C7">
        <v>2050</v>
      </c>
      <c r="D7" s="34" t="s">
        <v>55</v>
      </c>
      <c r="E7" s="34" t="s">
        <v>56</v>
      </c>
      <c r="F7" s="34" t="s">
        <v>57</v>
      </c>
      <c r="G7" s="34" t="s">
        <v>41</v>
      </c>
      <c r="H7" s="34" t="s">
        <v>40</v>
      </c>
      <c r="I7" s="34" t="s">
        <v>42</v>
      </c>
      <c r="J7" s="34" t="s">
        <v>181</v>
      </c>
      <c r="K7">
        <v>340.90683602651779</v>
      </c>
      <c r="P7" s="4">
        <v>2020</v>
      </c>
      <c r="Q7" s="34">
        <v>-6.9418451711580459E-13</v>
      </c>
      <c r="R7" s="34">
        <v>-6.9418451711580459E-13</v>
      </c>
    </row>
    <row r="8" spans="1:18" x14ac:dyDescent="0.3">
      <c r="P8" s="4">
        <v>2050</v>
      </c>
      <c r="Q8" s="34">
        <v>112.03403623988251</v>
      </c>
      <c r="R8" s="34">
        <v>112.03403623988251</v>
      </c>
    </row>
    <row r="9" spans="1:18" x14ac:dyDescent="0.3">
      <c r="P9" s="2" t="s">
        <v>83</v>
      </c>
      <c r="Q9" s="34">
        <v>612.01585790824493</v>
      </c>
      <c r="R9" s="34">
        <v>612.01585790824493</v>
      </c>
    </row>
    <row r="10" spans="1:18" x14ac:dyDescent="0.3">
      <c r="P10" s="3">
        <v>-1</v>
      </c>
      <c r="Q10" s="34">
        <v>612.01585790824493</v>
      </c>
      <c r="R10" s="34">
        <v>612.01585790824493</v>
      </c>
    </row>
    <row r="11" spans="1:18" x14ac:dyDescent="0.3">
      <c r="P11" s="4">
        <v>2020</v>
      </c>
      <c r="Q11" s="34">
        <v>-6.9418451711580459E-13</v>
      </c>
      <c r="R11" s="34">
        <v>-6.9418451711580459E-13</v>
      </c>
    </row>
    <row r="12" spans="1:18" x14ac:dyDescent="0.3">
      <c r="P12" s="4">
        <v>2030</v>
      </c>
      <c r="Q12" s="34">
        <v>-3.865278330875076E-13</v>
      </c>
      <c r="R12" s="34">
        <v>-3.865278330875076E-13</v>
      </c>
    </row>
    <row r="13" spans="1:18" x14ac:dyDescent="0.3">
      <c r="P13" s="4">
        <v>2040</v>
      </c>
      <c r="Q13" s="34">
        <v>271.10902188172827</v>
      </c>
      <c r="R13" s="34">
        <v>271.10902188172827</v>
      </c>
    </row>
    <row r="14" spans="1:18" x14ac:dyDescent="0.3">
      <c r="P14" s="4">
        <v>2050</v>
      </c>
      <c r="Q14" s="34">
        <v>340.90683602651779</v>
      </c>
      <c r="R14" s="34">
        <v>340.90683602651779</v>
      </c>
    </row>
    <row r="15" spans="1:18" x14ac:dyDescent="0.3">
      <c r="P15" s="2" t="s">
        <v>34</v>
      </c>
      <c r="Q15" s="34">
        <v>724.04989414812678</v>
      </c>
      <c r="R15" s="34">
        <v>724.04989414812678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A4"/>
  <sheetViews>
    <sheetView workbookViewId="0">
      <selection activeCell="G16" sqref="G16"/>
    </sheetView>
  </sheetViews>
  <sheetFormatPr defaultRowHeight="14.4" x14ac:dyDescent="0.3"/>
  <cols>
    <col min="1" max="1" width="72.44140625" bestFit="1" customWidth="1"/>
  </cols>
  <sheetData>
    <row r="1" spans="1:1" x14ac:dyDescent="0.3">
      <c r="A1" t="s">
        <v>82</v>
      </c>
    </row>
    <row r="2" spans="1:1" x14ac:dyDescent="0.3">
      <c r="A2" t="s">
        <v>162</v>
      </c>
    </row>
    <row r="3" spans="1:1" x14ac:dyDescent="0.3">
      <c r="A3" t="s">
        <v>85</v>
      </c>
    </row>
    <row r="4" spans="1:1" x14ac:dyDescent="0.3">
      <c r="A4" t="s">
        <v>86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B5" sqref="B5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8" t="s">
        <v>81</v>
      </c>
    </row>
    <row r="3" spans="2:2" ht="17.399999999999999" x14ac:dyDescent="0.4">
      <c r="B3" s="18" t="s">
        <v>84</v>
      </c>
    </row>
    <row r="4" spans="2:2" ht="17.399999999999999" x14ac:dyDescent="0.4">
      <c r="B4" s="18" t="s">
        <v>134</v>
      </c>
    </row>
    <row r="5" spans="2:2" x14ac:dyDescent="0.3">
      <c r="B5" t="s">
        <v>82</v>
      </c>
    </row>
    <row r="6" spans="2:2" x14ac:dyDescent="0.3">
      <c r="B6" t="str" cm="1">
        <f t="array" aca="1" ref="B6" ca="1">CELL("filename")</f>
        <v>C:\Users\mberos\gitRepos\balmorel-postprocessing\[InteractiveResults.xlsm]EMI_YCRAG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Guide</vt:lpstr>
      <vt:lpstr>Overview</vt:lpstr>
      <vt:lpstr>G_CAP_YCRAF</vt:lpstr>
      <vt:lpstr>PRO_YCRAGF</vt:lpstr>
      <vt:lpstr>OBJ_YCR</vt:lpstr>
      <vt:lpstr>EL_PRICE_YCR</vt:lpstr>
      <vt:lpstr>EMI_YCRAG</vt:lpstr>
      <vt:lpstr>ExcelPaths</vt:lpstr>
      <vt:lpstr>ExcelPathCommands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2023-12-16T23:43:06Z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