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2.xml" ContentType="application/vnd.openxmlformats-officedocument.spreadsheetml.pivot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pivotTables/pivotTable4.xml" ContentType="application/vnd.openxmlformats-officedocument.spreadsheetml.pivot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pivotTables/pivotTable5.xml" ContentType="application/vnd.openxmlformats-officedocument.spreadsheetml.pivot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pivotTables/pivotTable6.xml" ContentType="application/vnd.openxmlformats-officedocument.spreadsheetml.pivot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eros\gitRepos\balmorel-postprocessing\"/>
    </mc:Choice>
  </mc:AlternateContent>
  <xr:revisionPtr revIDLastSave="0" documentId="13_ncr:1_{9566F49D-E582-4E5F-818A-52AD60721AFC}" xr6:coauthVersionLast="47" xr6:coauthVersionMax="47" xr10:uidLastSave="{00000000-0000-0000-0000-000000000000}"/>
  <bookViews>
    <workbookView xWindow="-28920" yWindow="-120" windowWidth="29040" windowHeight="15840" activeTab="1" xr2:uid="{3486058B-4023-4401-8A1B-C31F251719CF}"/>
  </bookViews>
  <sheets>
    <sheet name="Guide" sheetId="14" r:id="rId1"/>
    <sheet name="Overview" sheetId="1" r:id="rId2"/>
    <sheet name="ExcelPathCommands" sheetId="12" r:id="rId3"/>
    <sheet name="UsefulTables" sheetId="13" r:id="rId4"/>
    <sheet name="G_CAP_YCRAF" sheetId="8" r:id="rId5"/>
    <sheet name="PRO_YCRAGF" sheetId="7" r:id="rId6"/>
    <sheet name="OBJ_YCR" sheetId="11" r:id="rId7"/>
    <sheet name="EL_PRICE_YCR" sheetId="15" r:id="rId8"/>
    <sheet name="EMI_YCRAG" sheetId="16" r:id="rId9"/>
    <sheet name="EL_DEMAND_YCR" sheetId="17" r:id="rId10"/>
  </sheets>
  <functionGroups builtInGroupCount="19"/>
  <definedNames>
    <definedName name="ExternalData_1" localSheetId="9" hidden="1">EL_DEMAND_YCR!$A$1:$H$192</definedName>
    <definedName name="ExternalData_1" localSheetId="7" hidden="1">EL_PRICE_YCR!$A$1:$H$598</definedName>
    <definedName name="ExternalData_1" localSheetId="8" hidden="1">EMI_YCRAG!$A$1:$K$10</definedName>
    <definedName name="ExternalData_1" localSheetId="6" hidden="1">OBJ_YCR!$A$1:$H$357</definedName>
    <definedName name="ExternalData_1" localSheetId="5" hidden="1">PRO_YCRAGF!$A$1:$L$440</definedName>
    <definedName name="ExternalData_1" localSheetId="3" hidden="1">UsefulTables!$A$1:$A$4</definedName>
    <definedName name="ExternalData_2" localSheetId="4" hidden="1">G_CAP_YCRAF!$A$1:$M$1731</definedName>
  </definedNames>
  <calcPr calcId="191029"/>
  <pivotCaches>
    <pivotCache cacheId="52" r:id="rId11"/>
    <pivotCache cacheId="55" r:id="rId12"/>
    <pivotCache cacheId="58" r:id="rId13"/>
    <pivotCache cacheId="61" r:id="rId14"/>
    <pivotCache cacheId="63" r:id="rId15"/>
    <pivotCache cacheId="66" r:id="rId1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12" l="1" a="1"/>
  <c r="B8" i="12" s="1"/>
  <c r="B7" i="12" a="1"/>
  <c r="B7" i="12" s="1"/>
  <c r="B6" i="12" a="1"/>
  <c r="B6" i="1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Mathias Berg Rosendal</author>
  </authors>
  <commentList>
    <comment ref="C3" authorId="0" shapeId="0" xr:uid="{C7D89C65-ADBA-4AF3-B608-5DFD00209A46}">
      <text>
        <r>
          <rPr>
            <sz val="9"/>
            <color indexed="81"/>
            <rFont val="Tahoma"/>
            <charset val="1"/>
          </rPr>
          <t>E.g., for a standard Python environment: C:\Users\username\venv\Scripts\activate
Or, for an Anaconda environment:
conda activate venv</t>
        </r>
      </text>
    </comment>
    <comment ref="C4" authorId="0" shapeId="0" xr:uid="{3BDAB297-7454-4611-A598-79E3BEADBDD1}">
      <text>
        <r>
          <rPr>
            <sz val="9"/>
            <color indexed="81"/>
            <rFont val="Tahoma"/>
            <family val="2"/>
          </rPr>
          <t>The folder to your MainResults_SCName files.</t>
        </r>
      </text>
    </comment>
    <comment ref="C5" authorId="0" shapeId="0" xr:uid="{46F4F106-BAF3-47DC-A456-547AF84FD072}">
      <text>
        <r>
          <rPr>
            <sz val="9"/>
            <color indexed="81"/>
            <rFont val="Tahoma"/>
            <family val="2"/>
          </rPr>
          <t xml:space="preserve">Show (TRUE) the cmd prompt or not (FALSE).
May help debugging if nothing happens when pressing buttons.
</t>
        </r>
      </text>
    </comment>
    <comment ref="I8" authorId="0" shapeId="0" xr:uid="{A6068B3F-F9F6-4E6A-8CBA-F273E222CF36}">
      <text>
        <r>
          <rPr>
            <sz val="9"/>
            <color indexed="81"/>
            <rFont val="Tahoma"/>
            <family val="2"/>
          </rPr>
          <t>Make sure to use a shapefile, where geometries have the exact name of Balmorel regions</t>
        </r>
      </text>
    </comment>
    <comment ref="I9" authorId="0" shapeId="0" xr:uid="{F0C7DB5E-087E-4B3E-9E29-ED56EEFF8E1F}">
      <text>
        <r>
          <rPr>
            <sz val="9"/>
            <color indexed="81"/>
            <rFont val="Tahoma"/>
            <family val="2"/>
          </rPr>
          <t>What is the name of the column in the geofile, that corresponds to the region names in Balmorel?</t>
        </r>
      </text>
    </comment>
    <comment ref="F10" authorId="0" shapeId="0" xr:uid="{E2BD6337-33A5-4D36-A276-A09FB6574EFE}">
      <text>
        <r>
          <rPr>
            <sz val="9"/>
            <color indexed="81"/>
            <rFont val="Tahoma"/>
            <family val="2"/>
          </rPr>
          <t>Type a region, country or 'all' for plotting the balance of the entire system</t>
        </r>
      </text>
    </comment>
    <comment ref="F12" authorId="0" shapeId="0" xr:uid="{4E28D9FB-E398-4374-ADA3-A63F8684FB70}">
      <text>
        <r>
          <rPr>
            <sz val="9"/>
            <color indexed="81"/>
            <rFont val="Tahoma"/>
            <family val="2"/>
          </rPr>
          <t xml:space="preserve">TECH_TYPE: An aggregated technology grouping
G: Grouping on specific technologies (large set!)
FFF: Fuel grouping
RRR: Region grouping
AAA: Area grouping (large set!)
</t>
        </r>
      </text>
    </comment>
    <comment ref="F13" authorId="0" shapeId="0" xr:uid="{A97241E9-7568-4CF8-A4BB-42EA276C98C4}">
      <text>
        <r>
          <rPr>
            <sz val="9"/>
            <color indexed="81"/>
            <rFont val="Tahoma"/>
            <family val="2"/>
          </rPr>
          <t xml:space="preserve">TECH_TYPE: An aggregated technology grouping
G: Grouping on specific technologies (large set!)
FFF: Fuel grouping
RRR: Region grouping
AAA: Area grouping (large set!)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8199A46-E232-4C40-8683-5AB4960DB054}" keepAlive="1" name="Query - EL_DEMAND_YCR" description="Connection to the 'EL_DEMAND_YCR' query in the workbook." type="5" refreshedVersion="8" background="1" saveData="1">
    <dbPr connection="Provider=Microsoft.Mashup.OleDb.1;Data Source=$Workbook$;Location=EL_DEMAND_YCR;Extended Properties=&quot;&quot;" command="SELECT * FROM [EL_DEMAND_YCR]"/>
  </connection>
  <connection id="2" xr16:uid="{0E476D6E-C42B-4CEC-A0F8-61EE233B733F}" keepAlive="1" name="Query - EL_DEMAND_YCR (2)" description="Connection to the 'EL_DEMAND_YCR (2)' query in the workbook." type="5" refreshedVersion="8" background="1" saveData="1">
    <dbPr connection="Provider=Microsoft.Mashup.OleDb.1;Data Source=$Workbook$;Location=&quot;EL_DEMAND_YCR (2)&quot;;Extended Properties=&quot;&quot;" command="SELECT * FROM [EL_DEMAND_YCR (2)]"/>
  </connection>
  <connection id="3" xr16:uid="{22276EF3-D8DD-4C0A-A33F-B715120998F3}" keepAlive="1" name="Query - EL_PRICE_YCR" description="Connection to the 'EL_PRICE_YCR' query in the workbook." type="5" refreshedVersion="8" background="1" saveData="1">
    <dbPr connection="Provider=Microsoft.Mashup.OleDb.1;Data Source=$Workbook$;Location=EL_PRICE_YCR;Extended Properties=&quot;&quot;" command="SELECT * FROM [EL_PRICE_YCR]"/>
  </connection>
  <connection id="4" xr16:uid="{F705F3FC-82CD-42B6-81E1-6FA98491BE5D}" keepAlive="1" name="Query - EL_PRICE_YCR_PC" description="Connection to the 'EL_PRICE_YCR_PC' query in the workbook." type="5" refreshedVersion="8" background="1" saveData="1">
    <dbPr connection="Provider=Microsoft.Mashup.OleDb.1;Data Source=$Workbook$;Location=EL_PRICE_YCR_PC;Extended Properties=&quot;&quot;" command="SELECT * FROM [EL_PRICE_YCR_PC]"/>
  </connection>
  <connection id="5" xr16:uid="{4C90C399-ECF5-4F4A-BF88-550A889A1B07}" keepAlive="1" name="Query - EMI_YCRAG" description="Connection to the 'EMI_YCRAG' query in the workbook." type="5" refreshedVersion="8" background="1" saveData="1">
    <dbPr connection="Provider=Microsoft.Mashup.OleDb.1;Data Source=$Workbook$;Location=EMI_YCRAG;Extended Properties=&quot;&quot;" command="SELECT * FROM [EMI_YCRAG]"/>
  </connection>
  <connection id="6" xr16:uid="{208A7156-177A-4191-90EF-51A3F8C4A4D8}" keepAlive="1" name="Query - EMI_YCRAG_PC" description="Connection to the 'EMI_YCRAG_PC' query in the workbook." type="5" refreshedVersion="8" background="1" saveData="1">
    <dbPr connection="Provider=Microsoft.Mashup.OleDb.1;Data Source=$Workbook$;Location=EMI_YCRAG_PC;Extended Properties=&quot;&quot;" command="SELECT * FROM [EMI_YCRAG_PC]"/>
  </connection>
  <connection id="7" xr16:uid="{D23D1440-0A02-4E62-95E4-055D1D0B762F}" keepAlive="1" name="Query - ExcelPaths" description="Connection to the 'ExcelPaths' query in the workbook." type="5" refreshedVersion="8" background="1" saveData="1">
    <dbPr connection="Provider=Microsoft.Mashup.OleDb.1;Data Source=$Workbook$;Location=ExcelPaths;Extended Properties=&quot;&quot;" command="SELECT * FROM [ExcelPaths]"/>
  </connection>
  <connection id="8" xr16:uid="{B014D8A0-6436-49DF-88A5-450E70219879}" keepAlive="1" name="Query - G_CAP_YCRAF" description="Connection to the 'G_CAP_YCRAF' query in the workbook." type="5" refreshedVersion="8" background="1" saveData="1">
    <dbPr connection="Provider=Microsoft.Mashup.OleDb.1;Data Source=$Workbook$;Location=G_CAP_YCRAF;Extended Properties=&quot;&quot;" command="SELECT * FROM [G_CAP_YCRAF]"/>
  </connection>
  <connection id="9" xr16:uid="{196F4AD6-3610-4906-AD01-246ED67C3C87}" keepAlive="1" name="Query - G_CAP_YCRAF_PC" description="Connection to the 'G_CAP_YCRAF_PC' query in the workbook." type="5" refreshedVersion="8" background="1" saveData="1">
    <dbPr connection="Provider=Microsoft.Mashup.OleDb.1;Data Source=$Workbook$;Location=G_CAP_YCRAF_PC;Extended Properties=&quot;&quot;" command="SELECT * FROM [G_CAP_YCRAF_PC]"/>
  </connection>
  <connection id="10" xr16:uid="{EDF5753B-B5E5-4ED4-9D92-DB13E75B66A4}" keepAlive="1" name="Query - OBJ_YCR" description="Connection to the 'OBJ_YCR' query in the workbook." type="5" refreshedVersion="8" background="1" saveData="1">
    <dbPr connection="Provider=Microsoft.Mashup.OleDb.1;Data Source=$Workbook$;Location=OBJ_YCR;Extended Properties=&quot;&quot;" command="SELECT * FROM [OBJ_YCR]"/>
  </connection>
  <connection id="11" xr16:uid="{742CB156-F5BC-4F25-9784-82ADE45C303C}" keepAlive="1" name="Query - OBJ_YCR_PC" description="Connection to the 'OBJ_YCR_PC' query in the workbook." type="5" refreshedVersion="8" background="1" saveData="1">
    <dbPr connection="Provider=Microsoft.Mashup.OleDb.1;Data Source=$Workbook$;Location=OBJ_YCR_PC;Extended Properties=&quot;&quot;" command="SELECT * FROM [OBJ_YCR_PC]"/>
  </connection>
  <connection id="12" xr16:uid="{E359CDD9-2B94-43C1-8FDF-8AE3B749F337}" keepAlive="1" name="Query - PRO_YCRAGF" description="Connection to the 'PRO_YCRAGF' query in the workbook." type="5" refreshedVersion="8" background="1" saveData="1">
    <dbPr connection="Provider=Microsoft.Mashup.OleDb.1;Data Source=$Workbook$;Location=PRO_YCRAGF;Extended Properties=&quot;&quot;" command="SELECT * FROM [PRO_YCRAGF]"/>
  </connection>
  <connection id="13" xr16:uid="{E573FC1F-DBB0-4FDE-87FF-4292BF74279D}" keepAlive="1" name="Query - PRO_YCRAGF_PC" description="Connection to the 'PRO_YCRAGF_PC' query in the workbook." type="5" refreshedVersion="8" background="1" saveData="1">
    <dbPr connection="Provider=Microsoft.Mashup.OleDb.1;Data Source=$Workbook$;Location=PRO_YCRAGF_PC;Extended Properties=&quot;&quot;" command="SELECT * FROM [PRO_YCRAGF_PC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<sst xmlns="http://schemas.openxmlformats.org/spreadsheetml/2006/main" count="27997" uniqueCount="672">
  <si>
    <t>Value</t>
  </si>
  <si>
    <t>SC</t>
  </si>
  <si>
    <t>Y</t>
  </si>
  <si>
    <t>C</t>
  </si>
  <si>
    <t>R</t>
  </si>
  <si>
    <t>A</t>
  </si>
  <si>
    <t>G</t>
  </si>
  <si>
    <t>F</t>
  </si>
  <si>
    <t>Commodity</t>
  </si>
  <si>
    <t>Tech</t>
  </si>
  <si>
    <t>Unit</t>
  </si>
  <si>
    <t>GNR_ELYS_ELEC_AEC_Y-2020</t>
  </si>
  <si>
    <t>ELECTRIC</t>
  </si>
  <si>
    <t>HYDROGEN</t>
  </si>
  <si>
    <t>ELECTROLYZER</t>
  </si>
  <si>
    <t>TWh</t>
  </si>
  <si>
    <t>GNR_ELYS_ELEC_AEC_Y-2050</t>
  </si>
  <si>
    <t>H2-STORAGE</t>
  </si>
  <si>
    <t>WATER</t>
  </si>
  <si>
    <t>ELECTRICITY</t>
  </si>
  <si>
    <t>GNR_WT_WIND_ONS_RG2</t>
  </si>
  <si>
    <t>WIND</t>
  </si>
  <si>
    <t>WIND-ON</t>
  </si>
  <si>
    <t>SUN</t>
  </si>
  <si>
    <t>SOLAR-PV</t>
  </si>
  <si>
    <t>GNR_ST_MSW_CND_E-25_LS-220-MW-FEED_Y-2050</t>
  </si>
  <si>
    <t>MUNIWASTE</t>
  </si>
  <si>
    <t>CONDENSING</t>
  </si>
  <si>
    <t>GNR_PV_SUN</t>
  </si>
  <si>
    <t>GNR_WT_WIND_ONS_RG1</t>
  </si>
  <si>
    <t>GNR_WT_WIND_ONS_RG3</t>
  </si>
  <si>
    <t>GNR_RES_WTR_NOPMP</t>
  </si>
  <si>
    <t>HYDRO-RESERVOIRS</t>
  </si>
  <si>
    <t>Row Labels</t>
  </si>
  <si>
    <t>Grand Total</t>
  </si>
  <si>
    <t>Sum of Value</t>
  </si>
  <si>
    <t>Column Labels</t>
  </si>
  <si>
    <t>Iteration</t>
  </si>
  <si>
    <t>Iterations denoted -1 are scenarios loaded with no _IterX suffix</t>
  </si>
  <si>
    <t>COAL</t>
  </si>
  <si>
    <t>NATGAS</t>
  </si>
  <si>
    <t>GNR_STEAM-REFORMING_E-70_Y-2020</t>
  </si>
  <si>
    <t>STEAMREFORMING</t>
  </si>
  <si>
    <t>GNR_CC_NGAS_CND_E-56</t>
  </si>
  <si>
    <t>GNR_GEO_HEAT_EO</t>
  </si>
  <si>
    <t>WASTEHEAT</t>
  </si>
  <si>
    <t>EXOGENOUS</t>
  </si>
  <si>
    <t>GW</t>
  </si>
  <si>
    <t>DECOMMISSIONING</t>
  </si>
  <si>
    <t>ENDOGENOUS</t>
  </si>
  <si>
    <t>Var</t>
  </si>
  <si>
    <t>(All)</t>
  </si>
  <si>
    <t>GNR_ST_WOOD_CND_E-50</t>
  </si>
  <si>
    <t>WOOD</t>
  </si>
  <si>
    <t>GNR_ST_COAL_CND_E-33</t>
  </si>
  <si>
    <t>TURKEY</t>
  </si>
  <si>
    <t>TR</t>
  </si>
  <si>
    <t>GNR_H2S_H2-TNKC_Y-2050</t>
  </si>
  <si>
    <t>GENERATION_CAPITAL_COSTS</t>
  </si>
  <si>
    <t>Mmoney</t>
  </si>
  <si>
    <t>GENERATION_FIXED_COSTS</t>
  </si>
  <si>
    <t>GENERATION_OPERATIONAL_COSTS</t>
  </si>
  <si>
    <t>GENERATION_FUEL_COSTS</t>
  </si>
  <si>
    <t>GENERATION_CO2_TAX</t>
  </si>
  <si>
    <t>Check individual sheets, to see corresponding pivot tables to these figures</t>
  </si>
  <si>
    <t>Python env activation cmd</t>
  </si>
  <si>
    <t>These paths should update automatically, if changing folder</t>
  </si>
  <si>
    <t>Paths</t>
  </si>
  <si>
    <t>If the path in B8 has "https" in it, you might need to replace it manually and hit Data -&gt; Refresh All two times…</t>
  </si>
  <si>
    <t>C:\Users\mberos\gitRepos\balmorel-postprocessing\InteractiveResults.xlsm</t>
  </si>
  <si>
    <t>C:\Users\mberos\gitRepos\balmorel-postprocessing</t>
  </si>
  <si>
    <t>1. Installation</t>
  </si>
  <si>
    <t>https://www.python.org/downloads/release/python-3911/</t>
  </si>
  <si>
    <t>Open up a command prompt, cd to the path where you want to place the virtual environment,</t>
  </si>
  <si>
    <r>
      <t>To ensure compatibility, download Python 3.9.11</t>
    </r>
    <r>
      <rPr>
        <vertAlign val="superscript"/>
        <sz val="12"/>
        <color theme="1"/>
        <rFont val="Palatino Linotype"/>
        <family val="1"/>
      </rPr>
      <t>1</t>
    </r>
    <r>
      <rPr>
        <sz val="12"/>
        <color theme="1"/>
        <rFont val="Palatino Linotype"/>
        <family val="1"/>
      </rPr>
      <t xml:space="preserve">, and create a virtual environment. </t>
    </r>
  </si>
  <si>
    <r>
      <rPr>
        <vertAlign val="superscript"/>
        <sz val="12"/>
        <color theme="1"/>
        <rFont val="Palatino Linotype"/>
        <family val="1"/>
      </rPr>
      <t>1</t>
    </r>
    <r>
      <rPr>
        <sz val="12"/>
        <color theme="1"/>
        <rFont val="Palatino Linotype"/>
        <family val="1"/>
      </rPr>
      <t xml:space="preserve">Download link:  </t>
    </r>
  </si>
  <si>
    <t>pip install matplotlib</t>
  </si>
  <si>
    <t>pip install pandas</t>
  </si>
  <si>
    <t>Listing 1: Windows example of how to install and activate the necessary</t>
  </si>
  <si>
    <t>cd folder/to/the/desired/folder</t>
  </si>
  <si>
    <t>py -m venv name_of_venv</t>
  </si>
  <si>
    <t>.\name_of_venv\Scripts\activate</t>
  </si>
  <si>
    <t>Listing 2: Windows example of how to install and activate the necessary</t>
  </si>
  <si>
    <t>conda create -n name_of_venv</t>
  </si>
  <si>
    <t>conda activate</t>
  </si>
  <si>
    <t>The Interactive Excel for Plotting Balmorel Results</t>
  </si>
  <si>
    <t>conda activate name_of_venv</t>
  </si>
  <si>
    <t>cd path/to/the/desired/folder</t>
  </si>
  <si>
    <t>Python environment in a folder called path/to/the/desired/folder.</t>
  </si>
  <si>
    <t>This was tested with Python 3.9.11</t>
  </si>
  <si>
    <t>This was tested with an Anaconda 23.3.1 version and Python 3.9.13.</t>
  </si>
  <si>
    <t>1.1 Python 3.9</t>
  </si>
  <si>
    <t>and follow the commands illustrated in listing 1 (assuming Windows). See listing 2 for the</t>
  </si>
  <si>
    <t>corresponding installation using Python installed through Anaconda</t>
  </si>
  <si>
    <t>1.2 GAMS 37-41 API for Python 3.9</t>
  </si>
  <si>
    <t xml:space="preserve">Finally, it is necessary to install the GAMS Python API. </t>
  </si>
  <si>
    <t>Follow the commands in listing 3.</t>
  </si>
  <si>
    <t>set PYTHONPATH=C:\path\to\gams\apifiles\Python\api_39</t>
  </si>
  <si>
    <t>set PYTHONPATH=C:\path\to\gams\apifiles\Python\gams;%PYTHONPATH%</t>
  </si>
  <si>
    <t>cd C:\path\to\gams\apifiles\Python\api_39</t>
  </si>
  <si>
    <t>Listing 3: Windows example of how to install and activate the GAMS API</t>
  </si>
  <si>
    <t>This was tested with GAMS 37 and GAMS 41.</t>
  </si>
  <si>
    <t>py setup.py install</t>
  </si>
  <si>
    <t xml:space="preserve">Note that the commands above assume the installation in Listing 1. For an Anaconda installation </t>
  </si>
  <si>
    <t>as in Listing 2, replace line 3 and 5 with respectively 1 and 2 below:</t>
  </si>
  <si>
    <t>python setup.py install</t>
  </si>
  <si>
    <t>pip install numpy</t>
  </si>
  <si>
    <t>conda install -n name_of-venv matplotlib</t>
  </si>
  <si>
    <t>conda install -n name_of-venv pandas</t>
  </si>
  <si>
    <t>2. Guide</t>
  </si>
  <si>
    <t>2.1 Paths</t>
  </si>
  <si>
    <t>It is important to check that the paths are correct for the power query data connections to function properly.</t>
  </si>
  <si>
    <t>In the sheet 'ExcelPathCommands', the command in cell B8 should be able to find the location of the file,</t>
  </si>
  <si>
    <t>Otherwise, type the path in manually in B8 (this will remove that command and require you to type the new</t>
  </si>
  <si>
    <t>For the python scripts to function, it is also necessary to manually type in the activation command for the</t>
  </si>
  <si>
    <r>
      <t xml:space="preserve">environment created in section 1.1 (similar to line 3 in listing 1, but with the </t>
    </r>
    <r>
      <rPr>
        <i/>
        <sz val="11"/>
        <color theme="1"/>
        <rFont val="Aptos Narrow"/>
        <family val="2"/>
        <scheme val="minor"/>
      </rPr>
      <t xml:space="preserve">full </t>
    </r>
    <r>
      <rPr>
        <sz val="11"/>
        <color theme="1"/>
        <rFont val="Aptos Narrow"/>
        <family val="2"/>
        <scheme val="minor"/>
      </rPr>
      <t>path)</t>
    </r>
  </si>
  <si>
    <t>To include more results, replicate the power query code of the existing data links which includes</t>
  </si>
  <si>
    <t>1) a data import of the .csv files created by the Python scripts in the Output folder, and</t>
  </si>
  <si>
    <t>The incorrect "https" paths may come from placing this folder in OneDrive synchronised folders</t>
  </si>
  <si>
    <t>path in manually if the location is moved again later). This might be necessary if this file is placed in a OneDrive</t>
  </si>
  <si>
    <t>synchronised folder, which produces errorneous paths. It is therefore recommended to avoid such folders,</t>
  </si>
  <si>
    <t>e.g. in C:\Users\user_name\...</t>
  </si>
  <si>
    <t>however, check that it has in fact succeded. You may need to press 'Data &gt; Refresh All' a couple of times.</t>
  </si>
  <si>
    <t>You can check the coding in 'Data &gt; Queries &amp; Connections' and press, e.g., PRO_YCRAGF.</t>
  </si>
  <si>
    <t>2) a pivot chart and table that is connected to this data import (_PC suffix), following the steps below</t>
  </si>
  <si>
    <t>Step 1: Import data From Text/CSV</t>
  </si>
  <si>
    <t>AVERAGE</t>
  </si>
  <si>
    <t>Money_per_MWh</t>
  </si>
  <si>
    <t>Type</t>
  </si>
  <si>
    <t>which will depend on your system language. In my case, i needed to insert a step after the first applied step (Source)</t>
  </si>
  <si>
    <t>to replace dots with commas. I also needed to delete the automatic "Changed Type" step, and manually change the</t>
  </si>
  <si>
    <t>the electricity price values to decimal numbers, as they were interpreted as whole numbers.</t>
  </si>
  <si>
    <t>Step 2: In the applied step "Source", i change the hardcoded path to the command below:</t>
  </si>
  <si>
    <t>Before:</t>
  </si>
  <si>
    <t>After:</t>
  </si>
  <si>
    <t>Text.Combine({Excel.CurrentWorkbook(){[Name = "ExcelPaths"]}[Content]{2}[Paths], "Output/NAME_OF_SYMBOL.csv"}, "/")</t>
  </si>
  <si>
    <t>E.g., for the electricity price (called EL_PRICE_YCR):</t>
  </si>
  <si>
    <t>Step 3: Format data, e.g. columns and data types. Make sure that the correct decimal is used (e.g. ',' or '.')</t>
  </si>
  <si>
    <t>Average of Value</t>
  </si>
  <si>
    <r>
      <t xml:space="preserve">and afterwards copy paste the pivot </t>
    </r>
    <r>
      <rPr>
        <i/>
        <sz val="11"/>
        <color theme="1"/>
        <rFont val="Aptos Narrow"/>
        <family val="2"/>
        <scheme val="minor"/>
      </rPr>
      <t xml:space="preserve">chart </t>
    </r>
    <r>
      <rPr>
        <sz val="11"/>
        <color theme="1"/>
        <rFont val="Aptos Narrow"/>
        <family val="2"/>
        <scheme val="minor"/>
      </rPr>
      <t>to the "Overview" sheet.</t>
    </r>
  </si>
  <si>
    <t>MainResults.gdx folder</t>
  </si>
  <si>
    <t>It is also necessary to type in the path of your MainResults_ScenarioName.gdx files in Overview, cell C4</t>
  </si>
  <si>
    <t>(Do not move the light blue input cells around, as the VBA code reads these specific input cells!)</t>
  </si>
  <si>
    <t>Input for Charts</t>
  </si>
  <si>
    <t>General Input</t>
  </si>
  <si>
    <t>Scenarios (format: SC1, SC2, …)</t>
  </si>
  <si>
    <t>Iterations (format: i1, i2, …)</t>
  </si>
  <si>
    <t>Symbols (format: S1, S2, …)</t>
  </si>
  <si>
    <t>Scenario</t>
  </si>
  <si>
    <t>Region</t>
  </si>
  <si>
    <t>Year</t>
  </si>
  <si>
    <t>TECH_TYPE</t>
  </si>
  <si>
    <t>Light</t>
  </si>
  <si>
    <t>Input for Profile</t>
  </si>
  <si>
    <t>Outputs</t>
  </si>
  <si>
    <t>No errors</t>
  </si>
  <si>
    <t>The production, capacity, system cost and electricity price results already have a data connection in this excel.</t>
  </si>
  <si>
    <t>kton</t>
  </si>
  <si>
    <t>C:\Users\mberos\gitRepos\balmorel-antares\.BAF-Env\Scripts\activate</t>
  </si>
  <si>
    <t>Debug</t>
  </si>
  <si>
    <t>Debug Table</t>
  </si>
  <si>
    <t>Plot style</t>
  </si>
  <si>
    <t>Dark</t>
  </si>
  <si>
    <t>Legend</t>
  </si>
  <si>
    <t>FFF</t>
  </si>
  <si>
    <t>AAA</t>
  </si>
  <si>
    <t>eur-system-test</t>
  </si>
  <si>
    <t>NORWAY</t>
  </si>
  <si>
    <t>NO1</t>
  </si>
  <si>
    <t>NO1_A1</t>
  </si>
  <si>
    <t>GNR_RES_WTR_NOPMP_MC-01</t>
  </si>
  <si>
    <t>GNR_RES_WTR_NOPMP_MC-02</t>
  </si>
  <si>
    <t>GNR_RES_WTR_NOPMP_MC-03</t>
  </si>
  <si>
    <t>GNR_RES_WTR_NOPMP_MC-04</t>
  </si>
  <si>
    <t>GNR_RES_WTR_NOPMP_MC-05</t>
  </si>
  <si>
    <t>GNR_RES_WTR_NOPMP_MC-06</t>
  </si>
  <si>
    <t>GNR_RES_WTR_NOPMP_MC-07</t>
  </si>
  <si>
    <t>GNR_RES_WTR_NOPMP_MC-08</t>
  </si>
  <si>
    <t>GNR_RES_WTR_NOPMP_MC-09</t>
  </si>
  <si>
    <t>GNR_RES_WTR_NOPMP_MC-10</t>
  </si>
  <si>
    <t>GNR_ROR_WTR</t>
  </si>
  <si>
    <t>HYDRO-RUN-OF-RIVER</t>
  </si>
  <si>
    <t>NO1_A2</t>
  </si>
  <si>
    <t>NO2</t>
  </si>
  <si>
    <t>NO2_A1</t>
  </si>
  <si>
    <t>GNR_RES_WTR_PMP_MC-01</t>
  </si>
  <si>
    <t>NO2_A2</t>
  </si>
  <si>
    <t>NO3</t>
  </si>
  <si>
    <t>NO3_A1</t>
  </si>
  <si>
    <t>GNR_GT_NGAS_CND_E-35</t>
  </si>
  <si>
    <t>NO3_A2</t>
  </si>
  <si>
    <t>NO4</t>
  </si>
  <si>
    <t>NO4_A1</t>
  </si>
  <si>
    <t>NO4_A2</t>
  </si>
  <si>
    <t>NO5</t>
  </si>
  <si>
    <t>NO5_A1</t>
  </si>
  <si>
    <t>NO5_A2</t>
  </si>
  <si>
    <t>DENMARK</t>
  </si>
  <si>
    <t>DK1</t>
  </si>
  <si>
    <t>DK1_Large</t>
  </si>
  <si>
    <t>GNR_GT_LIGHTOIL_CND_E-26</t>
  </si>
  <si>
    <t>LIGHTOIL</t>
  </si>
  <si>
    <t>GNR_ST_COAL_EXT_E-42</t>
  </si>
  <si>
    <t>HEAT</t>
  </si>
  <si>
    <t>CHP-EXTRACTION</t>
  </si>
  <si>
    <t>GNR_ST_COAL_EXT_E-43</t>
  </si>
  <si>
    <t>GNR_ST_COAL_EXT_E-47</t>
  </si>
  <si>
    <t>GNR_ST_NGAS_EXT_E-47</t>
  </si>
  <si>
    <t>GNR_BIOGASUPGRADING_E-99_Y-2020</t>
  </si>
  <si>
    <t>BIOGAS</t>
  </si>
  <si>
    <t>BIOMETHANE</t>
  </si>
  <si>
    <t>BIOGASUPGRADING</t>
  </si>
  <si>
    <t>DK1_Rural</t>
  </si>
  <si>
    <t>GNR_ENG_LIGHTOIL_CND_E-33</t>
  </si>
  <si>
    <t>GNR_ENG_LIGHTOIL_CND_E-42</t>
  </si>
  <si>
    <t>GNR_ENG_LIGHTOIL_CND_E-43</t>
  </si>
  <si>
    <t>DK1_Medium</t>
  </si>
  <si>
    <t>GNR_ENG_LIGHTOIL_CND_E-38</t>
  </si>
  <si>
    <t>GNR_ENG_LIGHTOIL_CND_E-39</t>
  </si>
  <si>
    <t>GNR_ENG_LIGHTOIL_CND_E-41</t>
  </si>
  <si>
    <t>DK1_NoDH</t>
  </si>
  <si>
    <t>GNR_ENG_NGAS_CND_E-41</t>
  </si>
  <si>
    <t>GNR_WT_WIND_OFF</t>
  </si>
  <si>
    <t>WIND-OFF</t>
  </si>
  <si>
    <t>DK1_IND-MT-NODH</t>
  </si>
  <si>
    <t>GNR_ENG_BGAS_CND_E-36</t>
  </si>
  <si>
    <t>GNR_ENG_BGAS_CND_E-42</t>
  </si>
  <si>
    <t>GNR_ENG_LIGHTOIL_CND_E-34</t>
  </si>
  <si>
    <t>GNR_ENG_LIGHTOIL_CND_E-36</t>
  </si>
  <si>
    <t>GNR_ENG_NGAS_CND_E-46</t>
  </si>
  <si>
    <t>DK1_IND-MT-DH</t>
  </si>
  <si>
    <t>DK2</t>
  </si>
  <si>
    <t>DK2_Large</t>
  </si>
  <si>
    <t>GNR_ST_WOODPEL_EXT_E-50</t>
  </si>
  <si>
    <t>WOODPELLETS</t>
  </si>
  <si>
    <t>DK2_Rural</t>
  </si>
  <si>
    <t>GNR_ENG_FUELOIL_CND_E-42</t>
  </si>
  <si>
    <t>FUELOIL</t>
  </si>
  <si>
    <t>GNR_ENG_LIGHTOIL_CND_E-37</t>
  </si>
  <si>
    <t>GNR_GT_LIGHTOIL_CND_E-27</t>
  </si>
  <si>
    <t>GNR_ST_FUELOIL_CND_E-32</t>
  </si>
  <si>
    <t>DK2_Medium</t>
  </si>
  <si>
    <t>GNR_ST_COAL_EXT_E-41</t>
  </si>
  <si>
    <t>GNR_ST_LIGHTOIL_CND_E-33</t>
  </si>
  <si>
    <t>DK2_NoDH</t>
  </si>
  <si>
    <t>DK2_IND-MT-NODH</t>
  </si>
  <si>
    <t>GNR_ENG_BGAS_CND_E-32</t>
  </si>
  <si>
    <t>GNR_ENG_BGAS_CND_E-35</t>
  </si>
  <si>
    <t>DK2_IND-MT-DH</t>
  </si>
  <si>
    <t>GNR_ENG_LIGHTOIL_CND_E-40</t>
  </si>
  <si>
    <t>FINLAND</t>
  </si>
  <si>
    <t>FIN</t>
  </si>
  <si>
    <t>GNR_GT_FUELOIL_CND_E-31</t>
  </si>
  <si>
    <t>GNR_ST_NUCL_CND_E-33</t>
  </si>
  <si>
    <t>NUCLEAR</t>
  </si>
  <si>
    <t>GERMANY</t>
  </si>
  <si>
    <t>DE4-E</t>
  </si>
  <si>
    <t>DE4-E_A</t>
  </si>
  <si>
    <t>INTRASEASONAL-ELECT-STORAGE</t>
  </si>
  <si>
    <t>GNR_CC_NGAS_CND_E-51</t>
  </si>
  <si>
    <t>GNR_GT_FUELOIL_CND_E-30</t>
  </si>
  <si>
    <t>GNR_GT_FUELOIL_CND_E-36</t>
  </si>
  <si>
    <t>GNR_ST_BGAS_CND_E-38</t>
  </si>
  <si>
    <t>GNR_ST_BGAS_EXT_E-38</t>
  </si>
  <si>
    <t>GNR_ST_COAL_EXT_E-35</t>
  </si>
  <si>
    <t>GNR_ST_COAL_EXT_E-40</t>
  </si>
  <si>
    <t>GNR_ST_FUELOIL_CND_E-39</t>
  </si>
  <si>
    <t>GNR_ST_LIGN_CND_E-43</t>
  </si>
  <si>
    <t>LIGNITE</t>
  </si>
  <si>
    <t>GNR_ST_LIGN_EXT_E-39</t>
  </si>
  <si>
    <t>GNR_ST_MSW_CND_E-33</t>
  </si>
  <si>
    <t>GNR_ST_NGAS_CND_E-38</t>
  </si>
  <si>
    <t>GNR_ST_NGAS_EXT_E-39</t>
  </si>
  <si>
    <t>DE4-N</t>
  </si>
  <si>
    <t>DE4-N_A</t>
  </si>
  <si>
    <t>GNR_ST_COAL_EXT_E-44</t>
  </si>
  <si>
    <t>GNR_ST_FUELOIL_CND_E-35</t>
  </si>
  <si>
    <t>DE4-S</t>
  </si>
  <si>
    <t>DE4-S_A</t>
  </si>
  <si>
    <t>GNR_CC_FUELOIL_CND_E-38</t>
  </si>
  <si>
    <t>GNR_CC_NGAS_CND_E-43</t>
  </si>
  <si>
    <t>GNR_CC_NGAS_CND_E-57</t>
  </si>
  <si>
    <t>GNR_GT_FUELOIL_CND_E-32</t>
  </si>
  <si>
    <t>GNR_GT_FUELOIL_CND_E-35</t>
  </si>
  <si>
    <t>GNR_GT_NGAS_CND_E-31</t>
  </si>
  <si>
    <t>GNR_ST_COAL_CND_E-38</t>
  </si>
  <si>
    <t>GNR_ST_COAL_CND_E-45</t>
  </si>
  <si>
    <t>GNR_ST_COAL_EXT_E-37</t>
  </si>
  <si>
    <t>GNR_ST_FUELOIL_CND_E-36</t>
  </si>
  <si>
    <t>DE4-W</t>
  </si>
  <si>
    <t>DE4-W_A</t>
  </si>
  <si>
    <t>GNR_CC_NGAS_CND_E-42</t>
  </si>
  <si>
    <t>GNR_GT_NGAS_CND_E-32</t>
  </si>
  <si>
    <t>GNR_GT_NGAS_CND_E-40</t>
  </si>
  <si>
    <t>GNR_ST_BGAS_CND_E-33</t>
  </si>
  <si>
    <t>GNR_ST_COAL_CND_E-37</t>
  </si>
  <si>
    <t>GNR_ST_COAL_EXT_E-36</t>
  </si>
  <si>
    <t>GNR_ST_LIGN_CND_E-32</t>
  </si>
  <si>
    <t>GNR_ST_LIGN_CND_E-41</t>
  </si>
  <si>
    <t>GNR_ST_LIGN_EXT_E-34</t>
  </si>
  <si>
    <t>GNR_ST_LIGN_EXT_E-40</t>
  </si>
  <si>
    <t>GNR_ST_NGAS_CND_E-36</t>
  </si>
  <si>
    <t>GNR_ST_NGAS_CND_E-40</t>
  </si>
  <si>
    <t>GNR_ST_NGAS_EXT_E-36</t>
  </si>
  <si>
    <t>GNR_ST_NGAS_EXT_E-40</t>
  </si>
  <si>
    <t>NETHERLANDS</t>
  </si>
  <si>
    <t>NL</t>
  </si>
  <si>
    <t>GNR_ST_MSW_CND_E-20</t>
  </si>
  <si>
    <t>GNR_CC_NGAS_EXT_E-61</t>
  </si>
  <si>
    <t>SWEDEN</t>
  </si>
  <si>
    <t>SE1</t>
  </si>
  <si>
    <t>SE2</t>
  </si>
  <si>
    <t>SE3</t>
  </si>
  <si>
    <t>SE4</t>
  </si>
  <si>
    <t>UNITED_KINGDOM</t>
  </si>
  <si>
    <t>UK</t>
  </si>
  <si>
    <t>UK_A</t>
  </si>
  <si>
    <t>GNR_CC_NGAS_CND_E-52</t>
  </si>
  <si>
    <t>GNR_CC_NGAS_CND_E-58</t>
  </si>
  <si>
    <t>GNR_ES_WTR_PMP</t>
  </si>
  <si>
    <t>GNR_GT_NGAS_CND_E-33</t>
  </si>
  <si>
    <t>GNR_GT_NGAS_CND_E-41</t>
  </si>
  <si>
    <t>GNR_ST_COAL_CND_E-35</t>
  </si>
  <si>
    <t>GNR_ST_STRW_CND_E-25</t>
  </si>
  <si>
    <t>STRAW</t>
  </si>
  <si>
    <t>GNR_ST_WOODPEL_CND_E-30</t>
  </si>
  <si>
    <t>UK_Offshore</t>
  </si>
  <si>
    <t>UK_IND-MT-NODH</t>
  </si>
  <si>
    <t>ESTONIA</t>
  </si>
  <si>
    <t>EE</t>
  </si>
  <si>
    <t>LATVIA</t>
  </si>
  <si>
    <t>LV</t>
  </si>
  <si>
    <t>LITHUANIA</t>
  </si>
  <si>
    <t>LT</t>
  </si>
  <si>
    <t>GNR_ST_NGAS_EXT_E-24</t>
  </si>
  <si>
    <t>GNR_ST_FUELOIL_EXT_E-22</t>
  </si>
  <si>
    <t>POLAND</t>
  </si>
  <si>
    <t>PL</t>
  </si>
  <si>
    <t>BELGIUM</t>
  </si>
  <si>
    <t>BE</t>
  </si>
  <si>
    <t>FRANCE</t>
  </si>
  <si>
    <t>FR</t>
  </si>
  <si>
    <t>FR_A</t>
  </si>
  <si>
    <t>GNR_GT_NGAS_CND_E-38</t>
  </si>
  <si>
    <t>FR_Offshore</t>
  </si>
  <si>
    <t>FR_IND-MT-DH</t>
  </si>
  <si>
    <t>ITALY</t>
  </si>
  <si>
    <t>IT</t>
  </si>
  <si>
    <t>SWITZERLAND</t>
  </si>
  <si>
    <t>CH</t>
  </si>
  <si>
    <t>AUSTRIA</t>
  </si>
  <si>
    <t>AT</t>
  </si>
  <si>
    <t>CZECH_REPUBLIC</t>
  </si>
  <si>
    <t>CZ</t>
  </si>
  <si>
    <t>SPAIN</t>
  </si>
  <si>
    <t>ES</t>
  </si>
  <si>
    <t>PORTUGAL</t>
  </si>
  <si>
    <t>PT</t>
  </si>
  <si>
    <t>SLOVAKIA</t>
  </si>
  <si>
    <t>SK</t>
  </si>
  <si>
    <t>HUNGARY</t>
  </si>
  <si>
    <t>HU</t>
  </si>
  <si>
    <t>SLOVENIA</t>
  </si>
  <si>
    <t>SI</t>
  </si>
  <si>
    <t>CROATIA</t>
  </si>
  <si>
    <t>HR</t>
  </si>
  <si>
    <t>ROMANIA</t>
  </si>
  <si>
    <t>RO</t>
  </si>
  <si>
    <t>BULGARIA</t>
  </si>
  <si>
    <t>BG</t>
  </si>
  <si>
    <t>GREECE</t>
  </si>
  <si>
    <t>GR</t>
  </si>
  <si>
    <t>GR_A</t>
  </si>
  <si>
    <t>IRELAND</t>
  </si>
  <si>
    <t>IE</t>
  </si>
  <si>
    <t>LUXEMBOURG</t>
  </si>
  <si>
    <t>LU</t>
  </si>
  <si>
    <t>ALBANIA</t>
  </si>
  <si>
    <t>AL</t>
  </si>
  <si>
    <t>MONTENEGRO</t>
  </si>
  <si>
    <t>ME</t>
  </si>
  <si>
    <t>NORTH_MACEDONIA</t>
  </si>
  <si>
    <t>MK</t>
  </si>
  <si>
    <t>BOSNIA_AND_HERZEGOVINA</t>
  </si>
  <si>
    <t>BA</t>
  </si>
  <si>
    <t>SERBIA</t>
  </si>
  <si>
    <t>RS</t>
  </si>
  <si>
    <t>MALTA</t>
  </si>
  <si>
    <t>MT</t>
  </si>
  <si>
    <t>CYPRUS</t>
  </si>
  <si>
    <t>CY</t>
  </si>
  <si>
    <t>FUELCELL</t>
  </si>
  <si>
    <t>GNR_H2S_H2-CAVERN_Y-2050</t>
  </si>
  <si>
    <t>GNR_FC_H2_SOFCC_Y-2050</t>
  </si>
  <si>
    <t>HSPAT</t>
  </si>
  <si>
    <t>NOS</t>
  </si>
  <si>
    <t>DE</t>
  </si>
  <si>
    <t>UK00</t>
  </si>
  <si>
    <t>UKNI</t>
  </si>
  <si>
    <t>FR00</t>
  </si>
  <si>
    <t>FR15</t>
  </si>
  <si>
    <t>ITCA</t>
  </si>
  <si>
    <t>ITCN</t>
  </si>
  <si>
    <t>ITCS</t>
  </si>
  <si>
    <t>ITN1</t>
  </si>
  <si>
    <t>ITS1</t>
  </si>
  <si>
    <t>ITSA</t>
  </si>
  <si>
    <t>ITSI</t>
  </si>
  <si>
    <t>GR00</t>
  </si>
  <si>
    <t>GR03</t>
  </si>
  <si>
    <t>HVRE</t>
  </si>
  <si>
    <t>TRANSMISSION_OPERATIONAL_COSTS</t>
  </si>
  <si>
    <t>TRANSMISSION_CAPITAL_COSTS</t>
  </si>
  <si>
    <t>H2_TRANSMISSION_CAPITAL_COSTS</t>
  </si>
  <si>
    <t>H2_TRANSMISSION_OPERATIONAL_COSTS</t>
  </si>
  <si>
    <t>ITCO</t>
  </si>
  <si>
    <t>RRR</t>
  </si>
  <si>
    <t>Step 4: A pivot chart is made, that is connected to this data. I prefer to insert the pivot table itself in the blue sheets,</t>
  </si>
  <si>
    <t>Step 5: Format the plot as you'd like, and the charts should now update automatically when pressing "Plot Charts"</t>
  </si>
  <si>
    <t>EL_DEMAND_YCR</t>
  </si>
  <si>
    <t>DIST_LOSSES</t>
  </si>
  <si>
    <t>TRANS_LOSSES</t>
  </si>
  <si>
    <t>ENDO_H2</t>
  </si>
  <si>
    <t>ENDO_INTRASTO</t>
  </si>
  <si>
    <t>Annual Production in TWh</t>
  </si>
  <si>
    <t>PRO_YCRAGF</t>
  </si>
  <si>
    <t>C:\Users\mberos\gitRepos\balmorel-postprocessing\[InteractiveResults.xlsm]Overview</t>
  </si>
  <si>
    <t>Annual Capacities in GW</t>
  </si>
  <si>
    <t>G_CAP_YCRAF</t>
  </si>
  <si>
    <t>System Costs in M€</t>
  </si>
  <si>
    <t>OBJ_YCR</t>
  </si>
  <si>
    <t>Electricity Price in €/MWh</t>
  </si>
  <si>
    <t>EL_PRICE_YCR</t>
  </si>
  <si>
    <t>CO2 Emissions in ktCO2</t>
  </si>
  <si>
    <t>EMI_YCRAG</t>
  </si>
  <si>
    <t>Electricity Demand in TWh</t>
  </si>
  <si>
    <t>Input for Map</t>
  </si>
  <si>
    <t>Electricity</t>
  </si>
  <si>
    <t>Geofile</t>
  </si>
  <si>
    <t>Transmission Map</t>
  </si>
  <si>
    <t>Hydrogen</t>
  </si>
  <si>
    <t>id</t>
  </si>
  <si>
    <t>Commodities</t>
  </si>
  <si>
    <t>Name of Region Column</t>
  </si>
  <si>
    <t>FinA</t>
  </si>
  <si>
    <t>GNR_ENG_NGAS_CND_E-44</t>
  </si>
  <si>
    <t>GNR_ST_COAL_CND_E-40</t>
  </si>
  <si>
    <t>GNR_ST_PEAT_CND_E-38</t>
  </si>
  <si>
    <t>PEAT</t>
  </si>
  <si>
    <t>FI_large</t>
  </si>
  <si>
    <t>GNR_HS_HEAT_PIT_L-CEN_E-70</t>
  </si>
  <si>
    <t>INTERSEASONAL-HEAT-STORAGE</t>
  </si>
  <si>
    <t>KELJONLAHTI_ST_PEAT_EXT</t>
  </si>
  <si>
    <t>NA1_IND-ST_COAL_EXT</t>
  </si>
  <si>
    <t>NA2y3_ST_COAL_EXT</t>
  </si>
  <si>
    <t>TOPPILA2_ST_PEAT_EXT</t>
  </si>
  <si>
    <t>FI_large_gas</t>
  </si>
  <si>
    <t>VUOSAARIB_CC_NGAS_EXT</t>
  </si>
  <si>
    <t>FIN_IND-MT-NODH</t>
  </si>
  <si>
    <t>AITTALUOTO_IND-ST_PEAT_EXT</t>
  </si>
  <si>
    <t>ALHOLMEN2_IND-ST_PEAT_EXT</t>
  </si>
  <si>
    <t>ANJALANKOSKI_IND-ST_WOODWST_EXT</t>
  </si>
  <si>
    <t>WOODWASTE</t>
  </si>
  <si>
    <t>NL_A</t>
  </si>
  <si>
    <t>GNR_CC_NGAS_CND_E-47</t>
  </si>
  <si>
    <t>NL_IND-MT-DH</t>
  </si>
  <si>
    <t>SE1A</t>
  </si>
  <si>
    <t>SE1_medium</t>
  </si>
  <si>
    <t>LULEKRAFT_ST_BFG_EXT</t>
  </si>
  <si>
    <t>OTHERGAS</t>
  </si>
  <si>
    <t>SE1_small</t>
  </si>
  <si>
    <t>SE2A</t>
  </si>
  <si>
    <t>SE2_medium</t>
  </si>
  <si>
    <t>SE3A</t>
  </si>
  <si>
    <t>GNR_GT_LIGHTOIL_CND_E-24</t>
  </si>
  <si>
    <t>GNR_ST_FUELOIL_CND_E-33</t>
  </si>
  <si>
    <t>SE3_large</t>
  </si>
  <si>
    <t>AROS3_ST_FUELOIL_EXT</t>
  </si>
  <si>
    <t>AROS6_ST_MSW_EXT</t>
  </si>
  <si>
    <t>AROS7_ST_WOODWST_EXT</t>
  </si>
  <si>
    <t>LINKOPING_ST_COAL_EXT</t>
  </si>
  <si>
    <t>VARTAN1_ST_BIOIL_EXT</t>
  </si>
  <si>
    <t>BIOOIL</t>
  </si>
  <si>
    <t>VARTAN6_ST_COAL_EXT</t>
  </si>
  <si>
    <t>SE3_medium</t>
  </si>
  <si>
    <t>SE4A</t>
  </si>
  <si>
    <t>SE4_large</t>
  </si>
  <si>
    <t>ORESUND_CC_NGAS_EXT</t>
  </si>
  <si>
    <t>EE_Enefit</t>
  </si>
  <si>
    <t>ENEFIT_RETORT_DUMMY</t>
  </si>
  <si>
    <t>DUMMY</t>
  </si>
  <si>
    <t>ENEFIT_ST_RETORT-GAS_CND</t>
  </si>
  <si>
    <t>RETORTGAS</t>
  </si>
  <si>
    <t>EE_Kohtla_Jarve</t>
  </si>
  <si>
    <t>GNR_ENG_NGAS_EXT_E-44</t>
  </si>
  <si>
    <t>GNR_ST_SHALE</t>
  </si>
  <si>
    <t>SHALE</t>
  </si>
  <si>
    <t>VKG_ST_RETORT-GAS_EXT</t>
  </si>
  <si>
    <t>EE_Narva</t>
  </si>
  <si>
    <t>AUVERE_ST_SHALE_CND</t>
  </si>
  <si>
    <t>NARVA-1_ST_SHALE_CND</t>
  </si>
  <si>
    <t>NARVA-11_ST_SHALE_EXT</t>
  </si>
  <si>
    <t>NARVA-12_ST_SHALE_CND</t>
  </si>
  <si>
    <t>NARVA-2_ST_SHALE_CND</t>
  </si>
  <si>
    <t>NARVA-3_ST_SHALE_CND</t>
  </si>
  <si>
    <t>NARVA-4_ST_SHALE_CND</t>
  </si>
  <si>
    <t>NARVA-5_ST_SHALE_CND</t>
  </si>
  <si>
    <t>NARVA-6_ST_SHALE_CND</t>
  </si>
  <si>
    <t>NARVA-7_ST_SHALE_CND</t>
  </si>
  <si>
    <t>NARVA-8_ST_SHALE_CND</t>
  </si>
  <si>
    <t>EE_Parnu</t>
  </si>
  <si>
    <t>EE_Rural</t>
  </si>
  <si>
    <t>EE_Sillamae</t>
  </si>
  <si>
    <t>KIVIOLI_GT_RETORT_GAS</t>
  </si>
  <si>
    <t>EE_Tallinn</t>
  </si>
  <si>
    <t>EE_Urban</t>
  </si>
  <si>
    <t>EE_IND-MT-NODH</t>
  </si>
  <si>
    <t>LV_Other_DH</t>
  </si>
  <si>
    <t>LV_RigaR</t>
  </si>
  <si>
    <t>RIGA-TEC2_CC_NGAS_EXT</t>
  </si>
  <si>
    <t>LT_KauU</t>
  </si>
  <si>
    <t>GNR_ST_NGAS_EXT_E-31</t>
  </si>
  <si>
    <t>LT_Other_DH</t>
  </si>
  <si>
    <t>ACHEMA1_ST_NGAS_EXT</t>
  </si>
  <si>
    <t>ACHEMA2_ST_NGAS_EXT</t>
  </si>
  <si>
    <t>GNR_ENG_BGAS_EXT_E-33</t>
  </si>
  <si>
    <t>GNR_ENG_NGAS_EXT_E-43</t>
  </si>
  <si>
    <t>LT_Panevezys</t>
  </si>
  <si>
    <t>GNR_ST_WOOD_EXT_E-14</t>
  </si>
  <si>
    <t>LT_VilU</t>
  </si>
  <si>
    <t>GNR_ST_NGAS_CON_E-38</t>
  </si>
  <si>
    <t>PL_A</t>
  </si>
  <si>
    <t>ADAM-1_ST_LIGNITE_EXT</t>
  </si>
  <si>
    <t>BELC-1_ST_LIGNITE_EXT</t>
  </si>
  <si>
    <t>BIAL-4_ST_COAL_CND</t>
  </si>
  <si>
    <t>CORZ-3_ST_COAL_EXT</t>
  </si>
  <si>
    <t>CZEC-1_ST_COAL_EXT</t>
  </si>
  <si>
    <t>DOLN-1_ST_COAL_EXT</t>
  </si>
  <si>
    <t>GNR_ST_BGAS_CND_E-37</t>
  </si>
  <si>
    <t>GNR_ST_WOOD_EXT_E-45</t>
  </si>
  <si>
    <t>KARO-1_ST_COAL_EXT</t>
  </si>
  <si>
    <t>KOZI-1_ST_COAL_EXT</t>
  </si>
  <si>
    <t>KRLEG-3_ST_COAL_EXT</t>
  </si>
  <si>
    <t>LAZI-1_ST_COAL_EXT</t>
  </si>
  <si>
    <t>LODZ-3_ST_STRAW_EXT</t>
  </si>
  <si>
    <t>MIEC_ST_COAL_EXT</t>
  </si>
  <si>
    <t>RYBN-1_ST_COAL_EXT</t>
  </si>
  <si>
    <t>SIEK-1_ST_COAL_EXT</t>
  </si>
  <si>
    <t>SIEK-8_ST_COAL_EXT</t>
  </si>
  <si>
    <t>ZABR-1_ST_COAL_EXT</t>
  </si>
  <si>
    <t>ZABR-2_ST_COAL_EXT</t>
  </si>
  <si>
    <t>ZERA-7_ST_COAL_EXT</t>
  </si>
  <si>
    <t>ZERA-8_ST_COAL_EXT</t>
  </si>
  <si>
    <t>PL_Rural</t>
  </si>
  <si>
    <t>ADAM-2_ST_LIGNITE_CON</t>
  </si>
  <si>
    <t>BELC-2_ST_LIGNITE_CON</t>
  </si>
  <si>
    <t>DOLN-2_ST_COAL_CND</t>
  </si>
  <si>
    <t>KOZI-2_ST_COAL_CND</t>
  </si>
  <si>
    <t>LAZI-2_ST_COAL_CND</t>
  </si>
  <si>
    <t>LAZI-6_ST_COAL_CND</t>
  </si>
  <si>
    <t>OPOL-1_ST_COAL_CND</t>
  </si>
  <si>
    <t>OSTRB-1_ST_COAL_CND</t>
  </si>
  <si>
    <t>PATN2-1_ST_LIGNITE_CON</t>
  </si>
  <si>
    <t>POLA-2_ST_COAL_CND</t>
  </si>
  <si>
    <t>RYBN-2_ST_COAL_CND</t>
  </si>
  <si>
    <t>BE_A</t>
  </si>
  <si>
    <t>GNR_ST_FUELOIL_CND_E-30</t>
  </si>
  <si>
    <t>GNR_ST_WOOD_CND_E-37</t>
  </si>
  <si>
    <t>BE_IND-MT-DH</t>
  </si>
  <si>
    <t>CH_A</t>
  </si>
  <si>
    <t>AT_A</t>
  </si>
  <si>
    <t>CZ_A</t>
  </si>
  <si>
    <t>ES_A</t>
  </si>
  <si>
    <t>PT_A</t>
  </si>
  <si>
    <t>SK_A</t>
  </si>
  <si>
    <t>HU_A</t>
  </si>
  <si>
    <t>SI_A</t>
  </si>
  <si>
    <t>HR_A</t>
  </si>
  <si>
    <t>RO_A</t>
  </si>
  <si>
    <t>BG_A</t>
  </si>
  <si>
    <t>IE_A</t>
  </si>
  <si>
    <t>LU_A</t>
  </si>
  <si>
    <t>AL_A</t>
  </si>
  <si>
    <t>ME_A</t>
  </si>
  <si>
    <t>MK_A</t>
  </si>
  <si>
    <t>BA_A</t>
  </si>
  <si>
    <t>RS_A</t>
  </si>
  <si>
    <t>TR_A</t>
  </si>
  <si>
    <t>GNR_WT_WIND_ONS</t>
  </si>
  <si>
    <t>MT_A</t>
  </si>
  <si>
    <t>CY_A</t>
  </si>
  <si>
    <t>GNR_CC_NGAS_CND_E-63_LS-100-MW_Y-2050</t>
  </si>
  <si>
    <t>C:\Users\mberos\gitRepos\balmorel-antares\Balmorel\base\model</t>
  </si>
  <si>
    <t>NOM1_A</t>
  </si>
  <si>
    <t>NON1_A</t>
  </si>
  <si>
    <t>NOS0_A</t>
  </si>
  <si>
    <t>DKW1_A</t>
  </si>
  <si>
    <t>DKE1_A</t>
  </si>
  <si>
    <t>FI00_A</t>
  </si>
  <si>
    <t>DE00_A</t>
  </si>
  <si>
    <t>NL00_A</t>
  </si>
  <si>
    <t>SE01_A</t>
  </si>
  <si>
    <t>SE02_A</t>
  </si>
  <si>
    <t>SE03_A</t>
  </si>
  <si>
    <t>SE04_A</t>
  </si>
  <si>
    <t>UK00_A</t>
  </si>
  <si>
    <t>UKNI_A</t>
  </si>
  <si>
    <t>EE00_A</t>
  </si>
  <si>
    <t>LV00_A</t>
  </si>
  <si>
    <t>LT00_A</t>
  </si>
  <si>
    <t>PL00_A</t>
  </si>
  <si>
    <t>BE00_A</t>
  </si>
  <si>
    <t>FR00_A</t>
  </si>
  <si>
    <t>FR15_A</t>
  </si>
  <si>
    <t>ITCA_A</t>
  </si>
  <si>
    <t>ITCN_A</t>
  </si>
  <si>
    <t>ITCS_A</t>
  </si>
  <si>
    <t>ITN1_A</t>
  </si>
  <si>
    <t>ITS1_A</t>
  </si>
  <si>
    <t>ITSA_A</t>
  </si>
  <si>
    <t>ITSI_A</t>
  </si>
  <si>
    <t>CH00_A</t>
  </si>
  <si>
    <t>AT00_A</t>
  </si>
  <si>
    <t>CZ00_A</t>
  </si>
  <si>
    <t>ES00_A</t>
  </si>
  <si>
    <t>PT00_A</t>
  </si>
  <si>
    <t>SK00_A</t>
  </si>
  <si>
    <t>HU00_A</t>
  </si>
  <si>
    <t>SI00_A</t>
  </si>
  <si>
    <t>HR00_A</t>
  </si>
  <si>
    <t>RO00_A</t>
  </si>
  <si>
    <t>BG00_A</t>
  </si>
  <si>
    <t>GR00_A</t>
  </si>
  <si>
    <t>GR03_A</t>
  </si>
  <si>
    <t>IE00_A</t>
  </si>
  <si>
    <t>LU00_A</t>
  </si>
  <si>
    <t>AL00_A</t>
  </si>
  <si>
    <t>ME00_A</t>
  </si>
  <si>
    <t>MK00_A</t>
  </si>
  <si>
    <t>BA00_A</t>
  </si>
  <si>
    <t>RS00_A</t>
  </si>
  <si>
    <t>TR00_A</t>
  </si>
  <si>
    <t>MT00_A</t>
  </si>
  <si>
    <t>CY00_A</t>
  </si>
  <si>
    <t>GNR_WT_ONS-2050</t>
  </si>
  <si>
    <t>GNR_PV-2050</t>
  </si>
  <si>
    <t>Error message:</t>
  </si>
  <si>
    <t>2.3 Making New Charts</t>
  </si>
  <si>
    <t>2.2 Errors</t>
  </si>
  <si>
    <t>Check the output in cell C21, which should capture (at least some) errors. If no charts appear or are not updated,</t>
  </si>
  <si>
    <t>try to set Debug to "TRUE" in cell C5, which will unhide the command prompt that is used to trigger python scripts,</t>
  </si>
  <si>
    <t>for a more detailed logging</t>
  </si>
  <si>
    <t xml:space="preserve">Are you getting a lot of these errors? </t>
  </si>
  <si>
    <t xml:space="preserve">It probably means that excel is trying to look for data in an empty .csv file in the Output/ folder. Look for empty .csv's, </t>
  </si>
  <si>
    <t xml:space="preserve">and load the related symbol again in some random scenario, to get rid of the error message. (Or delete the connection in </t>
  </si>
  <si>
    <t>Data/Queries &amp; Connections, if you are never going to analyse that symbol)</t>
  </si>
  <si>
    <t>Input/231206 AntBalmMap.geojson</t>
  </si>
  <si>
    <t>Production Profile</t>
  </si>
  <si>
    <t>pip install geopandas</t>
  </si>
  <si>
    <t>pip install cartopy</t>
  </si>
  <si>
    <t>conda install -n name_of-venv geopandas</t>
  </si>
  <si>
    <t>conda install -n name_of-venv cartopy</t>
  </si>
  <si>
    <t>%scenario_name%</t>
  </si>
  <si>
    <t>Input/2022 BalmorelMap.geojson</t>
  </si>
  <si>
    <t>(Multiple Items)</t>
  </si>
  <si>
    <t>Variable Type</t>
  </si>
  <si>
    <t>Variable Types</t>
  </si>
  <si>
    <t>Exogenous</t>
  </si>
  <si>
    <t>Endogenous</t>
  </si>
  <si>
    <t>Both</t>
  </si>
  <si>
    <t>PRO_YCRAGF, G_CAP_YCRAF, OBJ_YCR, EL_DEMAND_YCR, EMI_YCRAG</t>
  </si>
  <si>
    <t>GNR_ELYS_ELEC_AEC_DH_Y-2050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</si>
</sst>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theme="1"/>
      <name val="Palatino Linotype"/>
      <family val="1"/>
    </font>
    <font>
      <sz val="12"/>
      <color theme="1"/>
      <name val="Palatino Linotype"/>
      <family val="1"/>
    </font>
    <font>
      <vertAlign val="superscript"/>
      <sz val="12"/>
      <color theme="1"/>
      <name val="Palatino Linotype"/>
      <family val="1"/>
    </font>
    <font>
      <u/>
      <sz val="12"/>
      <color theme="5" tint="-0.249977111117893"/>
      <name val="Palatino Linotype"/>
      <family val="1"/>
    </font>
    <font>
      <b/>
      <sz val="20"/>
      <color theme="1"/>
      <name val="Futura Bk"/>
      <family val="2"/>
    </font>
    <font>
      <sz val="11"/>
      <color theme="1"/>
      <name val="Courier New"/>
      <family val="3"/>
    </font>
    <font>
      <u/>
      <sz val="14"/>
      <color theme="1"/>
      <name val="Futura Bk"/>
      <family val="2"/>
    </font>
    <font>
      <i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9"/>
      <color indexed="81"/>
      <name val="Tahoma"/>
      <charset val="1"/>
    </font>
    <font>
      <sz val="9"/>
      <color indexed="81"/>
      <name val="Tahoma"/>
      <family val="2"/>
    </font>
    <font>
      <b/>
      <sz val="11"/>
      <color theme="1"/>
      <name val="Aptos Narrow"/>
      <family val="2"/>
      <scheme val="minor"/>
    </font>
    <font>
      <i/>
      <u/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9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11" fontId="0" fillId="0" borderId="0" xfId="0" applyNumberFormat="1"/>
    <xf numFmtId="0" fontId="0" fillId="2" borderId="0" xfId="0" applyFill="1"/>
    <xf numFmtId="0" fontId="9" fillId="2" borderId="0" xfId="0" applyFont="1" applyFill="1"/>
    <xf numFmtId="0" fontId="0" fillId="3" borderId="0" xfId="0" applyFill="1"/>
    <xf numFmtId="0" fontId="10" fillId="3" borderId="1" xfId="0" applyFont="1" applyFill="1" applyBorder="1"/>
    <xf numFmtId="0" fontId="0" fillId="3" borderId="2" xfId="0" applyFill="1" applyBorder="1"/>
    <xf numFmtId="0" fontId="0" fillId="3" borderId="3" xfId="0" applyFill="1" applyBorder="1"/>
    <xf numFmtId="0" fontId="10" fillId="3" borderId="4" xfId="0" applyFont="1" applyFill="1" applyBorder="1"/>
    <xf numFmtId="0" fontId="0" fillId="3" borderId="5" xfId="0" applyFill="1" applyBorder="1"/>
    <xf numFmtId="0" fontId="10" fillId="3" borderId="6" xfId="0" applyFont="1" applyFill="1" applyBorder="1"/>
    <xf numFmtId="0" fontId="0" fillId="3" borderId="7" xfId="0" applyFill="1" applyBorder="1"/>
    <xf numFmtId="0" fontId="0" fillId="3" borderId="8" xfId="0" applyFill="1" applyBorder="1"/>
    <xf numFmtId="0" fontId="6" fillId="3" borderId="0" xfId="0" applyFont="1" applyFill="1"/>
    <xf numFmtId="0" fontId="8" fillId="3" borderId="0" xfId="1" applyFont="1" applyFill="1"/>
    <xf numFmtId="0" fontId="5" fillId="3" borderId="0" xfId="0" applyFont="1" applyFill="1"/>
    <xf numFmtId="0" fontId="10" fillId="3" borderId="0" xfId="0" applyFont="1" applyFill="1"/>
    <xf numFmtId="0" fontId="9" fillId="3" borderId="0" xfId="0" applyFont="1" applyFill="1"/>
    <xf numFmtId="0" fontId="10" fillId="0" borderId="6" xfId="0" applyFont="1" applyBorder="1"/>
    <xf numFmtId="0" fontId="11" fillId="3" borderId="0" xfId="0" applyFont="1" applyFill="1"/>
    <xf numFmtId="0" fontId="0" fillId="4" borderId="0" xfId="0" applyFill="1"/>
    <xf numFmtId="0" fontId="0" fillId="4" borderId="0" xfId="0" applyFill="1" applyAlignment="1">
      <alignment horizontal="left"/>
    </xf>
    <xf numFmtId="0" fontId="13" fillId="4" borderId="0" xfId="0" quotePrefix="1" applyFont="1" applyFill="1" applyAlignment="1">
      <alignment horizontal="left"/>
    </xf>
    <xf numFmtId="0" fontId="0" fillId="4" borderId="0" xfId="0" quotePrefix="1" applyFill="1" applyAlignment="1">
      <alignment horizontal="left"/>
    </xf>
    <xf numFmtId="0" fontId="4" fillId="3" borderId="7" xfId="0" applyFont="1" applyFill="1" applyBorder="1"/>
    <xf numFmtId="0" fontId="0" fillId="3" borderId="0" xfId="0" applyFill="1" applyAlignment="1">
      <alignment vertical="top"/>
    </xf>
    <xf numFmtId="0" fontId="3" fillId="3" borderId="7" xfId="0" applyFont="1" applyFill="1" applyBorder="1"/>
    <xf numFmtId="0" fontId="14" fillId="3" borderId="0" xfId="0" applyFont="1" applyFill="1" applyAlignment="1">
      <alignment horizontal="left" vertical="center" wrapText="1"/>
    </xf>
    <xf numFmtId="0" fontId="0" fillId="3" borderId="0" xfId="0" applyFill="1" applyAlignment="1">
      <alignment wrapText="1"/>
    </xf>
    <xf numFmtId="0" fontId="17" fillId="3" borderId="0" xfId="0" applyFont="1" applyFill="1"/>
    <xf numFmtId="0" fontId="0" fillId="0" borderId="0" xfId="0" applyNumberFormat="1"/>
    <xf numFmtId="4" fontId="0" fillId="3" borderId="0" xfId="0" applyNumberFormat="1" applyFill="1"/>
    <xf numFmtId="0" fontId="12" fillId="3" borderId="0" xfId="0" applyFont="1" applyFill="1"/>
    <xf numFmtId="15" fontId="0" fillId="3" borderId="0" xfId="0" applyNumberFormat="1" applyFont="1" applyFill="1"/>
    <xf numFmtId="4" fontId="18" fillId="3" borderId="0" xfId="0" applyNumberFormat="1" applyFont="1" applyFill="1"/>
  </cellXfs>
  <cellStyles count="2">
    <cellStyle name="Hyperlink" xfId="1" builtinId="8"/>
    <cellStyle name="Normal" xfId="0" builtinId="0"/>
  </cellStyles>
  <dxfs count="4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3.xml"/><Relationship Id="rId18" Type="http://schemas.openxmlformats.org/officeDocument/2006/relationships/connections" Target="connections.xml"/><Relationship Id="rId26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openxmlformats.org/officeDocument/2006/relationships/theme" Target="theme/theme1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4.xml"/><Relationship Id="rId22" Type="http://schemas.openxmlformats.org/officeDocument/2006/relationships/calcChain" Target="calcChain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[InteractiveResults.xlsm]PRO_YCRAGF!PivotTable4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7723286324206733E-2"/>
          <c:y val="5.1147393093893725E-2"/>
          <c:w val="0.68535917160497906"/>
          <c:h val="0.6153612465838228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PRO_YCRAGF!$P$6:$P$7</c:f>
              <c:strCache>
                <c:ptCount val="1"/>
                <c:pt idx="0">
                  <c:v>CONDENSING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PRO_YCRAGF!$O$8:$O$13</c:f>
              <c:multiLvlStrCache>
                <c:ptCount val="2"/>
                <c:lvl>
                  <c:pt idx="0">
                    <c:v>2050</c:v>
                  </c:pt>
                  <c:pt idx="1">
                    <c:v>2050</c:v>
                  </c:pt>
                </c:lvl>
                <c:lvl>
                  <c:pt idx="0">
                    <c:v>ELECTRICITY</c:v>
                  </c:pt>
                  <c:pt idx="1">
                    <c:v>HYDROGEN</c:v>
                  </c:pt>
                </c:lvl>
                <c:lvl>
                  <c:pt idx="0">
                    <c:v>%scenario_name%</c:v>
                  </c:pt>
                </c:lvl>
              </c:multiLvlStrCache>
            </c:multiLvlStrRef>
          </c:cat>
          <c:val>
            <c:numRef>
              <c:f>PRO_YCRAGF!$P$8:$P$13</c:f>
              <c:numCache>
                <c:formatCode>General</c:formatCode>
                <c:ptCount val="2"/>
                <c:pt idx="0">
                  <c:v>4.1495695768389851E-16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11-45C1-A134-EE94F9AF048A}"/>
            </c:ext>
          </c:extLst>
        </c:ser>
        <c:ser>
          <c:idx val="1"/>
          <c:order val="1"/>
          <c:tx>
            <c:strRef>
              <c:f>PRO_YCRAGF!$Q$6:$Q$7</c:f>
              <c:strCache>
                <c:ptCount val="1"/>
                <c:pt idx="0">
                  <c:v>ELECTROLYZER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multiLvlStrRef>
              <c:f>PRO_YCRAGF!$O$8:$O$13</c:f>
              <c:multiLvlStrCache>
                <c:ptCount val="2"/>
                <c:lvl>
                  <c:pt idx="0">
                    <c:v>2050</c:v>
                  </c:pt>
                  <c:pt idx="1">
                    <c:v>2050</c:v>
                  </c:pt>
                </c:lvl>
                <c:lvl>
                  <c:pt idx="0">
                    <c:v>ELECTRICITY</c:v>
                  </c:pt>
                  <c:pt idx="1">
                    <c:v>HYDROGEN</c:v>
                  </c:pt>
                </c:lvl>
                <c:lvl>
                  <c:pt idx="0">
                    <c:v>%scenario_name%</c:v>
                  </c:pt>
                </c:lvl>
              </c:multiLvlStrCache>
            </c:multiLvlStrRef>
          </c:cat>
          <c:val>
            <c:numRef>
              <c:f>PRO_YCRAGF!$Q$8:$Q$13</c:f>
              <c:numCache>
                <c:formatCode>General</c:formatCode>
                <c:ptCount val="2"/>
                <c:pt idx="1">
                  <c:v>96.336934193761124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DF-08AC-40FF-A2DF-0C65DCBF0ABB}"/>
            </c:ext>
          </c:extLst>
        </c:ser>
        <c:ser>
          <c:idx val="2"/>
          <c:order val="2"/>
          <c:tx>
            <c:strRef>
              <c:f>PRO_YCRAGF!$R$6:$R$7</c:f>
              <c:strCache>
                <c:ptCount val="1"/>
                <c:pt idx="0">
                  <c:v>HYDRO-RESERVOIRS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PRO_YCRAGF!$O$8:$O$13</c:f>
              <c:multiLvlStrCache>
                <c:ptCount val="2"/>
                <c:lvl>
                  <c:pt idx="0">
                    <c:v>2050</c:v>
                  </c:pt>
                  <c:pt idx="1">
                    <c:v>2050</c:v>
                  </c:pt>
                </c:lvl>
                <c:lvl>
                  <c:pt idx="0">
                    <c:v>ELECTRICITY</c:v>
                  </c:pt>
                  <c:pt idx="1">
                    <c:v>HYDROGEN</c:v>
                  </c:pt>
                </c:lvl>
                <c:lvl>
                  <c:pt idx="0">
                    <c:v>%scenario_name%</c:v>
                  </c:pt>
                </c:lvl>
              </c:multiLvlStrCache>
            </c:multiLvlStrRef>
          </c:cat>
          <c:val>
            <c:numRef>
              <c:f>PRO_YCRAGF!$R$8:$R$13</c:f>
              <c:numCache>
                <c:formatCode>General</c:formatCode>
                <c:ptCount val="2"/>
                <c:pt idx="0">
                  <c:v>27.770305326681314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E0-08AC-40FF-A2DF-0C65DCBF0ABB}"/>
            </c:ext>
          </c:extLst>
        </c:ser>
        <c:ser>
          <c:idx val="3"/>
          <c:order val="3"/>
          <c:tx>
            <c:strRef>
              <c:f>PRO_YCRAGF!$S$6:$S$7</c:f>
              <c:strCache>
                <c:ptCount val="1"/>
                <c:pt idx="0">
                  <c:v>HYDRO-RUN-OF-RIVER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PRO_YCRAGF!$O$8:$O$13</c:f>
              <c:multiLvlStrCache>
                <c:ptCount val="2"/>
                <c:lvl>
                  <c:pt idx="0">
                    <c:v>2050</c:v>
                  </c:pt>
                  <c:pt idx="1">
                    <c:v>2050</c:v>
                  </c:pt>
                </c:lvl>
                <c:lvl>
                  <c:pt idx="0">
                    <c:v>ELECTRICITY</c:v>
                  </c:pt>
                  <c:pt idx="1">
                    <c:v>HYDROGEN</c:v>
                  </c:pt>
                </c:lvl>
                <c:lvl>
                  <c:pt idx="0">
                    <c:v>%scenario_name%</c:v>
                  </c:pt>
                </c:lvl>
              </c:multiLvlStrCache>
            </c:multiLvlStrRef>
          </c:cat>
          <c:val>
            <c:numRef>
              <c:f>PRO_YCRAGF!$S$8:$S$13</c:f>
              <c:numCache>
                <c:formatCode>General</c:formatCode>
                <c:ptCount val="2"/>
                <c:pt idx="0">
                  <c:v>59.627964813988171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E1-08AC-40FF-A2DF-0C65DCBF0ABB}"/>
            </c:ext>
          </c:extLst>
        </c:ser>
        <c:ser>
          <c:idx val="4"/>
          <c:order val="4"/>
          <c:tx>
            <c:strRef>
              <c:f>PRO_YCRAGF!$T$6:$T$7</c:f>
              <c:strCache>
                <c:ptCount val="1"/>
                <c:pt idx="0">
                  <c:v>SOLAR-PV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multiLvlStrRef>
              <c:f>PRO_YCRAGF!$O$8:$O$13</c:f>
              <c:multiLvlStrCache>
                <c:ptCount val="2"/>
                <c:lvl>
                  <c:pt idx="0">
                    <c:v>2050</c:v>
                  </c:pt>
                  <c:pt idx="1">
                    <c:v>2050</c:v>
                  </c:pt>
                </c:lvl>
                <c:lvl>
                  <c:pt idx="0">
                    <c:v>ELECTRICITY</c:v>
                  </c:pt>
                  <c:pt idx="1">
                    <c:v>HYDROGEN</c:v>
                  </c:pt>
                </c:lvl>
                <c:lvl>
                  <c:pt idx="0">
                    <c:v>%scenario_name%</c:v>
                  </c:pt>
                </c:lvl>
              </c:multiLvlStrCache>
            </c:multiLvlStrRef>
          </c:cat>
          <c:val>
            <c:numRef>
              <c:f>PRO_YCRAGF!$T$8:$T$13</c:f>
              <c:numCache>
                <c:formatCode>General</c:formatCode>
                <c:ptCount val="2"/>
                <c:pt idx="0">
                  <c:v>190.95506529353705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E2-08AC-40FF-A2DF-0C65DCBF0ABB}"/>
            </c:ext>
          </c:extLst>
        </c:ser>
        <c:ser>
          <c:idx val="5"/>
          <c:order val="5"/>
          <c:tx>
            <c:strRef>
              <c:f>PRO_YCRAGF!$U$6:$U$7</c:f>
              <c:strCache>
                <c:ptCount val="1"/>
                <c:pt idx="0">
                  <c:v>WIND-ON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PRO_YCRAGF!$O$8:$O$13</c:f>
              <c:multiLvlStrCache>
                <c:ptCount val="2"/>
                <c:lvl>
                  <c:pt idx="0">
                    <c:v>2050</c:v>
                  </c:pt>
                  <c:pt idx="1">
                    <c:v>2050</c:v>
                  </c:pt>
                </c:lvl>
                <c:lvl>
                  <c:pt idx="0">
                    <c:v>ELECTRICITY</c:v>
                  </c:pt>
                  <c:pt idx="1">
                    <c:v>HYDROGEN</c:v>
                  </c:pt>
                </c:lvl>
                <c:lvl>
                  <c:pt idx="0">
                    <c:v>%scenario_name%</c:v>
                  </c:pt>
                </c:lvl>
              </c:multiLvlStrCache>
            </c:multiLvlStrRef>
          </c:cat>
          <c:val>
            <c:numRef>
              <c:f>PRO_YCRAGF!$U$8:$U$13</c:f>
              <c:numCache>
                <c:formatCode>General</c:formatCode>
                <c:ptCount val="2"/>
                <c:pt idx="0">
                  <c:v>110.1031266580915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1E3-08AC-40FF-A2DF-0C65DCBF0A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97175535"/>
        <c:axId val="95535871"/>
      </c:barChart>
      <c:catAx>
        <c:axId val="197175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5535871"/>
        <c:crosses val="autoZero"/>
        <c:auto val="1"/>
        <c:lblAlgn val="ctr"/>
        <c:lblOffset val="100"/>
        <c:noMultiLvlLbl val="0"/>
      </c:catAx>
      <c:valAx>
        <c:axId val="95535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Production (TWh)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971755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709685780075577"/>
          <c:y val="4.5531799886451653E-2"/>
          <c:w val="0.21257051100095106"/>
          <c:h val="0.7869000531480830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[InteractiveResults.xlsm]G_CAP_YCRAF!PivotTable1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tx2">
              <a:lumMod val="75000"/>
              <a:lumOff val="2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tx2">
              <a:lumMod val="50000"/>
              <a:lumOff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1941073405042311E-2"/>
          <c:y val="5.3946900610187858E-2"/>
          <c:w val="0.73411403908787753"/>
          <c:h val="0.6312556206099487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G_CAP_YCRAF!$Q$6:$Q$7</c:f>
              <c:strCache>
                <c:ptCount val="1"/>
                <c:pt idx="0">
                  <c:v>CONDENSING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G_CAP_YCRAF!$P$8:$P$13</c:f>
              <c:multiLvlStrCache>
                <c:ptCount val="2"/>
                <c:lvl>
                  <c:pt idx="0">
                    <c:v>2050</c:v>
                  </c:pt>
                  <c:pt idx="1">
                    <c:v>2050</c:v>
                  </c:pt>
                </c:lvl>
                <c:lvl>
                  <c:pt idx="0">
                    <c:v>ELECTRICITY</c:v>
                  </c:pt>
                  <c:pt idx="1">
                    <c:v>HYDROGEN</c:v>
                  </c:pt>
                </c:lvl>
                <c:lvl>
                  <c:pt idx="0">
                    <c:v>%scenario_name%</c:v>
                  </c:pt>
                </c:lvl>
              </c:multiLvlStrCache>
            </c:multiLvlStrRef>
          </c:cat>
          <c:val>
            <c:numRef>
              <c:f>G_CAP_YCRAF!$Q$8:$Q$13</c:f>
              <c:numCache>
                <c:formatCode>General</c:formatCode>
                <c:ptCount val="2"/>
                <c:pt idx="0">
                  <c:v>3.0521210478711924E-2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E1-411D-85DB-BC248716D1A9}"/>
            </c:ext>
          </c:extLst>
        </c:ser>
        <c:ser>
          <c:idx val="1"/>
          <c:order val="1"/>
          <c:tx>
            <c:strRef>
              <c:f>G_CAP_YCRAF!$R$6:$R$7</c:f>
              <c:strCache>
                <c:ptCount val="1"/>
                <c:pt idx="0">
                  <c:v>ELECTROLYZER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multiLvlStrRef>
              <c:f>G_CAP_YCRAF!$P$8:$P$13</c:f>
              <c:multiLvlStrCache>
                <c:ptCount val="2"/>
                <c:lvl>
                  <c:pt idx="0">
                    <c:v>2050</c:v>
                  </c:pt>
                  <c:pt idx="1">
                    <c:v>2050</c:v>
                  </c:pt>
                </c:lvl>
                <c:lvl>
                  <c:pt idx="0">
                    <c:v>ELECTRICITY</c:v>
                  </c:pt>
                  <c:pt idx="1">
                    <c:v>HYDROGEN</c:v>
                  </c:pt>
                </c:lvl>
                <c:lvl>
                  <c:pt idx="0">
                    <c:v>%scenario_name%</c:v>
                  </c:pt>
                </c:lvl>
              </c:multiLvlStrCache>
            </c:multiLvlStrRef>
          </c:cat>
          <c:val>
            <c:numRef>
              <c:f>G_CAP_YCRAF!$R$8:$R$13</c:f>
              <c:numCache>
                <c:formatCode>General</c:formatCode>
                <c:ptCount val="2"/>
                <c:pt idx="1">
                  <c:v>7.6172869268929341E-2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E2A-4A41-98D2-16CC2872EAB2}"/>
            </c:ext>
          </c:extLst>
        </c:ser>
        <c:ser>
          <c:idx val="2"/>
          <c:order val="2"/>
          <c:tx>
            <c:strRef>
              <c:f>G_CAP_YCRAF!$S$6:$S$7</c:f>
              <c:strCache>
                <c:ptCount val="1"/>
                <c:pt idx="0">
                  <c:v>FUELCELL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multiLvlStrRef>
              <c:f>G_CAP_YCRAF!$P$8:$P$13</c:f>
              <c:multiLvlStrCache>
                <c:ptCount val="2"/>
                <c:lvl>
                  <c:pt idx="0">
                    <c:v>2050</c:v>
                  </c:pt>
                  <c:pt idx="1">
                    <c:v>2050</c:v>
                  </c:pt>
                </c:lvl>
                <c:lvl>
                  <c:pt idx="0">
                    <c:v>ELECTRICITY</c:v>
                  </c:pt>
                  <c:pt idx="1">
                    <c:v>HYDROGEN</c:v>
                  </c:pt>
                </c:lvl>
                <c:lvl>
                  <c:pt idx="0">
                    <c:v>%scenario_name%</c:v>
                  </c:pt>
                </c:lvl>
              </c:multiLvlStrCache>
            </c:multiLvlStrRef>
          </c:cat>
          <c:val>
            <c:numRef>
              <c:f>G_CAP_YCRAF!$S$8:$S$13</c:f>
              <c:numCache>
                <c:formatCode>General</c:formatCode>
                <c:ptCount val="2"/>
                <c:pt idx="0">
                  <c:v>5.1161462409174664E-2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1E2A-4A41-98D2-16CC2872EAB2}"/>
            </c:ext>
          </c:extLst>
        </c:ser>
        <c:ser>
          <c:idx val="3"/>
          <c:order val="3"/>
          <c:tx>
            <c:strRef>
              <c:f>G_CAP_YCRAF!$T$6:$T$7</c:f>
              <c:strCache>
                <c:ptCount val="1"/>
                <c:pt idx="0">
                  <c:v>H2-STORAGE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multiLvlStrRef>
              <c:f>G_CAP_YCRAF!$P$8:$P$13</c:f>
              <c:multiLvlStrCache>
                <c:ptCount val="2"/>
                <c:lvl>
                  <c:pt idx="0">
                    <c:v>2050</c:v>
                  </c:pt>
                  <c:pt idx="1">
                    <c:v>2050</c:v>
                  </c:pt>
                </c:lvl>
                <c:lvl>
                  <c:pt idx="0">
                    <c:v>ELECTRICITY</c:v>
                  </c:pt>
                  <c:pt idx="1">
                    <c:v>HYDROGEN</c:v>
                  </c:pt>
                </c:lvl>
                <c:lvl>
                  <c:pt idx="0">
                    <c:v>%scenario_name%</c:v>
                  </c:pt>
                </c:lvl>
              </c:multiLvlStrCache>
            </c:multiLvlStrRef>
          </c:cat>
          <c:val>
            <c:numRef>
              <c:f>G_CAP_YCRAF!$T$8:$T$13</c:f>
              <c:numCache>
                <c:formatCode>General</c:formatCode>
                <c:ptCount val="2"/>
                <c:pt idx="1">
                  <c:v>8.4846141725961406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E2A-4A41-98D2-16CC2872EAB2}"/>
            </c:ext>
          </c:extLst>
        </c:ser>
        <c:ser>
          <c:idx val="4"/>
          <c:order val="4"/>
          <c:tx>
            <c:strRef>
              <c:f>G_CAP_YCRAF!$U$6:$U$7</c:f>
              <c:strCache>
                <c:ptCount val="1"/>
                <c:pt idx="0">
                  <c:v>SOLAR-PV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multiLvlStrRef>
              <c:f>G_CAP_YCRAF!$P$8:$P$13</c:f>
              <c:multiLvlStrCache>
                <c:ptCount val="2"/>
                <c:lvl>
                  <c:pt idx="0">
                    <c:v>2050</c:v>
                  </c:pt>
                  <c:pt idx="1">
                    <c:v>2050</c:v>
                  </c:pt>
                </c:lvl>
                <c:lvl>
                  <c:pt idx="0">
                    <c:v>ELECTRICITY</c:v>
                  </c:pt>
                  <c:pt idx="1">
                    <c:v>HYDROGEN</c:v>
                  </c:pt>
                </c:lvl>
                <c:lvl>
                  <c:pt idx="0">
                    <c:v>%scenario_name%</c:v>
                  </c:pt>
                </c:lvl>
              </c:multiLvlStrCache>
            </c:multiLvlStrRef>
          </c:cat>
          <c:val>
            <c:numRef>
              <c:f>G_CAP_YCRAF!$U$8:$U$13</c:f>
              <c:numCache>
                <c:formatCode>General</c:formatCode>
                <c:ptCount val="2"/>
                <c:pt idx="0">
                  <c:v>0.77251502985766318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E2A-4A41-98D2-16CC2872E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057047839"/>
        <c:axId val="389304527"/>
      </c:barChart>
      <c:catAx>
        <c:axId val="20570478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389304527"/>
        <c:crosses val="autoZero"/>
        <c:auto val="1"/>
        <c:lblAlgn val="ctr"/>
        <c:lblOffset val="100"/>
        <c:noMultiLvlLbl val="0"/>
      </c:catAx>
      <c:valAx>
        <c:axId val="389304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Generation Capacity (GW)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20570478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461821208924823"/>
          <c:y val="4.8461920623781518E-2"/>
          <c:w val="0.10975141992536153"/>
          <c:h val="0.31046951281345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b="0"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[InteractiveResults.xlsm]OBJ_YCR!PivotTable1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20000"/>
              <a:lumOff val="8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8915135608049"/>
          <c:y val="4.4336960902861752E-2"/>
          <c:w val="0.58396048410615342"/>
          <c:h val="0.7733293914364843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OBJ_YCR!$L$6:$L$7</c:f>
              <c:strCache>
                <c:ptCount val="1"/>
                <c:pt idx="0">
                  <c:v>GENERATION_CAPITAL_COSTS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OBJ_YCR!$K$8:$K$10</c:f>
              <c:multiLvlStrCache>
                <c:ptCount val="1"/>
                <c:lvl>
                  <c:pt idx="0">
                    <c:v>2050</c:v>
                  </c:pt>
                </c:lvl>
                <c:lvl>
                  <c:pt idx="0">
                    <c:v>%scenario_name%</c:v>
                  </c:pt>
                </c:lvl>
              </c:multiLvlStrCache>
            </c:multiLvlStrRef>
          </c:cat>
          <c:val>
            <c:numRef>
              <c:f>OBJ_YCR!$L$8:$L$10</c:f>
              <c:numCache>
                <c:formatCode>General</c:formatCode>
                <c:ptCount val="1"/>
                <c:pt idx="0">
                  <c:v>75770.765659985744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7E-48A9-8EDC-E5071BB4DA05}"/>
            </c:ext>
          </c:extLst>
        </c:ser>
        <c:ser>
          <c:idx val="1"/>
          <c:order val="1"/>
          <c:tx>
            <c:strRef>
              <c:f>OBJ_YCR!$M$6:$M$7</c:f>
              <c:strCache>
                <c:ptCount val="1"/>
                <c:pt idx="0">
                  <c:v>GENERATION_FIXED_COSTS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OBJ_YCR!$K$8:$K$10</c:f>
              <c:multiLvlStrCache>
                <c:ptCount val="1"/>
                <c:lvl>
                  <c:pt idx="0">
                    <c:v>2050</c:v>
                  </c:pt>
                </c:lvl>
                <c:lvl>
                  <c:pt idx="0">
                    <c:v>%scenario_name%</c:v>
                  </c:pt>
                </c:lvl>
              </c:multiLvlStrCache>
            </c:multiLvlStrRef>
          </c:cat>
          <c:val>
            <c:numRef>
              <c:f>OBJ_YCR!$M$8:$M$10</c:f>
              <c:numCache>
                <c:formatCode>General</c:formatCode>
                <c:ptCount val="1"/>
                <c:pt idx="0">
                  <c:v>28051.521872274272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7E-48A9-8EDC-E5071BB4DA05}"/>
            </c:ext>
          </c:extLst>
        </c:ser>
        <c:ser>
          <c:idx val="2"/>
          <c:order val="2"/>
          <c:tx>
            <c:strRef>
              <c:f>OBJ_YCR!$N$6:$N$7</c:f>
              <c:strCache>
                <c:ptCount val="1"/>
                <c:pt idx="0">
                  <c:v>GENERATION_FUEL_COSTS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OBJ_YCR!$K$8:$K$10</c:f>
              <c:multiLvlStrCache>
                <c:ptCount val="1"/>
                <c:lvl>
                  <c:pt idx="0">
                    <c:v>2050</c:v>
                  </c:pt>
                </c:lvl>
                <c:lvl>
                  <c:pt idx="0">
                    <c:v>%scenario_name%</c:v>
                  </c:pt>
                </c:lvl>
              </c:multiLvlStrCache>
            </c:multiLvlStrRef>
          </c:cat>
          <c:val>
            <c:numRef>
              <c:f>OBJ_YCR!$N$8:$N$10</c:f>
              <c:numCache>
                <c:formatCode>General</c:formatCode>
                <c:ptCount val="1"/>
                <c:pt idx="0">
                  <c:v>1580.466802900838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7E-48A9-8EDC-E5071BB4DA05}"/>
            </c:ext>
          </c:extLst>
        </c:ser>
        <c:ser>
          <c:idx val="3"/>
          <c:order val="3"/>
          <c:tx>
            <c:strRef>
              <c:f>OBJ_YCR!$O$6:$O$7</c:f>
              <c:strCache>
                <c:ptCount val="1"/>
                <c:pt idx="0">
                  <c:v>GENERATION_OPERATIONAL_COSTS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OBJ_YCR!$K$8:$K$10</c:f>
              <c:multiLvlStrCache>
                <c:ptCount val="1"/>
                <c:lvl>
                  <c:pt idx="0">
                    <c:v>2050</c:v>
                  </c:pt>
                </c:lvl>
                <c:lvl>
                  <c:pt idx="0">
                    <c:v>%scenario_name%</c:v>
                  </c:pt>
                </c:lvl>
              </c:multiLvlStrCache>
            </c:multiLvlStrRef>
          </c:cat>
          <c:val>
            <c:numRef>
              <c:f>OBJ_YCR!$O$8:$O$10</c:f>
              <c:numCache>
                <c:formatCode>General</c:formatCode>
                <c:ptCount val="1"/>
                <c:pt idx="0">
                  <c:v>5561.4118558093214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7E-48A9-8EDC-E5071BB4DA05}"/>
            </c:ext>
          </c:extLst>
        </c:ser>
        <c:ser>
          <c:idx val="4"/>
          <c:order val="4"/>
          <c:tx>
            <c:strRef>
              <c:f>OBJ_YCR!$P$6:$P$7</c:f>
              <c:strCache>
                <c:ptCount val="1"/>
                <c:pt idx="0">
                  <c:v>GENERATION_CO2_TAX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OBJ_YCR!$K$8:$K$10</c:f>
              <c:multiLvlStrCache>
                <c:ptCount val="1"/>
                <c:lvl>
                  <c:pt idx="0">
                    <c:v>2050</c:v>
                  </c:pt>
                </c:lvl>
                <c:lvl>
                  <c:pt idx="0">
                    <c:v>%scenario_name%</c:v>
                  </c:pt>
                </c:lvl>
              </c:multiLvlStrCache>
            </c:multiLvlStrRef>
          </c:cat>
          <c:val>
            <c:numRef>
              <c:f>OBJ_YCR!$P$8:$P$10</c:f>
              <c:numCache>
                <c:formatCode>General</c:formatCode>
                <c:ptCount val="1"/>
                <c:pt idx="0">
                  <c:v>4.6785593543636343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7E-48A9-8EDC-E5071BB4DA05}"/>
            </c:ext>
          </c:extLst>
        </c:ser>
        <c:ser>
          <c:idx val="5"/>
          <c:order val="5"/>
          <c:tx>
            <c:strRef>
              <c:f>OBJ_YCR!$Q$6:$Q$7</c:f>
              <c:strCache>
                <c:ptCount val="1"/>
                <c:pt idx="0">
                  <c:v>TRANSMISSION_OPERATIONAL_COSTS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OBJ_YCR!$K$8:$K$10</c:f>
              <c:multiLvlStrCache>
                <c:ptCount val="1"/>
                <c:lvl>
                  <c:pt idx="0">
                    <c:v>2050</c:v>
                  </c:pt>
                </c:lvl>
                <c:lvl>
                  <c:pt idx="0">
                    <c:v>%scenario_name%</c:v>
                  </c:pt>
                </c:lvl>
              </c:multiLvlStrCache>
            </c:multiLvlStrRef>
          </c:cat>
          <c:val>
            <c:numRef>
              <c:f>OBJ_YCR!$Q$8:$Q$10</c:f>
              <c:numCache>
                <c:formatCode>General</c:formatCode>
                <c:ptCount val="1"/>
                <c:pt idx="0">
                  <c:v>0.15272581057746956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5C-4E48-96A8-71F609BD6C98}"/>
            </c:ext>
          </c:extLst>
        </c:ser>
        <c:ser>
          <c:idx val="6"/>
          <c:order val="6"/>
          <c:tx>
            <c:strRef>
              <c:f>OBJ_YCR!$R$6:$R$7</c:f>
              <c:strCache>
                <c:ptCount val="1"/>
                <c:pt idx="0">
                  <c:v>TRANSMISSION_CAPITAL_COSTS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OBJ_YCR!$K$8:$K$10</c:f>
              <c:multiLvlStrCache>
                <c:ptCount val="1"/>
                <c:lvl>
                  <c:pt idx="0">
                    <c:v>2050</c:v>
                  </c:pt>
                </c:lvl>
                <c:lvl>
                  <c:pt idx="0">
                    <c:v>%scenario_name%</c:v>
                  </c:pt>
                </c:lvl>
              </c:multiLvlStrCache>
            </c:multiLvlStrRef>
          </c:cat>
          <c:val>
            <c:numRef>
              <c:f>OBJ_YCR!$R$8:$R$10</c:f>
              <c:numCache>
                <c:formatCode>General</c:formatCode>
                <c:ptCount val="1"/>
                <c:pt idx="0">
                  <c:v>2675.9420983148716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5C-4E48-96A8-71F609BD6C98}"/>
            </c:ext>
          </c:extLst>
        </c:ser>
        <c:ser>
          <c:idx val="7"/>
          <c:order val="7"/>
          <c:tx>
            <c:strRef>
              <c:f>OBJ_YCR!$S$6:$S$7</c:f>
              <c:strCache>
                <c:ptCount val="1"/>
                <c:pt idx="0">
                  <c:v>H2_TRANSMISSION_CAPITAL_COSTS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OBJ_YCR!$K$8:$K$10</c:f>
              <c:multiLvlStrCache>
                <c:ptCount val="1"/>
                <c:lvl>
                  <c:pt idx="0">
                    <c:v>2050</c:v>
                  </c:pt>
                </c:lvl>
                <c:lvl>
                  <c:pt idx="0">
                    <c:v>%scenario_name%</c:v>
                  </c:pt>
                </c:lvl>
              </c:multiLvlStrCache>
            </c:multiLvlStrRef>
          </c:cat>
          <c:val>
            <c:numRef>
              <c:f>OBJ_YCR!$S$8:$S$10</c:f>
              <c:numCache>
                <c:formatCode>General</c:formatCode>
                <c:ptCount val="1"/>
                <c:pt idx="0">
                  <c:v>1006.0961119917547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95C-4E48-96A8-71F609BD6C98}"/>
            </c:ext>
          </c:extLst>
        </c:ser>
        <c:ser>
          <c:idx val="8"/>
          <c:order val="8"/>
          <c:tx>
            <c:strRef>
              <c:f>OBJ_YCR!$T$6:$T$7</c:f>
              <c:strCache>
                <c:ptCount val="1"/>
                <c:pt idx="0">
                  <c:v>H2_TRANSMISSION_OPERATIONAL_COSTS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OBJ_YCR!$K$8:$K$10</c:f>
              <c:multiLvlStrCache>
                <c:ptCount val="1"/>
                <c:lvl>
                  <c:pt idx="0">
                    <c:v>2050</c:v>
                  </c:pt>
                </c:lvl>
                <c:lvl>
                  <c:pt idx="0">
                    <c:v>%scenario_name%</c:v>
                  </c:pt>
                </c:lvl>
              </c:multiLvlStrCache>
            </c:multiLvlStrRef>
          </c:cat>
          <c:val>
            <c:numRef>
              <c:f>OBJ_YCR!$T$8:$T$10</c:f>
              <c:numCache>
                <c:formatCode>General</c:formatCode>
                <c:ptCount val="1"/>
                <c:pt idx="0">
                  <c:v>1.7253586810928041E-3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95C-4E48-96A8-71F609BD6C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53690592"/>
        <c:axId val="610450432"/>
      </c:barChart>
      <c:catAx>
        <c:axId val="853690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610450432"/>
        <c:crosses val="autoZero"/>
        <c:auto val="1"/>
        <c:lblAlgn val="ctr"/>
        <c:lblOffset val="100"/>
        <c:noMultiLvlLbl val="0"/>
      </c:catAx>
      <c:valAx>
        <c:axId val="61045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System Costs (M€)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53690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[InteractiveResults.xlsm]EL_PRICE_YCR!PivotTable1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EL_PRICE_YCR!$L$6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EL_PRICE_YCR!$K$7:$K$619</c:f>
              <c:multiLvlStrCache>
                <c:ptCount val="597"/>
                <c:lvl>
                  <c:pt idx="0">
                    <c:v>TR</c:v>
                  </c:pt>
                  <c:pt idx="1">
                    <c:v>DK1</c:v>
                  </c:pt>
                  <c:pt idx="2">
                    <c:v>DK2</c:v>
                  </c:pt>
                  <c:pt idx="3">
                    <c:v>NO1</c:v>
                  </c:pt>
                  <c:pt idx="4">
                    <c:v>NO2</c:v>
                  </c:pt>
                  <c:pt idx="5">
                    <c:v>NO3</c:v>
                  </c:pt>
                  <c:pt idx="6">
                    <c:v>NO4</c:v>
                  </c:pt>
                  <c:pt idx="7">
                    <c:v>NO5</c:v>
                  </c:pt>
                  <c:pt idx="8">
                    <c:v>FIN</c:v>
                  </c:pt>
                  <c:pt idx="9">
                    <c:v>DE4-E</c:v>
                  </c:pt>
                  <c:pt idx="10">
                    <c:v>DE4-N</c:v>
                  </c:pt>
                  <c:pt idx="11">
                    <c:v>DE4-S</c:v>
                  </c:pt>
                  <c:pt idx="12">
                    <c:v>DE4-W</c:v>
                  </c:pt>
                  <c:pt idx="13">
                    <c:v>NL</c:v>
                  </c:pt>
                  <c:pt idx="14">
                    <c:v>SE1</c:v>
                  </c:pt>
                  <c:pt idx="15">
                    <c:v>SE2</c:v>
                  </c:pt>
                  <c:pt idx="16">
                    <c:v>SE3</c:v>
                  </c:pt>
                  <c:pt idx="17">
                    <c:v>SE4</c:v>
                  </c:pt>
                  <c:pt idx="18">
                    <c:v>UK</c:v>
                  </c:pt>
                  <c:pt idx="19">
                    <c:v>EE</c:v>
                  </c:pt>
                  <c:pt idx="20">
                    <c:v>LV</c:v>
                  </c:pt>
                  <c:pt idx="21">
                    <c:v>LT</c:v>
                  </c:pt>
                  <c:pt idx="22">
                    <c:v>PL</c:v>
                  </c:pt>
                  <c:pt idx="23">
                    <c:v>BE</c:v>
                  </c:pt>
                  <c:pt idx="24">
                    <c:v>FR</c:v>
                  </c:pt>
                  <c:pt idx="25">
                    <c:v>IT</c:v>
                  </c:pt>
                  <c:pt idx="26">
                    <c:v>CH</c:v>
                  </c:pt>
                  <c:pt idx="27">
                    <c:v>AT</c:v>
                  </c:pt>
                  <c:pt idx="28">
                    <c:v>CZ</c:v>
                  </c:pt>
                  <c:pt idx="29">
                    <c:v>ES</c:v>
                  </c:pt>
                  <c:pt idx="30">
                    <c:v>PT</c:v>
                  </c:pt>
                  <c:pt idx="31">
                    <c:v>SK</c:v>
                  </c:pt>
                  <c:pt idx="32">
                    <c:v>HU</c:v>
                  </c:pt>
                  <c:pt idx="33">
                    <c:v>SI</c:v>
                  </c:pt>
                  <c:pt idx="34">
                    <c:v>HR</c:v>
                  </c:pt>
                  <c:pt idx="35">
                    <c:v>RO</c:v>
                  </c:pt>
                  <c:pt idx="36">
                    <c:v>BG</c:v>
                  </c:pt>
                  <c:pt idx="37">
                    <c:v>GR</c:v>
                  </c:pt>
                  <c:pt idx="38">
                    <c:v>IE</c:v>
                  </c:pt>
                  <c:pt idx="39">
                    <c:v>LU</c:v>
                  </c:pt>
                  <c:pt idx="40">
                    <c:v>AL</c:v>
                  </c:pt>
                  <c:pt idx="41">
                    <c:v>ME</c:v>
                  </c:pt>
                  <c:pt idx="42">
                    <c:v>MK</c:v>
                  </c:pt>
                  <c:pt idx="43">
                    <c:v>BA</c:v>
                  </c:pt>
                  <c:pt idx="44">
                    <c:v>RS</c:v>
                  </c:pt>
                  <c:pt idx="45">
                    <c:v>MT</c:v>
                  </c:pt>
                  <c:pt idx="46">
                    <c:v>CY</c:v>
                  </c:pt>
                  <c:pt idx="47">
                    <c:v>TR</c:v>
                  </c:pt>
                  <c:pt idx="48">
                    <c:v>DK1</c:v>
                  </c:pt>
                  <c:pt idx="49">
                    <c:v>DK2</c:v>
                  </c:pt>
                  <c:pt idx="50">
                    <c:v>NO1</c:v>
                  </c:pt>
                  <c:pt idx="51">
                    <c:v>NO2</c:v>
                  </c:pt>
                  <c:pt idx="52">
                    <c:v>NO3</c:v>
                  </c:pt>
                  <c:pt idx="53">
                    <c:v>NO4</c:v>
                  </c:pt>
                  <c:pt idx="54">
                    <c:v>NO5</c:v>
                  </c:pt>
                  <c:pt idx="55">
                    <c:v>FIN</c:v>
                  </c:pt>
                  <c:pt idx="56">
                    <c:v>DE4-E</c:v>
                  </c:pt>
                  <c:pt idx="57">
                    <c:v>DE4-N</c:v>
                  </c:pt>
                  <c:pt idx="58">
                    <c:v>DE4-S</c:v>
                  </c:pt>
                  <c:pt idx="59">
                    <c:v>DE4-W</c:v>
                  </c:pt>
                  <c:pt idx="60">
                    <c:v>NL</c:v>
                  </c:pt>
                  <c:pt idx="61">
                    <c:v>SE1</c:v>
                  </c:pt>
                  <c:pt idx="62">
                    <c:v>SE2</c:v>
                  </c:pt>
                  <c:pt idx="63">
                    <c:v>SE3</c:v>
                  </c:pt>
                  <c:pt idx="64">
                    <c:v>SE4</c:v>
                  </c:pt>
                  <c:pt idx="65">
                    <c:v>UK</c:v>
                  </c:pt>
                  <c:pt idx="66">
                    <c:v>EE</c:v>
                  </c:pt>
                  <c:pt idx="67">
                    <c:v>LV</c:v>
                  </c:pt>
                  <c:pt idx="68">
                    <c:v>LT</c:v>
                  </c:pt>
                  <c:pt idx="69">
                    <c:v>PL</c:v>
                  </c:pt>
                  <c:pt idx="70">
                    <c:v>BE</c:v>
                  </c:pt>
                  <c:pt idx="71">
                    <c:v>FR</c:v>
                  </c:pt>
                  <c:pt idx="72">
                    <c:v>IT</c:v>
                  </c:pt>
                  <c:pt idx="73">
                    <c:v>CH</c:v>
                  </c:pt>
                  <c:pt idx="74">
                    <c:v>AT</c:v>
                  </c:pt>
                  <c:pt idx="75">
                    <c:v>CZ</c:v>
                  </c:pt>
                  <c:pt idx="76">
                    <c:v>ES</c:v>
                  </c:pt>
                  <c:pt idx="77">
                    <c:v>PT</c:v>
                  </c:pt>
                  <c:pt idx="78">
                    <c:v>SK</c:v>
                  </c:pt>
                  <c:pt idx="79">
                    <c:v>HU</c:v>
                  </c:pt>
                  <c:pt idx="80">
                    <c:v>SI</c:v>
                  </c:pt>
                  <c:pt idx="81">
                    <c:v>HR</c:v>
                  </c:pt>
                  <c:pt idx="82">
                    <c:v>RO</c:v>
                  </c:pt>
                  <c:pt idx="83">
                    <c:v>BG</c:v>
                  </c:pt>
                  <c:pt idx="84">
                    <c:v>GR</c:v>
                  </c:pt>
                  <c:pt idx="85">
                    <c:v>IE</c:v>
                  </c:pt>
                  <c:pt idx="86">
                    <c:v>LU</c:v>
                  </c:pt>
                  <c:pt idx="87">
                    <c:v>AL</c:v>
                  </c:pt>
                  <c:pt idx="88">
                    <c:v>ME</c:v>
                  </c:pt>
                  <c:pt idx="89">
                    <c:v>MK</c:v>
                  </c:pt>
                  <c:pt idx="90">
                    <c:v>BA</c:v>
                  </c:pt>
                  <c:pt idx="91">
                    <c:v>RS</c:v>
                  </c:pt>
                  <c:pt idx="92">
                    <c:v>MT</c:v>
                  </c:pt>
                  <c:pt idx="93">
                    <c:v>CY</c:v>
                  </c:pt>
                  <c:pt idx="94">
                    <c:v>TR</c:v>
                  </c:pt>
                  <c:pt idx="95">
                    <c:v>DK1</c:v>
                  </c:pt>
                  <c:pt idx="96">
                    <c:v>DK2</c:v>
                  </c:pt>
                  <c:pt idx="97">
                    <c:v>NO1</c:v>
                  </c:pt>
                  <c:pt idx="98">
                    <c:v>NO2</c:v>
                  </c:pt>
                  <c:pt idx="99">
                    <c:v>NO3</c:v>
                  </c:pt>
                  <c:pt idx="100">
                    <c:v>NO4</c:v>
                  </c:pt>
                  <c:pt idx="101">
                    <c:v>NO5</c:v>
                  </c:pt>
                  <c:pt idx="102">
                    <c:v>FIN</c:v>
                  </c:pt>
                  <c:pt idx="103">
                    <c:v>DE4-E</c:v>
                  </c:pt>
                  <c:pt idx="104">
                    <c:v>DE4-N</c:v>
                  </c:pt>
                  <c:pt idx="105">
                    <c:v>DE4-S</c:v>
                  </c:pt>
                  <c:pt idx="106">
                    <c:v>DE4-W</c:v>
                  </c:pt>
                  <c:pt idx="107">
                    <c:v>NL</c:v>
                  </c:pt>
                  <c:pt idx="108">
                    <c:v>SE1</c:v>
                  </c:pt>
                  <c:pt idx="109">
                    <c:v>SE2</c:v>
                  </c:pt>
                  <c:pt idx="110">
                    <c:v>SE3</c:v>
                  </c:pt>
                  <c:pt idx="111">
                    <c:v>SE4</c:v>
                  </c:pt>
                  <c:pt idx="112">
                    <c:v>UK</c:v>
                  </c:pt>
                  <c:pt idx="113">
                    <c:v>EE</c:v>
                  </c:pt>
                  <c:pt idx="114">
                    <c:v>LV</c:v>
                  </c:pt>
                  <c:pt idx="115">
                    <c:v>LT</c:v>
                  </c:pt>
                  <c:pt idx="116">
                    <c:v>PL</c:v>
                  </c:pt>
                  <c:pt idx="117">
                    <c:v>BE</c:v>
                  </c:pt>
                  <c:pt idx="118">
                    <c:v>FR</c:v>
                  </c:pt>
                  <c:pt idx="119">
                    <c:v>IT</c:v>
                  </c:pt>
                  <c:pt idx="120">
                    <c:v>CH</c:v>
                  </c:pt>
                  <c:pt idx="121">
                    <c:v>AT</c:v>
                  </c:pt>
                  <c:pt idx="122">
                    <c:v>CZ</c:v>
                  </c:pt>
                  <c:pt idx="123">
                    <c:v>ES</c:v>
                  </c:pt>
                  <c:pt idx="124">
                    <c:v>PT</c:v>
                  </c:pt>
                  <c:pt idx="125">
                    <c:v>SK</c:v>
                  </c:pt>
                  <c:pt idx="126">
                    <c:v>HU</c:v>
                  </c:pt>
                  <c:pt idx="127">
                    <c:v>SI</c:v>
                  </c:pt>
                  <c:pt idx="128">
                    <c:v>HR</c:v>
                  </c:pt>
                  <c:pt idx="129">
                    <c:v>RO</c:v>
                  </c:pt>
                  <c:pt idx="130">
                    <c:v>BG</c:v>
                  </c:pt>
                  <c:pt idx="131">
                    <c:v>GR</c:v>
                  </c:pt>
                  <c:pt idx="132">
                    <c:v>IE</c:v>
                  </c:pt>
                  <c:pt idx="133">
                    <c:v>LU</c:v>
                  </c:pt>
                  <c:pt idx="134">
                    <c:v>AL</c:v>
                  </c:pt>
                  <c:pt idx="135">
                    <c:v>ME</c:v>
                  </c:pt>
                  <c:pt idx="136">
                    <c:v>MK</c:v>
                  </c:pt>
                  <c:pt idx="137">
                    <c:v>BA</c:v>
                  </c:pt>
                  <c:pt idx="138">
                    <c:v>RS</c:v>
                  </c:pt>
                  <c:pt idx="139">
                    <c:v>MT</c:v>
                  </c:pt>
                  <c:pt idx="140">
                    <c:v>CY</c:v>
                  </c:pt>
                  <c:pt idx="141">
                    <c:v>TR</c:v>
                  </c:pt>
                  <c:pt idx="142">
                    <c:v>DK1</c:v>
                  </c:pt>
                  <c:pt idx="143">
                    <c:v>DK2</c:v>
                  </c:pt>
                  <c:pt idx="144">
                    <c:v>NO1</c:v>
                  </c:pt>
                  <c:pt idx="145">
                    <c:v>NO2</c:v>
                  </c:pt>
                  <c:pt idx="146">
                    <c:v>NO3</c:v>
                  </c:pt>
                  <c:pt idx="147">
                    <c:v>NO4</c:v>
                  </c:pt>
                  <c:pt idx="148">
                    <c:v>NO5</c:v>
                  </c:pt>
                  <c:pt idx="149">
                    <c:v>FIN</c:v>
                  </c:pt>
                  <c:pt idx="150">
                    <c:v>DE4-E</c:v>
                  </c:pt>
                  <c:pt idx="151">
                    <c:v>DE4-N</c:v>
                  </c:pt>
                  <c:pt idx="152">
                    <c:v>DE4-S</c:v>
                  </c:pt>
                  <c:pt idx="153">
                    <c:v>DE4-W</c:v>
                  </c:pt>
                  <c:pt idx="154">
                    <c:v>NL</c:v>
                  </c:pt>
                  <c:pt idx="155">
                    <c:v>SE1</c:v>
                  </c:pt>
                  <c:pt idx="156">
                    <c:v>SE2</c:v>
                  </c:pt>
                  <c:pt idx="157">
                    <c:v>SE3</c:v>
                  </c:pt>
                  <c:pt idx="158">
                    <c:v>SE4</c:v>
                  </c:pt>
                  <c:pt idx="159">
                    <c:v>UK</c:v>
                  </c:pt>
                  <c:pt idx="160">
                    <c:v>EE</c:v>
                  </c:pt>
                  <c:pt idx="161">
                    <c:v>LV</c:v>
                  </c:pt>
                  <c:pt idx="162">
                    <c:v>LT</c:v>
                  </c:pt>
                  <c:pt idx="163">
                    <c:v>PL</c:v>
                  </c:pt>
                  <c:pt idx="164">
                    <c:v>BE</c:v>
                  </c:pt>
                  <c:pt idx="165">
                    <c:v>FR</c:v>
                  </c:pt>
                  <c:pt idx="166">
                    <c:v>IT</c:v>
                  </c:pt>
                  <c:pt idx="167">
                    <c:v>CH</c:v>
                  </c:pt>
                  <c:pt idx="168">
                    <c:v>AT</c:v>
                  </c:pt>
                  <c:pt idx="169">
                    <c:v>CZ</c:v>
                  </c:pt>
                  <c:pt idx="170">
                    <c:v>ES</c:v>
                  </c:pt>
                  <c:pt idx="171">
                    <c:v>PT</c:v>
                  </c:pt>
                  <c:pt idx="172">
                    <c:v>SK</c:v>
                  </c:pt>
                  <c:pt idx="173">
                    <c:v>HU</c:v>
                  </c:pt>
                  <c:pt idx="174">
                    <c:v>SI</c:v>
                  </c:pt>
                  <c:pt idx="175">
                    <c:v>HR</c:v>
                  </c:pt>
                  <c:pt idx="176">
                    <c:v>RO</c:v>
                  </c:pt>
                  <c:pt idx="177">
                    <c:v>BG</c:v>
                  </c:pt>
                  <c:pt idx="178">
                    <c:v>GR</c:v>
                  </c:pt>
                  <c:pt idx="179">
                    <c:v>IE</c:v>
                  </c:pt>
                  <c:pt idx="180">
                    <c:v>LU</c:v>
                  </c:pt>
                  <c:pt idx="181">
                    <c:v>AL</c:v>
                  </c:pt>
                  <c:pt idx="182">
                    <c:v>ME</c:v>
                  </c:pt>
                  <c:pt idx="183">
                    <c:v>MK</c:v>
                  </c:pt>
                  <c:pt idx="184">
                    <c:v>BA</c:v>
                  </c:pt>
                  <c:pt idx="185">
                    <c:v>RS</c:v>
                  </c:pt>
                  <c:pt idx="186">
                    <c:v>MT</c:v>
                  </c:pt>
                  <c:pt idx="187">
                    <c:v>CY</c:v>
                  </c:pt>
                  <c:pt idx="188">
                    <c:v>TR</c:v>
                  </c:pt>
                  <c:pt idx="189">
                    <c:v>DK1</c:v>
                  </c:pt>
                  <c:pt idx="190">
                    <c:v>DK2</c:v>
                  </c:pt>
                  <c:pt idx="191">
                    <c:v>NO3</c:v>
                  </c:pt>
                  <c:pt idx="192">
                    <c:v>NO4</c:v>
                  </c:pt>
                  <c:pt idx="193">
                    <c:v>FIN</c:v>
                  </c:pt>
                  <c:pt idx="194">
                    <c:v>NL</c:v>
                  </c:pt>
                  <c:pt idx="195">
                    <c:v>SE1</c:v>
                  </c:pt>
                  <c:pt idx="196">
                    <c:v>SE2</c:v>
                  </c:pt>
                  <c:pt idx="197">
                    <c:v>SE3</c:v>
                  </c:pt>
                  <c:pt idx="198">
                    <c:v>SE4</c:v>
                  </c:pt>
                  <c:pt idx="199">
                    <c:v>EE</c:v>
                  </c:pt>
                  <c:pt idx="200">
                    <c:v>LV</c:v>
                  </c:pt>
                  <c:pt idx="201">
                    <c:v>LT</c:v>
                  </c:pt>
                  <c:pt idx="202">
                    <c:v>PL</c:v>
                  </c:pt>
                  <c:pt idx="203">
                    <c:v>BE</c:v>
                  </c:pt>
                  <c:pt idx="204">
                    <c:v>FR</c:v>
                  </c:pt>
                  <c:pt idx="205">
                    <c:v>CH</c:v>
                  </c:pt>
                  <c:pt idx="206">
                    <c:v>AT</c:v>
                  </c:pt>
                  <c:pt idx="207">
                    <c:v>CZ</c:v>
                  </c:pt>
                  <c:pt idx="208">
                    <c:v>ES</c:v>
                  </c:pt>
                  <c:pt idx="209">
                    <c:v>PT</c:v>
                  </c:pt>
                  <c:pt idx="210">
                    <c:v>SK</c:v>
                  </c:pt>
                  <c:pt idx="211">
                    <c:v>HU</c:v>
                  </c:pt>
                  <c:pt idx="212">
                    <c:v>SI</c:v>
                  </c:pt>
                  <c:pt idx="213">
                    <c:v>HR</c:v>
                  </c:pt>
                  <c:pt idx="214">
                    <c:v>RO</c:v>
                  </c:pt>
                  <c:pt idx="215">
                    <c:v>BG</c:v>
                  </c:pt>
                  <c:pt idx="216">
                    <c:v>IE</c:v>
                  </c:pt>
                  <c:pt idx="217">
                    <c:v>LU</c:v>
                  </c:pt>
                  <c:pt idx="218">
                    <c:v>AL</c:v>
                  </c:pt>
                  <c:pt idx="219">
                    <c:v>ME</c:v>
                  </c:pt>
                  <c:pt idx="220">
                    <c:v>MK</c:v>
                  </c:pt>
                  <c:pt idx="221">
                    <c:v>BA</c:v>
                  </c:pt>
                  <c:pt idx="222">
                    <c:v>RS</c:v>
                  </c:pt>
                  <c:pt idx="223">
                    <c:v>MT</c:v>
                  </c:pt>
                  <c:pt idx="224">
                    <c:v>CY</c:v>
                  </c:pt>
                  <c:pt idx="225">
                    <c:v>NOS</c:v>
                  </c:pt>
                  <c:pt idx="226">
                    <c:v>DE</c:v>
                  </c:pt>
                  <c:pt idx="227">
                    <c:v>UK00</c:v>
                  </c:pt>
                  <c:pt idx="228">
                    <c:v>UKNI</c:v>
                  </c:pt>
                  <c:pt idx="229">
                    <c:v>FR00</c:v>
                  </c:pt>
                  <c:pt idx="230">
                    <c:v>FR15</c:v>
                  </c:pt>
                  <c:pt idx="231">
                    <c:v>ITCA</c:v>
                  </c:pt>
                  <c:pt idx="232">
                    <c:v>ITCN</c:v>
                  </c:pt>
                  <c:pt idx="233">
                    <c:v>ITCO</c:v>
                  </c:pt>
                  <c:pt idx="234">
                    <c:v>ITCS</c:v>
                  </c:pt>
                  <c:pt idx="235">
                    <c:v>ITN1</c:v>
                  </c:pt>
                  <c:pt idx="236">
                    <c:v>ITS1</c:v>
                  </c:pt>
                  <c:pt idx="237">
                    <c:v>ITSA</c:v>
                  </c:pt>
                  <c:pt idx="238">
                    <c:v>ITSI</c:v>
                  </c:pt>
                  <c:pt idx="239">
                    <c:v>GR00</c:v>
                  </c:pt>
                  <c:pt idx="240">
                    <c:v>GR03</c:v>
                  </c:pt>
                  <c:pt idx="241">
                    <c:v>TR</c:v>
                  </c:pt>
                  <c:pt idx="242">
                    <c:v>DK1</c:v>
                  </c:pt>
                  <c:pt idx="243">
                    <c:v>DK2</c:v>
                  </c:pt>
                  <c:pt idx="244">
                    <c:v>NO3</c:v>
                  </c:pt>
                  <c:pt idx="245">
                    <c:v>NO4</c:v>
                  </c:pt>
                  <c:pt idx="246">
                    <c:v>FIN</c:v>
                  </c:pt>
                  <c:pt idx="247">
                    <c:v>NL</c:v>
                  </c:pt>
                  <c:pt idx="248">
                    <c:v>SE1</c:v>
                  </c:pt>
                  <c:pt idx="249">
                    <c:v>SE2</c:v>
                  </c:pt>
                  <c:pt idx="250">
                    <c:v>SE3</c:v>
                  </c:pt>
                  <c:pt idx="251">
                    <c:v>SE4</c:v>
                  </c:pt>
                  <c:pt idx="252">
                    <c:v>UK</c:v>
                  </c:pt>
                  <c:pt idx="253">
                    <c:v>EE</c:v>
                  </c:pt>
                  <c:pt idx="254">
                    <c:v>LV</c:v>
                  </c:pt>
                  <c:pt idx="255">
                    <c:v>LT</c:v>
                  </c:pt>
                  <c:pt idx="256">
                    <c:v>PL</c:v>
                  </c:pt>
                  <c:pt idx="257">
                    <c:v>BE</c:v>
                  </c:pt>
                  <c:pt idx="258">
                    <c:v>FR</c:v>
                  </c:pt>
                  <c:pt idx="259">
                    <c:v>IT</c:v>
                  </c:pt>
                  <c:pt idx="260">
                    <c:v>CH</c:v>
                  </c:pt>
                  <c:pt idx="261">
                    <c:v>AT</c:v>
                  </c:pt>
                  <c:pt idx="262">
                    <c:v>CZ</c:v>
                  </c:pt>
                  <c:pt idx="263">
                    <c:v>ES</c:v>
                  </c:pt>
                  <c:pt idx="264">
                    <c:v>PT</c:v>
                  </c:pt>
                  <c:pt idx="265">
                    <c:v>SK</c:v>
                  </c:pt>
                  <c:pt idx="266">
                    <c:v>HU</c:v>
                  </c:pt>
                  <c:pt idx="267">
                    <c:v>SI</c:v>
                  </c:pt>
                  <c:pt idx="268">
                    <c:v>HR</c:v>
                  </c:pt>
                  <c:pt idx="269">
                    <c:v>RO</c:v>
                  </c:pt>
                  <c:pt idx="270">
                    <c:v>BG</c:v>
                  </c:pt>
                  <c:pt idx="271">
                    <c:v>GR</c:v>
                  </c:pt>
                  <c:pt idx="272">
                    <c:v>IE</c:v>
                  </c:pt>
                  <c:pt idx="273">
                    <c:v>LU</c:v>
                  </c:pt>
                  <c:pt idx="274">
                    <c:v>AL</c:v>
                  </c:pt>
                  <c:pt idx="275">
                    <c:v>ME</c:v>
                  </c:pt>
                  <c:pt idx="276">
                    <c:v>MK</c:v>
                  </c:pt>
                  <c:pt idx="277">
                    <c:v>BA</c:v>
                  </c:pt>
                  <c:pt idx="278">
                    <c:v>RS</c:v>
                  </c:pt>
                  <c:pt idx="279">
                    <c:v>MT</c:v>
                  </c:pt>
                  <c:pt idx="280">
                    <c:v>CY</c:v>
                  </c:pt>
                  <c:pt idx="281">
                    <c:v>NOS</c:v>
                  </c:pt>
                  <c:pt idx="282">
                    <c:v>DE</c:v>
                  </c:pt>
                  <c:pt idx="283">
                    <c:v>UK00</c:v>
                  </c:pt>
                  <c:pt idx="284">
                    <c:v>UKNI</c:v>
                  </c:pt>
                  <c:pt idx="285">
                    <c:v>FR00</c:v>
                  </c:pt>
                  <c:pt idx="286">
                    <c:v>FR15</c:v>
                  </c:pt>
                  <c:pt idx="287">
                    <c:v>ITCA</c:v>
                  </c:pt>
                  <c:pt idx="288">
                    <c:v>ITCN</c:v>
                  </c:pt>
                  <c:pt idx="289">
                    <c:v>ITCO</c:v>
                  </c:pt>
                  <c:pt idx="290">
                    <c:v>ITCS</c:v>
                  </c:pt>
                  <c:pt idx="291">
                    <c:v>ITN1</c:v>
                  </c:pt>
                  <c:pt idx="292">
                    <c:v>ITS1</c:v>
                  </c:pt>
                  <c:pt idx="293">
                    <c:v>ITSA</c:v>
                  </c:pt>
                  <c:pt idx="294">
                    <c:v>ITSI</c:v>
                  </c:pt>
                  <c:pt idx="295">
                    <c:v>GR00</c:v>
                  </c:pt>
                  <c:pt idx="296">
                    <c:v>GR03</c:v>
                  </c:pt>
                  <c:pt idx="297">
                    <c:v>TR</c:v>
                  </c:pt>
                  <c:pt idx="298">
                    <c:v>DK1</c:v>
                  </c:pt>
                  <c:pt idx="299">
                    <c:v>DK2</c:v>
                  </c:pt>
                  <c:pt idx="300">
                    <c:v>NO3</c:v>
                  </c:pt>
                  <c:pt idx="301">
                    <c:v>NO4</c:v>
                  </c:pt>
                  <c:pt idx="302">
                    <c:v>FIN</c:v>
                  </c:pt>
                  <c:pt idx="303">
                    <c:v>NL</c:v>
                  </c:pt>
                  <c:pt idx="304">
                    <c:v>SE1</c:v>
                  </c:pt>
                  <c:pt idx="305">
                    <c:v>SE2</c:v>
                  </c:pt>
                  <c:pt idx="306">
                    <c:v>SE3</c:v>
                  </c:pt>
                  <c:pt idx="307">
                    <c:v>SE4</c:v>
                  </c:pt>
                  <c:pt idx="308">
                    <c:v>UK</c:v>
                  </c:pt>
                  <c:pt idx="309">
                    <c:v>EE</c:v>
                  </c:pt>
                  <c:pt idx="310">
                    <c:v>LV</c:v>
                  </c:pt>
                  <c:pt idx="311">
                    <c:v>LT</c:v>
                  </c:pt>
                  <c:pt idx="312">
                    <c:v>PL</c:v>
                  </c:pt>
                  <c:pt idx="313">
                    <c:v>BE</c:v>
                  </c:pt>
                  <c:pt idx="314">
                    <c:v>FR</c:v>
                  </c:pt>
                  <c:pt idx="315">
                    <c:v>IT</c:v>
                  </c:pt>
                  <c:pt idx="316">
                    <c:v>CH</c:v>
                  </c:pt>
                  <c:pt idx="317">
                    <c:v>AT</c:v>
                  </c:pt>
                  <c:pt idx="318">
                    <c:v>CZ</c:v>
                  </c:pt>
                  <c:pt idx="319">
                    <c:v>ES</c:v>
                  </c:pt>
                  <c:pt idx="320">
                    <c:v>PT</c:v>
                  </c:pt>
                  <c:pt idx="321">
                    <c:v>SK</c:v>
                  </c:pt>
                  <c:pt idx="322">
                    <c:v>HU</c:v>
                  </c:pt>
                  <c:pt idx="323">
                    <c:v>SI</c:v>
                  </c:pt>
                  <c:pt idx="324">
                    <c:v>HR</c:v>
                  </c:pt>
                  <c:pt idx="325">
                    <c:v>RO</c:v>
                  </c:pt>
                  <c:pt idx="326">
                    <c:v>BG</c:v>
                  </c:pt>
                  <c:pt idx="327">
                    <c:v>GR</c:v>
                  </c:pt>
                  <c:pt idx="328">
                    <c:v>IE</c:v>
                  </c:pt>
                  <c:pt idx="329">
                    <c:v>LU</c:v>
                  </c:pt>
                  <c:pt idx="330">
                    <c:v>AL</c:v>
                  </c:pt>
                  <c:pt idx="331">
                    <c:v>ME</c:v>
                  </c:pt>
                  <c:pt idx="332">
                    <c:v>MK</c:v>
                  </c:pt>
                  <c:pt idx="333">
                    <c:v>BA</c:v>
                  </c:pt>
                  <c:pt idx="334">
                    <c:v>RS</c:v>
                  </c:pt>
                  <c:pt idx="335">
                    <c:v>MT</c:v>
                  </c:pt>
                  <c:pt idx="336">
                    <c:v>CY</c:v>
                  </c:pt>
                  <c:pt idx="337">
                    <c:v>NOS</c:v>
                  </c:pt>
                  <c:pt idx="338">
                    <c:v>DE</c:v>
                  </c:pt>
                  <c:pt idx="339">
                    <c:v>UK00</c:v>
                  </c:pt>
                  <c:pt idx="340">
                    <c:v>UKNI</c:v>
                  </c:pt>
                  <c:pt idx="341">
                    <c:v>FR00</c:v>
                  </c:pt>
                  <c:pt idx="342">
                    <c:v>FR15</c:v>
                  </c:pt>
                  <c:pt idx="343">
                    <c:v>ITCA</c:v>
                  </c:pt>
                  <c:pt idx="344">
                    <c:v>ITCN</c:v>
                  </c:pt>
                  <c:pt idx="345">
                    <c:v>ITCO</c:v>
                  </c:pt>
                  <c:pt idx="346">
                    <c:v>ITCS</c:v>
                  </c:pt>
                  <c:pt idx="347">
                    <c:v>ITN1</c:v>
                  </c:pt>
                  <c:pt idx="348">
                    <c:v>ITS1</c:v>
                  </c:pt>
                  <c:pt idx="349">
                    <c:v>ITSA</c:v>
                  </c:pt>
                  <c:pt idx="350">
                    <c:v>ITSI</c:v>
                  </c:pt>
                  <c:pt idx="351">
                    <c:v>GR00</c:v>
                  </c:pt>
                  <c:pt idx="352">
                    <c:v>GR03</c:v>
                  </c:pt>
                  <c:pt idx="353">
                    <c:v>TR</c:v>
                  </c:pt>
                  <c:pt idx="354">
                    <c:v>DK1</c:v>
                  </c:pt>
                  <c:pt idx="355">
                    <c:v>DK2</c:v>
                  </c:pt>
                  <c:pt idx="356">
                    <c:v>NO3</c:v>
                  </c:pt>
                  <c:pt idx="357">
                    <c:v>NO4</c:v>
                  </c:pt>
                  <c:pt idx="358">
                    <c:v>FIN</c:v>
                  </c:pt>
                  <c:pt idx="359">
                    <c:v>NL</c:v>
                  </c:pt>
                  <c:pt idx="360">
                    <c:v>SE1</c:v>
                  </c:pt>
                  <c:pt idx="361">
                    <c:v>SE2</c:v>
                  </c:pt>
                  <c:pt idx="362">
                    <c:v>SE3</c:v>
                  </c:pt>
                  <c:pt idx="363">
                    <c:v>SE4</c:v>
                  </c:pt>
                  <c:pt idx="364">
                    <c:v>UK</c:v>
                  </c:pt>
                  <c:pt idx="365">
                    <c:v>EE</c:v>
                  </c:pt>
                  <c:pt idx="366">
                    <c:v>LV</c:v>
                  </c:pt>
                  <c:pt idx="367">
                    <c:v>LT</c:v>
                  </c:pt>
                  <c:pt idx="368">
                    <c:v>PL</c:v>
                  </c:pt>
                  <c:pt idx="369">
                    <c:v>BE</c:v>
                  </c:pt>
                  <c:pt idx="370">
                    <c:v>FR</c:v>
                  </c:pt>
                  <c:pt idx="371">
                    <c:v>IT</c:v>
                  </c:pt>
                  <c:pt idx="372">
                    <c:v>CH</c:v>
                  </c:pt>
                  <c:pt idx="373">
                    <c:v>AT</c:v>
                  </c:pt>
                  <c:pt idx="374">
                    <c:v>CZ</c:v>
                  </c:pt>
                  <c:pt idx="375">
                    <c:v>ES</c:v>
                  </c:pt>
                  <c:pt idx="376">
                    <c:v>PT</c:v>
                  </c:pt>
                  <c:pt idx="377">
                    <c:v>SK</c:v>
                  </c:pt>
                  <c:pt idx="378">
                    <c:v>HU</c:v>
                  </c:pt>
                  <c:pt idx="379">
                    <c:v>SI</c:v>
                  </c:pt>
                  <c:pt idx="380">
                    <c:v>HR</c:v>
                  </c:pt>
                  <c:pt idx="381">
                    <c:v>RO</c:v>
                  </c:pt>
                  <c:pt idx="382">
                    <c:v>BG</c:v>
                  </c:pt>
                  <c:pt idx="383">
                    <c:v>GR</c:v>
                  </c:pt>
                  <c:pt idx="384">
                    <c:v>IE</c:v>
                  </c:pt>
                  <c:pt idx="385">
                    <c:v>LU</c:v>
                  </c:pt>
                  <c:pt idx="386">
                    <c:v>AL</c:v>
                  </c:pt>
                  <c:pt idx="387">
                    <c:v>ME</c:v>
                  </c:pt>
                  <c:pt idx="388">
                    <c:v>MK</c:v>
                  </c:pt>
                  <c:pt idx="389">
                    <c:v>BA</c:v>
                  </c:pt>
                  <c:pt idx="390">
                    <c:v>RS</c:v>
                  </c:pt>
                  <c:pt idx="391">
                    <c:v>MT</c:v>
                  </c:pt>
                  <c:pt idx="392">
                    <c:v>CY</c:v>
                  </c:pt>
                  <c:pt idx="393">
                    <c:v>NOS</c:v>
                  </c:pt>
                  <c:pt idx="394">
                    <c:v>DE</c:v>
                  </c:pt>
                  <c:pt idx="395">
                    <c:v>UK00</c:v>
                  </c:pt>
                  <c:pt idx="396">
                    <c:v>UKNI</c:v>
                  </c:pt>
                  <c:pt idx="397">
                    <c:v>FR00</c:v>
                  </c:pt>
                  <c:pt idx="398">
                    <c:v>FR15</c:v>
                  </c:pt>
                  <c:pt idx="399">
                    <c:v>ITCA</c:v>
                  </c:pt>
                  <c:pt idx="400">
                    <c:v>ITCN</c:v>
                  </c:pt>
                  <c:pt idx="401">
                    <c:v>ITCO</c:v>
                  </c:pt>
                  <c:pt idx="402">
                    <c:v>ITCS</c:v>
                  </c:pt>
                  <c:pt idx="403">
                    <c:v>ITN1</c:v>
                  </c:pt>
                  <c:pt idx="404">
                    <c:v>ITS1</c:v>
                  </c:pt>
                  <c:pt idx="405">
                    <c:v>ITSA</c:v>
                  </c:pt>
                  <c:pt idx="406">
                    <c:v>ITSI</c:v>
                  </c:pt>
                  <c:pt idx="407">
                    <c:v>GR00</c:v>
                  </c:pt>
                  <c:pt idx="408">
                    <c:v>GR03</c:v>
                  </c:pt>
                  <c:pt idx="409">
                    <c:v>TR</c:v>
                  </c:pt>
                  <c:pt idx="410">
                    <c:v>DK1</c:v>
                  </c:pt>
                  <c:pt idx="411">
                    <c:v>DK2</c:v>
                  </c:pt>
                  <c:pt idx="412">
                    <c:v>NO1</c:v>
                  </c:pt>
                  <c:pt idx="413">
                    <c:v>NO2</c:v>
                  </c:pt>
                  <c:pt idx="414">
                    <c:v>NO3</c:v>
                  </c:pt>
                  <c:pt idx="415">
                    <c:v>NO4</c:v>
                  </c:pt>
                  <c:pt idx="416">
                    <c:v>NO5</c:v>
                  </c:pt>
                  <c:pt idx="417">
                    <c:v>FIN</c:v>
                  </c:pt>
                  <c:pt idx="418">
                    <c:v>DE4-E</c:v>
                  </c:pt>
                  <c:pt idx="419">
                    <c:v>DE4-N</c:v>
                  </c:pt>
                  <c:pt idx="420">
                    <c:v>DE4-S</c:v>
                  </c:pt>
                  <c:pt idx="421">
                    <c:v>DE4-W</c:v>
                  </c:pt>
                  <c:pt idx="422">
                    <c:v>NL</c:v>
                  </c:pt>
                  <c:pt idx="423">
                    <c:v>SE1</c:v>
                  </c:pt>
                  <c:pt idx="424">
                    <c:v>SE2</c:v>
                  </c:pt>
                  <c:pt idx="425">
                    <c:v>SE3</c:v>
                  </c:pt>
                  <c:pt idx="426">
                    <c:v>SE4</c:v>
                  </c:pt>
                  <c:pt idx="427">
                    <c:v>UK</c:v>
                  </c:pt>
                  <c:pt idx="428">
                    <c:v>EE</c:v>
                  </c:pt>
                  <c:pt idx="429">
                    <c:v>LV</c:v>
                  </c:pt>
                  <c:pt idx="430">
                    <c:v>LT</c:v>
                  </c:pt>
                  <c:pt idx="431">
                    <c:v>PL</c:v>
                  </c:pt>
                  <c:pt idx="432">
                    <c:v>BE</c:v>
                  </c:pt>
                  <c:pt idx="433">
                    <c:v>FR</c:v>
                  </c:pt>
                  <c:pt idx="434">
                    <c:v>IT</c:v>
                  </c:pt>
                  <c:pt idx="435">
                    <c:v>CH</c:v>
                  </c:pt>
                  <c:pt idx="436">
                    <c:v>AT</c:v>
                  </c:pt>
                  <c:pt idx="437">
                    <c:v>CZ</c:v>
                  </c:pt>
                  <c:pt idx="438">
                    <c:v>ES</c:v>
                  </c:pt>
                  <c:pt idx="439">
                    <c:v>PT</c:v>
                  </c:pt>
                  <c:pt idx="440">
                    <c:v>SK</c:v>
                  </c:pt>
                  <c:pt idx="441">
                    <c:v>HU</c:v>
                  </c:pt>
                  <c:pt idx="442">
                    <c:v>SI</c:v>
                  </c:pt>
                  <c:pt idx="443">
                    <c:v>HR</c:v>
                  </c:pt>
                  <c:pt idx="444">
                    <c:v>RO</c:v>
                  </c:pt>
                  <c:pt idx="445">
                    <c:v>BG</c:v>
                  </c:pt>
                  <c:pt idx="446">
                    <c:v>GR</c:v>
                  </c:pt>
                  <c:pt idx="447">
                    <c:v>IE</c:v>
                  </c:pt>
                  <c:pt idx="448">
                    <c:v>LU</c:v>
                  </c:pt>
                  <c:pt idx="449">
                    <c:v>AL</c:v>
                  </c:pt>
                  <c:pt idx="450">
                    <c:v>ME</c:v>
                  </c:pt>
                  <c:pt idx="451">
                    <c:v>MK</c:v>
                  </c:pt>
                  <c:pt idx="452">
                    <c:v>BA</c:v>
                  </c:pt>
                  <c:pt idx="453">
                    <c:v>RS</c:v>
                  </c:pt>
                  <c:pt idx="454">
                    <c:v>MT</c:v>
                  </c:pt>
                  <c:pt idx="455">
                    <c:v>CY</c:v>
                  </c:pt>
                  <c:pt idx="456">
                    <c:v>TR</c:v>
                  </c:pt>
                  <c:pt idx="457">
                    <c:v>DK1</c:v>
                  </c:pt>
                  <c:pt idx="458">
                    <c:v>DK2</c:v>
                  </c:pt>
                  <c:pt idx="459">
                    <c:v>NO1</c:v>
                  </c:pt>
                  <c:pt idx="460">
                    <c:v>NO2</c:v>
                  </c:pt>
                  <c:pt idx="461">
                    <c:v>NO3</c:v>
                  </c:pt>
                  <c:pt idx="462">
                    <c:v>NO4</c:v>
                  </c:pt>
                  <c:pt idx="463">
                    <c:v>NO5</c:v>
                  </c:pt>
                  <c:pt idx="464">
                    <c:v>FIN</c:v>
                  </c:pt>
                  <c:pt idx="465">
                    <c:v>DE4-E</c:v>
                  </c:pt>
                  <c:pt idx="466">
                    <c:v>DE4-N</c:v>
                  </c:pt>
                  <c:pt idx="467">
                    <c:v>DE4-S</c:v>
                  </c:pt>
                  <c:pt idx="468">
                    <c:v>DE4-W</c:v>
                  </c:pt>
                  <c:pt idx="469">
                    <c:v>NL</c:v>
                  </c:pt>
                  <c:pt idx="470">
                    <c:v>SE1</c:v>
                  </c:pt>
                  <c:pt idx="471">
                    <c:v>SE2</c:v>
                  </c:pt>
                  <c:pt idx="472">
                    <c:v>SE3</c:v>
                  </c:pt>
                  <c:pt idx="473">
                    <c:v>SE4</c:v>
                  </c:pt>
                  <c:pt idx="474">
                    <c:v>UK</c:v>
                  </c:pt>
                  <c:pt idx="475">
                    <c:v>EE</c:v>
                  </c:pt>
                  <c:pt idx="476">
                    <c:v>LV</c:v>
                  </c:pt>
                  <c:pt idx="477">
                    <c:v>LT</c:v>
                  </c:pt>
                  <c:pt idx="478">
                    <c:v>PL</c:v>
                  </c:pt>
                  <c:pt idx="479">
                    <c:v>BE</c:v>
                  </c:pt>
                  <c:pt idx="480">
                    <c:v>FR</c:v>
                  </c:pt>
                  <c:pt idx="481">
                    <c:v>IT</c:v>
                  </c:pt>
                  <c:pt idx="482">
                    <c:v>CH</c:v>
                  </c:pt>
                  <c:pt idx="483">
                    <c:v>AT</c:v>
                  </c:pt>
                  <c:pt idx="484">
                    <c:v>CZ</c:v>
                  </c:pt>
                  <c:pt idx="485">
                    <c:v>ES</c:v>
                  </c:pt>
                  <c:pt idx="486">
                    <c:v>PT</c:v>
                  </c:pt>
                  <c:pt idx="487">
                    <c:v>SK</c:v>
                  </c:pt>
                  <c:pt idx="488">
                    <c:v>HU</c:v>
                  </c:pt>
                  <c:pt idx="489">
                    <c:v>SI</c:v>
                  </c:pt>
                  <c:pt idx="490">
                    <c:v>HR</c:v>
                  </c:pt>
                  <c:pt idx="491">
                    <c:v>RO</c:v>
                  </c:pt>
                  <c:pt idx="492">
                    <c:v>BG</c:v>
                  </c:pt>
                  <c:pt idx="493">
                    <c:v>GR</c:v>
                  </c:pt>
                  <c:pt idx="494">
                    <c:v>IE</c:v>
                  </c:pt>
                  <c:pt idx="495">
                    <c:v>LU</c:v>
                  </c:pt>
                  <c:pt idx="496">
                    <c:v>AL</c:v>
                  </c:pt>
                  <c:pt idx="497">
                    <c:v>ME</c:v>
                  </c:pt>
                  <c:pt idx="498">
                    <c:v>MK</c:v>
                  </c:pt>
                  <c:pt idx="499">
                    <c:v>BA</c:v>
                  </c:pt>
                  <c:pt idx="500">
                    <c:v>RS</c:v>
                  </c:pt>
                  <c:pt idx="501">
                    <c:v>MT</c:v>
                  </c:pt>
                  <c:pt idx="502">
                    <c:v>CY</c:v>
                  </c:pt>
                  <c:pt idx="503">
                    <c:v>TR</c:v>
                  </c:pt>
                  <c:pt idx="504">
                    <c:v>DK1</c:v>
                  </c:pt>
                  <c:pt idx="505">
                    <c:v>DK2</c:v>
                  </c:pt>
                  <c:pt idx="506">
                    <c:v>NO1</c:v>
                  </c:pt>
                  <c:pt idx="507">
                    <c:v>NO2</c:v>
                  </c:pt>
                  <c:pt idx="508">
                    <c:v>NO3</c:v>
                  </c:pt>
                  <c:pt idx="509">
                    <c:v>NO4</c:v>
                  </c:pt>
                  <c:pt idx="510">
                    <c:v>NO5</c:v>
                  </c:pt>
                  <c:pt idx="511">
                    <c:v>FIN</c:v>
                  </c:pt>
                  <c:pt idx="512">
                    <c:v>DE4-E</c:v>
                  </c:pt>
                  <c:pt idx="513">
                    <c:v>DE4-N</c:v>
                  </c:pt>
                  <c:pt idx="514">
                    <c:v>DE4-S</c:v>
                  </c:pt>
                  <c:pt idx="515">
                    <c:v>DE4-W</c:v>
                  </c:pt>
                  <c:pt idx="516">
                    <c:v>NL</c:v>
                  </c:pt>
                  <c:pt idx="517">
                    <c:v>SE1</c:v>
                  </c:pt>
                  <c:pt idx="518">
                    <c:v>SE2</c:v>
                  </c:pt>
                  <c:pt idx="519">
                    <c:v>SE3</c:v>
                  </c:pt>
                  <c:pt idx="520">
                    <c:v>SE4</c:v>
                  </c:pt>
                  <c:pt idx="521">
                    <c:v>UK</c:v>
                  </c:pt>
                  <c:pt idx="522">
                    <c:v>EE</c:v>
                  </c:pt>
                  <c:pt idx="523">
                    <c:v>LV</c:v>
                  </c:pt>
                  <c:pt idx="524">
                    <c:v>LT</c:v>
                  </c:pt>
                  <c:pt idx="525">
                    <c:v>PL</c:v>
                  </c:pt>
                  <c:pt idx="526">
                    <c:v>BE</c:v>
                  </c:pt>
                  <c:pt idx="527">
                    <c:v>FR</c:v>
                  </c:pt>
                  <c:pt idx="528">
                    <c:v>IT</c:v>
                  </c:pt>
                  <c:pt idx="529">
                    <c:v>CH</c:v>
                  </c:pt>
                  <c:pt idx="530">
                    <c:v>AT</c:v>
                  </c:pt>
                  <c:pt idx="531">
                    <c:v>CZ</c:v>
                  </c:pt>
                  <c:pt idx="532">
                    <c:v>ES</c:v>
                  </c:pt>
                  <c:pt idx="533">
                    <c:v>PT</c:v>
                  </c:pt>
                  <c:pt idx="534">
                    <c:v>SK</c:v>
                  </c:pt>
                  <c:pt idx="535">
                    <c:v>HU</c:v>
                  </c:pt>
                  <c:pt idx="536">
                    <c:v>SI</c:v>
                  </c:pt>
                  <c:pt idx="537">
                    <c:v>HR</c:v>
                  </c:pt>
                  <c:pt idx="538">
                    <c:v>RO</c:v>
                  </c:pt>
                  <c:pt idx="539">
                    <c:v>BG</c:v>
                  </c:pt>
                  <c:pt idx="540">
                    <c:v>GR</c:v>
                  </c:pt>
                  <c:pt idx="541">
                    <c:v>IE</c:v>
                  </c:pt>
                  <c:pt idx="542">
                    <c:v>LU</c:v>
                  </c:pt>
                  <c:pt idx="543">
                    <c:v>AL</c:v>
                  </c:pt>
                  <c:pt idx="544">
                    <c:v>ME</c:v>
                  </c:pt>
                  <c:pt idx="545">
                    <c:v>MK</c:v>
                  </c:pt>
                  <c:pt idx="546">
                    <c:v>BA</c:v>
                  </c:pt>
                  <c:pt idx="547">
                    <c:v>RS</c:v>
                  </c:pt>
                  <c:pt idx="548">
                    <c:v>MT</c:v>
                  </c:pt>
                  <c:pt idx="549">
                    <c:v>CY</c:v>
                  </c:pt>
                  <c:pt idx="550">
                    <c:v>TR</c:v>
                  </c:pt>
                  <c:pt idx="551">
                    <c:v>DK1</c:v>
                  </c:pt>
                  <c:pt idx="552">
                    <c:v>DK2</c:v>
                  </c:pt>
                  <c:pt idx="553">
                    <c:v>NO1</c:v>
                  </c:pt>
                  <c:pt idx="554">
                    <c:v>NO2</c:v>
                  </c:pt>
                  <c:pt idx="555">
                    <c:v>NO3</c:v>
                  </c:pt>
                  <c:pt idx="556">
                    <c:v>NO4</c:v>
                  </c:pt>
                  <c:pt idx="557">
                    <c:v>NO5</c:v>
                  </c:pt>
                  <c:pt idx="558">
                    <c:v>FIN</c:v>
                  </c:pt>
                  <c:pt idx="559">
                    <c:v>DE4-E</c:v>
                  </c:pt>
                  <c:pt idx="560">
                    <c:v>DE4-N</c:v>
                  </c:pt>
                  <c:pt idx="561">
                    <c:v>DE4-S</c:v>
                  </c:pt>
                  <c:pt idx="562">
                    <c:v>DE4-W</c:v>
                  </c:pt>
                  <c:pt idx="563">
                    <c:v>NL</c:v>
                  </c:pt>
                  <c:pt idx="564">
                    <c:v>SE1</c:v>
                  </c:pt>
                  <c:pt idx="565">
                    <c:v>SE2</c:v>
                  </c:pt>
                  <c:pt idx="566">
                    <c:v>SE3</c:v>
                  </c:pt>
                  <c:pt idx="567">
                    <c:v>SE4</c:v>
                  </c:pt>
                  <c:pt idx="568">
                    <c:v>UK</c:v>
                  </c:pt>
                  <c:pt idx="569">
                    <c:v>EE</c:v>
                  </c:pt>
                  <c:pt idx="570">
                    <c:v>LV</c:v>
                  </c:pt>
                  <c:pt idx="571">
                    <c:v>LT</c:v>
                  </c:pt>
                  <c:pt idx="572">
                    <c:v>PL</c:v>
                  </c:pt>
                  <c:pt idx="573">
                    <c:v>BE</c:v>
                  </c:pt>
                  <c:pt idx="574">
                    <c:v>FR</c:v>
                  </c:pt>
                  <c:pt idx="575">
                    <c:v>IT</c:v>
                  </c:pt>
                  <c:pt idx="576">
                    <c:v>CH</c:v>
                  </c:pt>
                  <c:pt idx="577">
                    <c:v>AT</c:v>
                  </c:pt>
                  <c:pt idx="578">
                    <c:v>CZ</c:v>
                  </c:pt>
                  <c:pt idx="579">
                    <c:v>ES</c:v>
                  </c:pt>
                  <c:pt idx="580">
                    <c:v>PT</c:v>
                  </c:pt>
                  <c:pt idx="581">
                    <c:v>SK</c:v>
                  </c:pt>
                  <c:pt idx="582">
                    <c:v>HU</c:v>
                  </c:pt>
                  <c:pt idx="583">
                    <c:v>SI</c:v>
                  </c:pt>
                  <c:pt idx="584">
                    <c:v>HR</c:v>
                  </c:pt>
                  <c:pt idx="585">
                    <c:v>RO</c:v>
                  </c:pt>
                  <c:pt idx="586">
                    <c:v>BG</c:v>
                  </c:pt>
                  <c:pt idx="587">
                    <c:v>GR</c:v>
                  </c:pt>
                  <c:pt idx="588">
                    <c:v>IE</c:v>
                  </c:pt>
                  <c:pt idx="589">
                    <c:v>LU</c:v>
                  </c:pt>
                  <c:pt idx="590">
                    <c:v>AL</c:v>
                  </c:pt>
                  <c:pt idx="591">
                    <c:v>ME</c:v>
                  </c:pt>
                  <c:pt idx="592">
                    <c:v>MK</c:v>
                  </c:pt>
                  <c:pt idx="593">
                    <c:v>BA</c:v>
                  </c:pt>
                  <c:pt idx="594">
                    <c:v>RS</c:v>
                  </c:pt>
                  <c:pt idx="595">
                    <c:v>MT</c:v>
                  </c:pt>
                  <c:pt idx="596">
                    <c:v>CY</c:v>
                  </c:pt>
                </c:lvl>
                <c:lvl>
                  <c:pt idx="0">
                    <c:v>2020</c:v>
                  </c:pt>
                  <c:pt idx="47">
                    <c:v>2030</c:v>
                  </c:pt>
                  <c:pt idx="94">
                    <c:v>2040</c:v>
                  </c:pt>
                  <c:pt idx="141">
                    <c:v>2050</c:v>
                  </c:pt>
                  <c:pt idx="188">
                    <c:v>2020</c:v>
                  </c:pt>
                  <c:pt idx="241">
                    <c:v>2030</c:v>
                  </c:pt>
                  <c:pt idx="297">
                    <c:v>2040</c:v>
                  </c:pt>
                  <c:pt idx="353">
                    <c:v>2050</c:v>
                  </c:pt>
                  <c:pt idx="409">
                    <c:v>2020</c:v>
                  </c:pt>
                  <c:pt idx="456">
                    <c:v>2030</c:v>
                  </c:pt>
                  <c:pt idx="503">
                    <c:v>2040</c:v>
                  </c:pt>
                  <c:pt idx="550">
                    <c:v>2050</c:v>
                  </c:pt>
                </c:lvl>
                <c:lvl>
                  <c:pt idx="0">
                    <c:v>eur-system-test</c:v>
                  </c:pt>
                  <c:pt idx="188">
                    <c:v>HSPAT</c:v>
                  </c:pt>
                  <c:pt idx="409">
                    <c:v>HVRE</c:v>
                  </c:pt>
                </c:lvl>
              </c:multiLvlStrCache>
            </c:multiLvlStrRef>
          </c:cat>
          <c:val>
            <c:numRef>
              <c:f>EL_PRICE_YCR!$L$7:$L$619</c:f>
              <c:numCache>
                <c:formatCode>General</c:formatCode>
                <c:ptCount val="597"/>
                <c:pt idx="0">
                  <c:v>42.921344083279692</c:v>
                </c:pt>
                <c:pt idx="1">
                  <c:v>46.625640776042893</c:v>
                </c:pt>
                <c:pt idx="2">
                  <c:v>46.88215245588097</c:v>
                </c:pt>
                <c:pt idx="3">
                  <c:v>19.15197712434901</c:v>
                </c:pt>
                <c:pt idx="4">
                  <c:v>18.912430498031526</c:v>
                </c:pt>
                <c:pt idx="5">
                  <c:v>18.790645661671967</c:v>
                </c:pt>
                <c:pt idx="6">
                  <c:v>16.335295414468895</c:v>
                </c:pt>
                <c:pt idx="7">
                  <c:v>18.798027922164916</c:v>
                </c:pt>
                <c:pt idx="8">
                  <c:v>45.861738818076489</c:v>
                </c:pt>
                <c:pt idx="9">
                  <c:v>55.338971004168336</c:v>
                </c:pt>
                <c:pt idx="10">
                  <c:v>54.885609838284921</c:v>
                </c:pt>
                <c:pt idx="11">
                  <c:v>55.216496546734049</c:v>
                </c:pt>
                <c:pt idx="12">
                  <c:v>55.75373145129489</c:v>
                </c:pt>
                <c:pt idx="13">
                  <c:v>54.377010444752777</c:v>
                </c:pt>
                <c:pt idx="14">
                  <c:v>19.439672260055211</c:v>
                </c:pt>
                <c:pt idx="15">
                  <c:v>19.850617463531396</c:v>
                </c:pt>
                <c:pt idx="16">
                  <c:v>27.845415547626974</c:v>
                </c:pt>
                <c:pt idx="17">
                  <c:v>28.355236551226362</c:v>
                </c:pt>
                <c:pt idx="18">
                  <c:v>41.831448751378041</c:v>
                </c:pt>
                <c:pt idx="19">
                  <c:v>45.613352805839163</c:v>
                </c:pt>
                <c:pt idx="20">
                  <c:v>41.00783220166818</c:v>
                </c:pt>
                <c:pt idx="21">
                  <c:v>40.94082598670871</c:v>
                </c:pt>
                <c:pt idx="22">
                  <c:v>60.203028491545339</c:v>
                </c:pt>
                <c:pt idx="23">
                  <c:v>47.133334765320477</c:v>
                </c:pt>
                <c:pt idx="24">
                  <c:v>28.242890633839025</c:v>
                </c:pt>
                <c:pt idx="25">
                  <c:v>61.189437077857946</c:v>
                </c:pt>
                <c:pt idx="26">
                  <c:v>28.662824648460838</c:v>
                </c:pt>
                <c:pt idx="27">
                  <c:v>50.048084517341202</c:v>
                </c:pt>
                <c:pt idx="28">
                  <c:v>54.366108642660564</c:v>
                </c:pt>
                <c:pt idx="29">
                  <c:v>45.700849738945202</c:v>
                </c:pt>
                <c:pt idx="30">
                  <c:v>46.815523633451306</c:v>
                </c:pt>
                <c:pt idx="31">
                  <c:v>55.483835457123405</c:v>
                </c:pt>
                <c:pt idx="32">
                  <c:v>60.103548459083029</c:v>
                </c:pt>
                <c:pt idx="33">
                  <c:v>60.224175880246555</c:v>
                </c:pt>
                <c:pt idx="34">
                  <c:v>60.341039909746833</c:v>
                </c:pt>
                <c:pt idx="35">
                  <c:v>58.215276567026379</c:v>
                </c:pt>
                <c:pt idx="36">
                  <c:v>60.639506046071652</c:v>
                </c:pt>
                <c:pt idx="37">
                  <c:v>58.80997381754058</c:v>
                </c:pt>
                <c:pt idx="38">
                  <c:v>46.980186773792369</c:v>
                </c:pt>
                <c:pt idx="39">
                  <c:v>55.384584479574421</c:v>
                </c:pt>
                <c:pt idx="40">
                  <c:v>61.292901812063441</c:v>
                </c:pt>
                <c:pt idx="41">
                  <c:v>63.076797133992535</c:v>
                </c:pt>
                <c:pt idx="42">
                  <c:v>61.501615144704878</c:v>
                </c:pt>
                <c:pt idx="43">
                  <c:v>63.484875337801867</c:v>
                </c:pt>
                <c:pt idx="44">
                  <c:v>65.114104003008705</c:v>
                </c:pt>
                <c:pt idx="45">
                  <c:v>65.095109430751648</c:v>
                </c:pt>
                <c:pt idx="46">
                  <c:v>69.907454295780724</c:v>
                </c:pt>
                <c:pt idx="47">
                  <c:v>37.451256284309565</c:v>
                </c:pt>
                <c:pt idx="48">
                  <c:v>38.460936044837716</c:v>
                </c:pt>
                <c:pt idx="49">
                  <c:v>38.15490010234506</c:v>
                </c:pt>
                <c:pt idx="50">
                  <c:v>36.805643128934456</c:v>
                </c:pt>
                <c:pt idx="51">
                  <c:v>37.511912641452803</c:v>
                </c:pt>
                <c:pt idx="52">
                  <c:v>33.958312623261861</c:v>
                </c:pt>
                <c:pt idx="53">
                  <c:v>31.920068585936821</c:v>
                </c:pt>
                <c:pt idx="54">
                  <c:v>34.574195644455386</c:v>
                </c:pt>
                <c:pt idx="55">
                  <c:v>36.287604027706699</c:v>
                </c:pt>
                <c:pt idx="56">
                  <c:v>38.424379638723103</c:v>
                </c:pt>
                <c:pt idx="57">
                  <c:v>37.992998356183712</c:v>
                </c:pt>
                <c:pt idx="58">
                  <c:v>38.071655900468883</c:v>
                </c:pt>
                <c:pt idx="59">
                  <c:v>37.928210689883791</c:v>
                </c:pt>
                <c:pt idx="60">
                  <c:v>39.426226548378999</c:v>
                </c:pt>
                <c:pt idx="61">
                  <c:v>33.160092373306441</c:v>
                </c:pt>
                <c:pt idx="62">
                  <c:v>33.951724653929432</c:v>
                </c:pt>
                <c:pt idx="63">
                  <c:v>37.932287284086527</c:v>
                </c:pt>
                <c:pt idx="64">
                  <c:v>38.396125251905616</c:v>
                </c:pt>
                <c:pt idx="65">
                  <c:v>35.712567967975581</c:v>
                </c:pt>
                <c:pt idx="66">
                  <c:v>37.118967143896789</c:v>
                </c:pt>
                <c:pt idx="67">
                  <c:v>37.342737284726496</c:v>
                </c:pt>
                <c:pt idx="68">
                  <c:v>37.432480279802085</c:v>
                </c:pt>
                <c:pt idx="69">
                  <c:v>38.971848367490736</c:v>
                </c:pt>
                <c:pt idx="70">
                  <c:v>38.364522604674626</c:v>
                </c:pt>
                <c:pt idx="71">
                  <c:v>34.158118498053447</c:v>
                </c:pt>
                <c:pt idx="72">
                  <c:v>37.842148868668446</c:v>
                </c:pt>
                <c:pt idx="73">
                  <c:v>36.685495651635165</c:v>
                </c:pt>
                <c:pt idx="74">
                  <c:v>38.109511660247087</c:v>
                </c:pt>
                <c:pt idx="75">
                  <c:v>39.742502022589939</c:v>
                </c:pt>
                <c:pt idx="76">
                  <c:v>31.263291155712405</c:v>
                </c:pt>
                <c:pt idx="77">
                  <c:v>32.858720254629262</c:v>
                </c:pt>
                <c:pt idx="78">
                  <c:v>38.69489471410661</c:v>
                </c:pt>
                <c:pt idx="79">
                  <c:v>39.3244769447506</c:v>
                </c:pt>
                <c:pt idx="80">
                  <c:v>39.080431505007638</c:v>
                </c:pt>
                <c:pt idx="81">
                  <c:v>39.090193063288893</c:v>
                </c:pt>
                <c:pt idx="82">
                  <c:v>39.849151551874115</c:v>
                </c:pt>
                <c:pt idx="83">
                  <c:v>40.152210553995424</c:v>
                </c:pt>
                <c:pt idx="84">
                  <c:v>40.696656743180689</c:v>
                </c:pt>
                <c:pt idx="85">
                  <c:v>32.503490206209818</c:v>
                </c:pt>
                <c:pt idx="86">
                  <c:v>37.86303273525612</c:v>
                </c:pt>
                <c:pt idx="87">
                  <c:v>38.817072820435499</c:v>
                </c:pt>
                <c:pt idx="88">
                  <c:v>39.371942519446819</c:v>
                </c:pt>
                <c:pt idx="89">
                  <c:v>39.778493674362032</c:v>
                </c:pt>
                <c:pt idx="90">
                  <c:v>40.144513703040722</c:v>
                </c:pt>
                <c:pt idx="91">
                  <c:v>40.654725927624682</c:v>
                </c:pt>
                <c:pt idx="92">
                  <c:v>45.789853141095399</c:v>
                </c:pt>
                <c:pt idx="93">
                  <c:v>40.223335498804396</c:v>
                </c:pt>
                <c:pt idx="94">
                  <c:v>35.924420368985359</c:v>
                </c:pt>
                <c:pt idx="95">
                  <c:v>35.515253590408065</c:v>
                </c:pt>
                <c:pt idx="96">
                  <c:v>35.573926768043158</c:v>
                </c:pt>
                <c:pt idx="97">
                  <c:v>35.515908999456556</c:v>
                </c:pt>
                <c:pt idx="98">
                  <c:v>35.986364947180064</c:v>
                </c:pt>
                <c:pt idx="99">
                  <c:v>32.717185858901559</c:v>
                </c:pt>
                <c:pt idx="100">
                  <c:v>33.784190270095472</c:v>
                </c:pt>
                <c:pt idx="101">
                  <c:v>33.083861117686048</c:v>
                </c:pt>
                <c:pt idx="102">
                  <c:v>38.12955717535764</c:v>
                </c:pt>
                <c:pt idx="103">
                  <c:v>36.741406104881378</c:v>
                </c:pt>
                <c:pt idx="104">
                  <c:v>37.138702127114058</c:v>
                </c:pt>
                <c:pt idx="105">
                  <c:v>38.015122441299866</c:v>
                </c:pt>
                <c:pt idx="106">
                  <c:v>37.179567742369528</c:v>
                </c:pt>
                <c:pt idx="107">
                  <c:v>37.807093057928384</c:v>
                </c:pt>
                <c:pt idx="108">
                  <c:v>34.135506540757135</c:v>
                </c:pt>
                <c:pt idx="109">
                  <c:v>34.612821194364997</c:v>
                </c:pt>
                <c:pt idx="110">
                  <c:v>37.633799398959219</c:v>
                </c:pt>
                <c:pt idx="111">
                  <c:v>37.495698802150265</c:v>
                </c:pt>
                <c:pt idx="112">
                  <c:v>35.15879020802457</c:v>
                </c:pt>
                <c:pt idx="113">
                  <c:v>37.216466239764195</c:v>
                </c:pt>
                <c:pt idx="114">
                  <c:v>36.421565211235439</c:v>
                </c:pt>
                <c:pt idx="115">
                  <c:v>35.440547725867788</c:v>
                </c:pt>
                <c:pt idx="116">
                  <c:v>36.901116817537407</c:v>
                </c:pt>
                <c:pt idx="117">
                  <c:v>37.744881157432722</c:v>
                </c:pt>
                <c:pt idx="118">
                  <c:v>35.621675994410225</c:v>
                </c:pt>
                <c:pt idx="119">
                  <c:v>39.278395334553132</c:v>
                </c:pt>
                <c:pt idx="120">
                  <c:v>36.965950858542627</c:v>
                </c:pt>
                <c:pt idx="121">
                  <c:v>37.722845972665539</c:v>
                </c:pt>
                <c:pt idx="122">
                  <c:v>38.095942789777276</c:v>
                </c:pt>
                <c:pt idx="123">
                  <c:v>35.552248122536511</c:v>
                </c:pt>
                <c:pt idx="124">
                  <c:v>35.73149834758101</c:v>
                </c:pt>
                <c:pt idx="125">
                  <c:v>37.530957667688654</c:v>
                </c:pt>
                <c:pt idx="126">
                  <c:v>38.519429288582359</c:v>
                </c:pt>
                <c:pt idx="127">
                  <c:v>38.981348613562389</c:v>
                </c:pt>
                <c:pt idx="128">
                  <c:v>38.376134089363958</c:v>
                </c:pt>
                <c:pt idx="129">
                  <c:v>38.198796484312787</c:v>
                </c:pt>
                <c:pt idx="130">
                  <c:v>37.86748009010126</c:v>
                </c:pt>
                <c:pt idx="131">
                  <c:v>36.75287399637282</c:v>
                </c:pt>
                <c:pt idx="132">
                  <c:v>34.141491765733001</c:v>
                </c:pt>
                <c:pt idx="133">
                  <c:v>37.796987730256888</c:v>
                </c:pt>
                <c:pt idx="134">
                  <c:v>38.078787200146621</c:v>
                </c:pt>
                <c:pt idx="135">
                  <c:v>39.302648678212641</c:v>
                </c:pt>
                <c:pt idx="136">
                  <c:v>38.273023945295343</c:v>
                </c:pt>
                <c:pt idx="137">
                  <c:v>39.302638745940932</c:v>
                </c:pt>
                <c:pt idx="138">
                  <c:v>39.566272273257091</c:v>
                </c:pt>
                <c:pt idx="139">
                  <c:v>45.993004350986872</c:v>
                </c:pt>
                <c:pt idx="140">
                  <c:v>35.831106536536225</c:v>
                </c:pt>
                <c:pt idx="141">
                  <c:v>33.066177153481007</c:v>
                </c:pt>
                <c:pt idx="142">
                  <c:v>33.556229748949157</c:v>
                </c:pt>
                <c:pt idx="143">
                  <c:v>34.569578714425013</c:v>
                </c:pt>
                <c:pt idx="144">
                  <c:v>34.673754464866839</c:v>
                </c:pt>
                <c:pt idx="145">
                  <c:v>34.267649406659494</c:v>
                </c:pt>
                <c:pt idx="146">
                  <c:v>31.725297950138142</c:v>
                </c:pt>
                <c:pt idx="147">
                  <c:v>34.114183966057951</c:v>
                </c:pt>
                <c:pt idx="148">
                  <c:v>31.629344915807664</c:v>
                </c:pt>
                <c:pt idx="149">
                  <c:v>38.324268884702747</c:v>
                </c:pt>
                <c:pt idx="150">
                  <c:v>34.847371577052719</c:v>
                </c:pt>
                <c:pt idx="151">
                  <c:v>34.546469861521231</c:v>
                </c:pt>
                <c:pt idx="152">
                  <c:v>35.212687012671417</c:v>
                </c:pt>
                <c:pt idx="153">
                  <c:v>34.379203629540363</c:v>
                </c:pt>
                <c:pt idx="154">
                  <c:v>34.811773650323005</c:v>
                </c:pt>
                <c:pt idx="155">
                  <c:v>34.520769076247795</c:v>
                </c:pt>
                <c:pt idx="156">
                  <c:v>34.943518246492822</c:v>
                </c:pt>
                <c:pt idx="157">
                  <c:v>37.508645245982159</c:v>
                </c:pt>
                <c:pt idx="158">
                  <c:v>36.806582010954486</c:v>
                </c:pt>
                <c:pt idx="159">
                  <c:v>32.693438640001183</c:v>
                </c:pt>
                <c:pt idx="160">
                  <c:v>36.067496244602523</c:v>
                </c:pt>
                <c:pt idx="161">
                  <c:v>34.925475273902379</c:v>
                </c:pt>
                <c:pt idx="162">
                  <c:v>34.383132778059931</c:v>
                </c:pt>
                <c:pt idx="163">
                  <c:v>34.844292312711879</c:v>
                </c:pt>
                <c:pt idx="164">
                  <c:v>34.968540274216522</c:v>
                </c:pt>
                <c:pt idx="165">
                  <c:v>33.192633775681692</c:v>
                </c:pt>
                <c:pt idx="166">
                  <c:v>36.351386371084573</c:v>
                </c:pt>
                <c:pt idx="167">
                  <c:v>34.23890271331782</c:v>
                </c:pt>
                <c:pt idx="168">
                  <c:v>35.435816680170682</c:v>
                </c:pt>
                <c:pt idx="169">
                  <c:v>35.727112175099059</c:v>
                </c:pt>
                <c:pt idx="170">
                  <c:v>31.923764077136848</c:v>
                </c:pt>
                <c:pt idx="171">
                  <c:v>31.67980996146995</c:v>
                </c:pt>
                <c:pt idx="172">
                  <c:v>35.406234972201503</c:v>
                </c:pt>
                <c:pt idx="173">
                  <c:v>36.090350645631737</c:v>
                </c:pt>
                <c:pt idx="174">
                  <c:v>36.022866699675888</c:v>
                </c:pt>
                <c:pt idx="175">
                  <c:v>35.989420639741994</c:v>
                </c:pt>
                <c:pt idx="176">
                  <c:v>36.384212169660366</c:v>
                </c:pt>
                <c:pt idx="177">
                  <c:v>35.353103029052747</c:v>
                </c:pt>
                <c:pt idx="178">
                  <c:v>34.861228454526405</c:v>
                </c:pt>
                <c:pt idx="179">
                  <c:v>32.289564723521991</c:v>
                </c:pt>
                <c:pt idx="180">
                  <c:v>34.894025798926172</c:v>
                </c:pt>
                <c:pt idx="181">
                  <c:v>35.920582731830493</c:v>
                </c:pt>
                <c:pt idx="182">
                  <c:v>36.731818654641479</c:v>
                </c:pt>
                <c:pt idx="183">
                  <c:v>36.252111027739119</c:v>
                </c:pt>
                <c:pt idx="184">
                  <c:v>37.073996261386327</c:v>
                </c:pt>
                <c:pt idx="185">
                  <c:v>37.204555817062314</c:v>
                </c:pt>
                <c:pt idx="186">
                  <c:v>42.454281846666085</c:v>
                </c:pt>
                <c:pt idx="187">
                  <c:v>33.764471352864938</c:v>
                </c:pt>
                <c:pt idx="188">
                  <c:v>11.546490060009813</c:v>
                </c:pt>
                <c:pt idx="189">
                  <c:v>32.556706793895586</c:v>
                </c:pt>
                <c:pt idx="190">
                  <c:v>34.612127013019084</c:v>
                </c:pt>
                <c:pt idx="191">
                  <c:v>8.5556649859446914</c:v>
                </c:pt>
                <c:pt idx="192">
                  <c:v>8.0092966946120878</c:v>
                </c:pt>
                <c:pt idx="193">
                  <c:v>26.830887401631092</c:v>
                </c:pt>
                <c:pt idx="194">
                  <c:v>42.238564580122336</c:v>
                </c:pt>
                <c:pt idx="195">
                  <c:v>9.84061948974262</c:v>
                </c:pt>
                <c:pt idx="196">
                  <c:v>10.05797732649032</c:v>
                </c:pt>
                <c:pt idx="197">
                  <c:v>25.129841653087027</c:v>
                </c:pt>
                <c:pt idx="198">
                  <c:v>25.621256695628379</c:v>
                </c:pt>
                <c:pt idx="199">
                  <c:v>37.044142830393987</c:v>
                </c:pt>
                <c:pt idx="200">
                  <c:v>32.777596794674722</c:v>
                </c:pt>
                <c:pt idx="201">
                  <c:v>32.67758520637571</c:v>
                </c:pt>
                <c:pt idx="202">
                  <c:v>49.979403499351854</c:v>
                </c:pt>
                <c:pt idx="203">
                  <c:v>33.76511619132917</c:v>
                </c:pt>
                <c:pt idx="204">
                  <c:v>33.553362835101595</c:v>
                </c:pt>
                <c:pt idx="205">
                  <c:v>27.646372217986901</c:v>
                </c:pt>
                <c:pt idx="206">
                  <c:v>29.454514071878108</c:v>
                </c:pt>
                <c:pt idx="207">
                  <c:v>33.248119336680226</c:v>
                </c:pt>
                <c:pt idx="208">
                  <c:v>27.802598370691424</c:v>
                </c:pt>
                <c:pt idx="209">
                  <c:v>27.655349233181155</c:v>
                </c:pt>
                <c:pt idx="210">
                  <c:v>30.183417412239582</c:v>
                </c:pt>
                <c:pt idx="211">
                  <c:v>30.953698969558076</c:v>
                </c:pt>
                <c:pt idx="212">
                  <c:v>30.944716005331298</c:v>
                </c:pt>
                <c:pt idx="213">
                  <c:v>30.917495119952623</c:v>
                </c:pt>
                <c:pt idx="214">
                  <c:v>29.105336259684954</c:v>
                </c:pt>
                <c:pt idx="215">
                  <c:v>28.06492730741677</c:v>
                </c:pt>
                <c:pt idx="216">
                  <c:v>43.235987112870355</c:v>
                </c:pt>
                <c:pt idx="217">
                  <c:v>39.222626275345078</c:v>
                </c:pt>
                <c:pt idx="218">
                  <c:v>27.31171303105776</c:v>
                </c:pt>
                <c:pt idx="219">
                  <c:v>31.864240799544181</c:v>
                </c:pt>
                <c:pt idx="220">
                  <c:v>31.380999561788318</c:v>
                </c:pt>
                <c:pt idx="221">
                  <c:v>31.967115013959713</c:v>
                </c:pt>
                <c:pt idx="222">
                  <c:v>31.768729479114455</c:v>
                </c:pt>
                <c:pt idx="223">
                  <c:v>42.900143949790923</c:v>
                </c:pt>
                <c:pt idx="224">
                  <c:v>35.542866316168507</c:v>
                </c:pt>
                <c:pt idx="225">
                  <c:v>8.755477581733409</c:v>
                </c:pt>
                <c:pt idx="226">
                  <c:v>39.692802981137127</c:v>
                </c:pt>
                <c:pt idx="227">
                  <c:v>37.728443917653898</c:v>
                </c:pt>
                <c:pt idx="228">
                  <c:v>46.098190056840927</c:v>
                </c:pt>
                <c:pt idx="229">
                  <c:v>28.064927307416909</c:v>
                </c:pt>
                <c:pt idx="230">
                  <c:v>63.041849428174807</c:v>
                </c:pt>
                <c:pt idx="231">
                  <c:v>39.276972263774603</c:v>
                </c:pt>
                <c:pt idx="232">
                  <c:v>33.4011840537867</c:v>
                </c:pt>
                <c:pt idx="233">
                  <c:v>39.426170547618057</c:v>
                </c:pt>
                <c:pt idx="234">
                  <c:v>39.716227016419289</c:v>
                </c:pt>
                <c:pt idx="235">
                  <c:v>32.240703989547306</c:v>
                </c:pt>
                <c:pt idx="236">
                  <c:v>39.55258926809897</c:v>
                </c:pt>
                <c:pt idx="237">
                  <c:v>39.85939186740827</c:v>
                </c:pt>
                <c:pt idx="238">
                  <c:v>40.466566797557093</c:v>
                </c:pt>
                <c:pt idx="239">
                  <c:v>40.875251791201535</c:v>
                </c:pt>
                <c:pt idx="240">
                  <c:v>32.906478635765744</c:v>
                </c:pt>
                <c:pt idx="241">
                  <c:v>21.27772453618401</c:v>
                </c:pt>
                <c:pt idx="242">
                  <c:v>28.07897979482739</c:v>
                </c:pt>
                <c:pt idx="243">
                  <c:v>27.684596210549319</c:v>
                </c:pt>
                <c:pt idx="244">
                  <c:v>20.97206563927503</c:v>
                </c:pt>
                <c:pt idx="245">
                  <c:v>18.939889462156088</c:v>
                </c:pt>
                <c:pt idx="246">
                  <c:v>22.899329621194177</c:v>
                </c:pt>
                <c:pt idx="247">
                  <c:v>29.536069862482279</c:v>
                </c:pt>
                <c:pt idx="248">
                  <c:v>19.59685271855307</c:v>
                </c:pt>
                <c:pt idx="249">
                  <c:v>21.964995119759823</c:v>
                </c:pt>
                <c:pt idx="250">
                  <c:v>25.868182394850784</c:v>
                </c:pt>
                <c:pt idx="251">
                  <c:v>25.943790816483762</c:v>
                </c:pt>
                <c:pt idx="252">
                  <c:v>29.247506812691775</c:v>
                </c:pt>
                <c:pt idx="253">
                  <c:v>25.476270844756097</c:v>
                </c:pt>
                <c:pt idx="254">
                  <c:v>24.62241993006025</c:v>
                </c:pt>
                <c:pt idx="255">
                  <c:v>23.546875115127122</c:v>
                </c:pt>
                <c:pt idx="256">
                  <c:v>26.67724224617568</c:v>
                </c:pt>
                <c:pt idx="257">
                  <c:v>29.46995334523891</c:v>
                </c:pt>
                <c:pt idx="258">
                  <c:v>28.645122633482575</c:v>
                </c:pt>
                <c:pt idx="259">
                  <c:v>29.83080468301344</c:v>
                </c:pt>
                <c:pt idx="260">
                  <c:v>28.64900854025824</c:v>
                </c:pt>
                <c:pt idx="261">
                  <c:v>26.950641757298428</c:v>
                </c:pt>
                <c:pt idx="262">
                  <c:v>28.241328746294553</c:v>
                </c:pt>
                <c:pt idx="263">
                  <c:v>27.175786460812237</c:v>
                </c:pt>
                <c:pt idx="264">
                  <c:v>27.045474169479125</c:v>
                </c:pt>
                <c:pt idx="265">
                  <c:v>26.950412221094343</c:v>
                </c:pt>
                <c:pt idx="266">
                  <c:v>27.276835031674299</c:v>
                </c:pt>
                <c:pt idx="267">
                  <c:v>27.316174896371006</c:v>
                </c:pt>
                <c:pt idx="268">
                  <c:v>26.775429585800765</c:v>
                </c:pt>
                <c:pt idx="269">
                  <c:v>27.130310944649391</c:v>
                </c:pt>
                <c:pt idx="270">
                  <c:v>26.597643703072027</c:v>
                </c:pt>
                <c:pt idx="271">
                  <c:v>28.349812984564259</c:v>
                </c:pt>
                <c:pt idx="272">
                  <c:v>25.571275373541265</c:v>
                </c:pt>
                <c:pt idx="273">
                  <c:v>30.133036620334369</c:v>
                </c:pt>
                <c:pt idx="274">
                  <c:v>25.904503260710218</c:v>
                </c:pt>
                <c:pt idx="275">
                  <c:v>27.272617393807238</c:v>
                </c:pt>
                <c:pt idx="276">
                  <c:v>27.183250280341795</c:v>
                </c:pt>
                <c:pt idx="277">
                  <c:v>27.553856942105678</c:v>
                </c:pt>
                <c:pt idx="278">
                  <c:v>27.60479810077517</c:v>
                </c:pt>
                <c:pt idx="279">
                  <c:v>35.347793727997164</c:v>
                </c:pt>
                <c:pt idx="280">
                  <c:v>25.377261071155008</c:v>
                </c:pt>
                <c:pt idx="281">
                  <c:v>27.139370899297202</c:v>
                </c:pt>
                <c:pt idx="282">
                  <c:v>30.109251562477397</c:v>
                </c:pt>
                <c:pt idx="283">
                  <c:v>29.73789878092332</c:v>
                </c:pt>
                <c:pt idx="284">
                  <c:v>26.177009929762356</c:v>
                </c:pt>
                <c:pt idx="285">
                  <c:v>26.473707488179681</c:v>
                </c:pt>
                <c:pt idx="286">
                  <c:v>53.112912494761396</c:v>
                </c:pt>
                <c:pt idx="287">
                  <c:v>34.128702109122081</c:v>
                </c:pt>
                <c:pt idx="288">
                  <c:v>32.870950986705651</c:v>
                </c:pt>
                <c:pt idx="289">
                  <c:v>34.448398126859146</c:v>
                </c:pt>
                <c:pt idx="290">
                  <c:v>34.44078100271566</c:v>
                </c:pt>
                <c:pt idx="291">
                  <c:v>31.351186406998881</c:v>
                </c:pt>
                <c:pt idx="292">
                  <c:v>34.292133896594962</c:v>
                </c:pt>
                <c:pt idx="293">
                  <c:v>34.672210557324654</c:v>
                </c:pt>
                <c:pt idx="294">
                  <c:v>35.050536343835908</c:v>
                </c:pt>
                <c:pt idx="295">
                  <c:v>34.664873433463498</c:v>
                </c:pt>
                <c:pt idx="296">
                  <c:v>24.058574993096244</c:v>
                </c:pt>
                <c:pt idx="297">
                  <c:v>25.249411557369509</c:v>
                </c:pt>
                <c:pt idx="298">
                  <c:v>26.862960311436368</c:v>
                </c:pt>
                <c:pt idx="299">
                  <c:v>26.915385015228075</c:v>
                </c:pt>
                <c:pt idx="300">
                  <c:v>22.56159115141072</c:v>
                </c:pt>
                <c:pt idx="301">
                  <c:v>20.581382601973583</c:v>
                </c:pt>
                <c:pt idx="302">
                  <c:v>22.48810324909736</c:v>
                </c:pt>
                <c:pt idx="303">
                  <c:v>28.946435048114665</c:v>
                </c:pt>
                <c:pt idx="304">
                  <c:v>20.929425660255745</c:v>
                </c:pt>
                <c:pt idx="305">
                  <c:v>22.377523085037044</c:v>
                </c:pt>
                <c:pt idx="306">
                  <c:v>26.147202028029671</c:v>
                </c:pt>
                <c:pt idx="307">
                  <c:v>26.141965040517555</c:v>
                </c:pt>
                <c:pt idx="308">
                  <c:v>26.681014468316306</c:v>
                </c:pt>
                <c:pt idx="309">
                  <c:v>25.959568701056895</c:v>
                </c:pt>
                <c:pt idx="310">
                  <c:v>25.229604655240323</c:v>
                </c:pt>
                <c:pt idx="311">
                  <c:v>23.03918334649342</c:v>
                </c:pt>
                <c:pt idx="312">
                  <c:v>25.096377081291184</c:v>
                </c:pt>
                <c:pt idx="313">
                  <c:v>28.883851190551397</c:v>
                </c:pt>
                <c:pt idx="314">
                  <c:v>28.185276198799418</c:v>
                </c:pt>
                <c:pt idx="315">
                  <c:v>27.923277422242133</c:v>
                </c:pt>
                <c:pt idx="316">
                  <c:v>26.964691492503874</c:v>
                </c:pt>
                <c:pt idx="317">
                  <c:v>25.916777720113821</c:v>
                </c:pt>
                <c:pt idx="318">
                  <c:v>25.726488364793205</c:v>
                </c:pt>
                <c:pt idx="319">
                  <c:v>26.470416817803418</c:v>
                </c:pt>
                <c:pt idx="320">
                  <c:v>26.768201176555745</c:v>
                </c:pt>
                <c:pt idx="321">
                  <c:v>25.875027561294825</c:v>
                </c:pt>
                <c:pt idx="322">
                  <c:v>25.958252663307171</c:v>
                </c:pt>
                <c:pt idx="323">
                  <c:v>25.460822772982858</c:v>
                </c:pt>
                <c:pt idx="324">
                  <c:v>24.782821613995711</c:v>
                </c:pt>
                <c:pt idx="325">
                  <c:v>24.724970753351492</c:v>
                </c:pt>
                <c:pt idx="326">
                  <c:v>26.060270271681741</c:v>
                </c:pt>
                <c:pt idx="327">
                  <c:v>24.641249008434851</c:v>
                </c:pt>
                <c:pt idx="328">
                  <c:v>25.45800220961301</c:v>
                </c:pt>
                <c:pt idx="329">
                  <c:v>28.458156453423022</c:v>
                </c:pt>
                <c:pt idx="330">
                  <c:v>24.971816362142999</c:v>
                </c:pt>
                <c:pt idx="331">
                  <c:v>25.822771592307895</c:v>
                </c:pt>
                <c:pt idx="332">
                  <c:v>25.591653920138313</c:v>
                </c:pt>
                <c:pt idx="333">
                  <c:v>25.710237423386218</c:v>
                </c:pt>
                <c:pt idx="334">
                  <c:v>25.916543832652149</c:v>
                </c:pt>
                <c:pt idx="335">
                  <c:v>34.355583829864514</c:v>
                </c:pt>
                <c:pt idx="336">
                  <c:v>28.952551099779246</c:v>
                </c:pt>
                <c:pt idx="337">
                  <c:v>26.647454057706291</c:v>
                </c:pt>
                <c:pt idx="338">
                  <c:v>28.236999607718616</c:v>
                </c:pt>
                <c:pt idx="339">
                  <c:v>32.769778877936858</c:v>
                </c:pt>
                <c:pt idx="340">
                  <c:v>29.368573161161294</c:v>
                </c:pt>
                <c:pt idx="341">
                  <c:v>25.353682173744659</c:v>
                </c:pt>
                <c:pt idx="342">
                  <c:v>54.051829593257104</c:v>
                </c:pt>
                <c:pt idx="343">
                  <c:v>35.030091539442424</c:v>
                </c:pt>
                <c:pt idx="344">
                  <c:v>33.106992535622723</c:v>
                </c:pt>
                <c:pt idx="345">
                  <c:v>35.754832141596182</c:v>
                </c:pt>
                <c:pt idx="346">
                  <c:v>35.5141708518698</c:v>
                </c:pt>
                <c:pt idx="347">
                  <c:v>30.897033090827936</c:v>
                </c:pt>
                <c:pt idx="348">
                  <c:v>35.028095814930545</c:v>
                </c:pt>
                <c:pt idx="349">
                  <c:v>36.343178270338448</c:v>
                </c:pt>
                <c:pt idx="350">
                  <c:v>35.957449860764136</c:v>
                </c:pt>
                <c:pt idx="351">
                  <c:v>34.903029443624419</c:v>
                </c:pt>
                <c:pt idx="352">
                  <c:v>25.387844362539113</c:v>
                </c:pt>
                <c:pt idx="353">
                  <c:v>25.61428724855072</c:v>
                </c:pt>
                <c:pt idx="354">
                  <c:v>24.664188169658264</c:v>
                </c:pt>
                <c:pt idx="355">
                  <c:v>24.59101730431474</c:v>
                </c:pt>
                <c:pt idx="356">
                  <c:v>21.977842862181117</c:v>
                </c:pt>
                <c:pt idx="357">
                  <c:v>20.766240913772023</c:v>
                </c:pt>
                <c:pt idx="358">
                  <c:v>21.350527784446001</c:v>
                </c:pt>
                <c:pt idx="359">
                  <c:v>26.636205723572516</c:v>
                </c:pt>
                <c:pt idx="360">
                  <c:v>20.991505381563783</c:v>
                </c:pt>
                <c:pt idx="361">
                  <c:v>21.604519567433865</c:v>
                </c:pt>
                <c:pt idx="362">
                  <c:v>24.171271891699657</c:v>
                </c:pt>
                <c:pt idx="363">
                  <c:v>24.344794080449944</c:v>
                </c:pt>
                <c:pt idx="364">
                  <c:v>25.677779332594952</c:v>
                </c:pt>
                <c:pt idx="365">
                  <c:v>23.627246798429418</c:v>
                </c:pt>
                <c:pt idx="366">
                  <c:v>23.33097984386438</c:v>
                </c:pt>
                <c:pt idx="367">
                  <c:v>21.623556235222996</c:v>
                </c:pt>
                <c:pt idx="368">
                  <c:v>23.608917605417826</c:v>
                </c:pt>
                <c:pt idx="369">
                  <c:v>28.010741611045194</c:v>
                </c:pt>
                <c:pt idx="370">
                  <c:v>26.424039777307829</c:v>
                </c:pt>
                <c:pt idx="371">
                  <c:v>26.254861164388608</c:v>
                </c:pt>
                <c:pt idx="372">
                  <c:v>25.270998248045391</c:v>
                </c:pt>
                <c:pt idx="373">
                  <c:v>24.114421936877882</c:v>
                </c:pt>
                <c:pt idx="374">
                  <c:v>24.124604923603638</c:v>
                </c:pt>
                <c:pt idx="375">
                  <c:v>25.582800626090911</c:v>
                </c:pt>
                <c:pt idx="376">
                  <c:v>26.577172330704784</c:v>
                </c:pt>
                <c:pt idx="377">
                  <c:v>24.404552412047991</c:v>
                </c:pt>
                <c:pt idx="378">
                  <c:v>24.633240133219061</c:v>
                </c:pt>
                <c:pt idx="379">
                  <c:v>24.071122332510697</c:v>
                </c:pt>
                <c:pt idx="380">
                  <c:v>23.5548002278749</c:v>
                </c:pt>
                <c:pt idx="381">
                  <c:v>23.430669894778141</c:v>
                </c:pt>
                <c:pt idx="382">
                  <c:v>24.797870284647754</c:v>
                </c:pt>
                <c:pt idx="383">
                  <c:v>23.306518210704276</c:v>
                </c:pt>
                <c:pt idx="384">
                  <c:v>23.645075968831343</c:v>
                </c:pt>
                <c:pt idx="385">
                  <c:v>27.18886468368801</c:v>
                </c:pt>
                <c:pt idx="386">
                  <c:v>24.351873509232963</c:v>
                </c:pt>
                <c:pt idx="387">
                  <c:v>25.051701008909209</c:v>
                </c:pt>
                <c:pt idx="388">
                  <c:v>24.622225463405943</c:v>
                </c:pt>
                <c:pt idx="389">
                  <c:v>24.998456691492944</c:v>
                </c:pt>
                <c:pt idx="390">
                  <c:v>25.040558651980898</c:v>
                </c:pt>
                <c:pt idx="391">
                  <c:v>31.793202935592529</c:v>
                </c:pt>
                <c:pt idx="392">
                  <c:v>29.521244265191264</c:v>
                </c:pt>
                <c:pt idx="393">
                  <c:v>24.91057014833693</c:v>
                </c:pt>
                <c:pt idx="394">
                  <c:v>26.264598976911238</c:v>
                </c:pt>
                <c:pt idx="395">
                  <c:v>31.881987624499729</c:v>
                </c:pt>
                <c:pt idx="396">
                  <c:v>29.139864711601813</c:v>
                </c:pt>
                <c:pt idx="397">
                  <c:v>25.047506862207609</c:v>
                </c:pt>
                <c:pt idx="398">
                  <c:v>48.135392938441989</c:v>
                </c:pt>
                <c:pt idx="399">
                  <c:v>34.347216795933363</c:v>
                </c:pt>
                <c:pt idx="400">
                  <c:v>33.189508063386782</c:v>
                </c:pt>
                <c:pt idx="401">
                  <c:v>35.668388469660762</c:v>
                </c:pt>
                <c:pt idx="402">
                  <c:v>35.079473684641364</c:v>
                </c:pt>
                <c:pt idx="403">
                  <c:v>33.300405050057236</c:v>
                </c:pt>
                <c:pt idx="404">
                  <c:v>34.292938650156124</c:v>
                </c:pt>
                <c:pt idx="405">
                  <c:v>36.448575130737922</c:v>
                </c:pt>
                <c:pt idx="406">
                  <c:v>36.391624197141503</c:v>
                </c:pt>
                <c:pt idx="407">
                  <c:v>33.457287142765956</c:v>
                </c:pt>
                <c:pt idx="408">
                  <c:v>25.475679941873491</c:v>
                </c:pt>
                <c:pt idx="409">
                  <c:v>30.669162898666716</c:v>
                </c:pt>
                <c:pt idx="410">
                  <c:v>33.091010172174173</c:v>
                </c:pt>
                <c:pt idx="411">
                  <c:v>35.942165422775943</c:v>
                </c:pt>
                <c:pt idx="412">
                  <c:v>15.441486077951749</c:v>
                </c:pt>
                <c:pt idx="413">
                  <c:v>15.184363092327516</c:v>
                </c:pt>
                <c:pt idx="414">
                  <c:v>13.59033042386193</c:v>
                </c:pt>
                <c:pt idx="415">
                  <c:v>12.734166511972754</c:v>
                </c:pt>
                <c:pt idx="416">
                  <c:v>15.164312862067002</c:v>
                </c:pt>
                <c:pt idx="417">
                  <c:v>35.52698564408734</c:v>
                </c:pt>
                <c:pt idx="418">
                  <c:v>42.13111592136088</c:v>
                </c:pt>
                <c:pt idx="419">
                  <c:v>41.795124673346649</c:v>
                </c:pt>
                <c:pt idx="420">
                  <c:v>42.387032655307515</c:v>
                </c:pt>
                <c:pt idx="421">
                  <c:v>42.536120829932052</c:v>
                </c:pt>
                <c:pt idx="422">
                  <c:v>42.893949311863587</c:v>
                </c:pt>
                <c:pt idx="423">
                  <c:v>13.620735222101036</c:v>
                </c:pt>
                <c:pt idx="424">
                  <c:v>13.98026071126109</c:v>
                </c:pt>
                <c:pt idx="425">
                  <c:v>27.583370898328052</c:v>
                </c:pt>
                <c:pt idx="426">
                  <c:v>28.046872553693436</c:v>
                </c:pt>
                <c:pt idx="427">
                  <c:v>41.609323239795117</c:v>
                </c:pt>
                <c:pt idx="428">
                  <c:v>41.271871889936762</c:v>
                </c:pt>
                <c:pt idx="429">
                  <c:v>30.898489950728333</c:v>
                </c:pt>
                <c:pt idx="430">
                  <c:v>30.611147772221003</c:v>
                </c:pt>
                <c:pt idx="431">
                  <c:v>51.289029820209763</c:v>
                </c:pt>
                <c:pt idx="432">
                  <c:v>39.20935571252965</c:v>
                </c:pt>
                <c:pt idx="433">
                  <c:v>28.064927307417058</c:v>
                </c:pt>
                <c:pt idx="434">
                  <c:v>35.203043840136267</c:v>
                </c:pt>
                <c:pt idx="435">
                  <c:v>27.415068565822356</c:v>
                </c:pt>
                <c:pt idx="436">
                  <c:v>32.881488798081236</c:v>
                </c:pt>
                <c:pt idx="437">
                  <c:v>37.792390371602714</c:v>
                </c:pt>
                <c:pt idx="438">
                  <c:v>41.208974235831597</c:v>
                </c:pt>
                <c:pt idx="439">
                  <c:v>42.224901415593258</c:v>
                </c:pt>
                <c:pt idx="440">
                  <c:v>41.219269638041844</c:v>
                </c:pt>
                <c:pt idx="441">
                  <c:v>42.478044689476143</c:v>
                </c:pt>
                <c:pt idx="442">
                  <c:v>41.179306173877443</c:v>
                </c:pt>
                <c:pt idx="443">
                  <c:v>40.240218050728132</c:v>
                </c:pt>
                <c:pt idx="444">
                  <c:v>38.579574103692167</c:v>
                </c:pt>
                <c:pt idx="445">
                  <c:v>37.27113580602834</c:v>
                </c:pt>
                <c:pt idx="446">
                  <c:v>34.73504176448678</c:v>
                </c:pt>
                <c:pt idx="447">
                  <c:v>46.408848446687394</c:v>
                </c:pt>
                <c:pt idx="448">
                  <c:v>42.292968529272649</c:v>
                </c:pt>
                <c:pt idx="449">
                  <c:v>35.069703851423633</c:v>
                </c:pt>
                <c:pt idx="450">
                  <c:v>41.737112357069428</c:v>
                </c:pt>
                <c:pt idx="451">
                  <c:v>38.622682722844949</c:v>
                </c:pt>
                <c:pt idx="452">
                  <c:v>41.725266578670031</c:v>
                </c:pt>
                <c:pt idx="453">
                  <c:v>43.744941688235222</c:v>
                </c:pt>
                <c:pt idx="454">
                  <c:v>52.973659500607063</c:v>
                </c:pt>
                <c:pt idx="455">
                  <c:v>70.951256454664247</c:v>
                </c:pt>
                <c:pt idx="456">
                  <c:v>27.092814856766207</c:v>
                </c:pt>
                <c:pt idx="457">
                  <c:v>29.675822551399616</c:v>
                </c:pt>
                <c:pt idx="458">
                  <c:v>29.408724670670352</c:v>
                </c:pt>
                <c:pt idx="459">
                  <c:v>27.048037609719859</c:v>
                </c:pt>
                <c:pt idx="460">
                  <c:v>29.315192938308432</c:v>
                </c:pt>
                <c:pt idx="461">
                  <c:v>23.639717256749282</c:v>
                </c:pt>
                <c:pt idx="462">
                  <c:v>22.469524329535552</c:v>
                </c:pt>
                <c:pt idx="463">
                  <c:v>26.683614687263319</c:v>
                </c:pt>
                <c:pt idx="464">
                  <c:v>26.555380410051399</c:v>
                </c:pt>
                <c:pt idx="465">
                  <c:v>30.424932249434157</c:v>
                </c:pt>
                <c:pt idx="466">
                  <c:v>30.567382808413289</c:v>
                </c:pt>
                <c:pt idx="467">
                  <c:v>30.080539604681164</c:v>
                </c:pt>
                <c:pt idx="468">
                  <c:v>30.794219549946725</c:v>
                </c:pt>
                <c:pt idx="469">
                  <c:v>31.229513153876592</c:v>
                </c:pt>
                <c:pt idx="470">
                  <c:v>22.791733361051982</c:v>
                </c:pt>
                <c:pt idx="471">
                  <c:v>23.242125257043305</c:v>
                </c:pt>
                <c:pt idx="472">
                  <c:v>27.157133758335718</c:v>
                </c:pt>
                <c:pt idx="473">
                  <c:v>27.615175428162598</c:v>
                </c:pt>
                <c:pt idx="474">
                  <c:v>28.860109872517025</c:v>
                </c:pt>
                <c:pt idx="475">
                  <c:v>28.882433935120474</c:v>
                </c:pt>
                <c:pt idx="476">
                  <c:v>26.286350979837582</c:v>
                </c:pt>
                <c:pt idx="477">
                  <c:v>24.489351097556249</c:v>
                </c:pt>
                <c:pt idx="478">
                  <c:v>27.122712047639084</c:v>
                </c:pt>
                <c:pt idx="479">
                  <c:v>30.88226713078188</c:v>
                </c:pt>
                <c:pt idx="480">
                  <c:v>26.777182741853977</c:v>
                </c:pt>
                <c:pt idx="481">
                  <c:v>26.935304383935598</c:v>
                </c:pt>
                <c:pt idx="482">
                  <c:v>28.858394179529736</c:v>
                </c:pt>
                <c:pt idx="483">
                  <c:v>28.489086393204452</c:v>
                </c:pt>
                <c:pt idx="484">
                  <c:v>28.535163762558394</c:v>
                </c:pt>
                <c:pt idx="485">
                  <c:v>29.39715882401298</c:v>
                </c:pt>
                <c:pt idx="486">
                  <c:v>30.244821623682178</c:v>
                </c:pt>
                <c:pt idx="487">
                  <c:v>28.34380348905238</c:v>
                </c:pt>
                <c:pt idx="488">
                  <c:v>28.83722099987223</c:v>
                </c:pt>
                <c:pt idx="489">
                  <c:v>28.861916645948398</c:v>
                </c:pt>
                <c:pt idx="490">
                  <c:v>28.05648706520568</c:v>
                </c:pt>
                <c:pt idx="491">
                  <c:v>28.075618848884112</c:v>
                </c:pt>
                <c:pt idx="492">
                  <c:v>28.000379216791192</c:v>
                </c:pt>
                <c:pt idx="493">
                  <c:v>27.541474486208628</c:v>
                </c:pt>
                <c:pt idx="494">
                  <c:v>24.810430402242304</c:v>
                </c:pt>
                <c:pt idx="495">
                  <c:v>30.400053417566337</c:v>
                </c:pt>
                <c:pt idx="496">
                  <c:v>27.017664644021728</c:v>
                </c:pt>
                <c:pt idx="497">
                  <c:v>28.264131809926859</c:v>
                </c:pt>
                <c:pt idx="498">
                  <c:v>28.273354913914527</c:v>
                </c:pt>
                <c:pt idx="499">
                  <c:v>29.196229473341713</c:v>
                </c:pt>
                <c:pt idx="500">
                  <c:v>29.221361030694833</c:v>
                </c:pt>
                <c:pt idx="501">
                  <c:v>35.296760570921663</c:v>
                </c:pt>
                <c:pt idx="502">
                  <c:v>28.675881096916036</c:v>
                </c:pt>
                <c:pt idx="503">
                  <c:v>26.642640369783521</c:v>
                </c:pt>
                <c:pt idx="504">
                  <c:v>28.949082368118422</c:v>
                </c:pt>
                <c:pt idx="505">
                  <c:v>28.508013411469296</c:v>
                </c:pt>
                <c:pt idx="506">
                  <c:v>26.851025076947721</c:v>
                </c:pt>
                <c:pt idx="507">
                  <c:v>29.266423457474929</c:v>
                </c:pt>
                <c:pt idx="508">
                  <c:v>23.889661311617161</c:v>
                </c:pt>
                <c:pt idx="509">
                  <c:v>22.48292538450016</c:v>
                </c:pt>
                <c:pt idx="510">
                  <c:v>26.612404050990097</c:v>
                </c:pt>
                <c:pt idx="511">
                  <c:v>24.518740948649459</c:v>
                </c:pt>
                <c:pt idx="512">
                  <c:v>28.479729909670681</c:v>
                </c:pt>
                <c:pt idx="513">
                  <c:v>29.268624649708102</c:v>
                </c:pt>
                <c:pt idx="514">
                  <c:v>28.778881888544383</c:v>
                </c:pt>
                <c:pt idx="515">
                  <c:v>29.549927360891633</c:v>
                </c:pt>
                <c:pt idx="516">
                  <c:v>30.649857512761145</c:v>
                </c:pt>
                <c:pt idx="517">
                  <c:v>22.76176656829729</c:v>
                </c:pt>
                <c:pt idx="518">
                  <c:v>23.27799338445551</c:v>
                </c:pt>
                <c:pt idx="519">
                  <c:v>27.007697611426185</c:v>
                </c:pt>
                <c:pt idx="520">
                  <c:v>27.816238047388421</c:v>
                </c:pt>
                <c:pt idx="521">
                  <c:v>28.35533465609722</c:v>
                </c:pt>
                <c:pt idx="522">
                  <c:v>27.956728968735099</c:v>
                </c:pt>
                <c:pt idx="523">
                  <c:v>26.049856964069384</c:v>
                </c:pt>
                <c:pt idx="524">
                  <c:v>23.725652266585996</c:v>
                </c:pt>
                <c:pt idx="525">
                  <c:v>26.078248807296266</c:v>
                </c:pt>
                <c:pt idx="526">
                  <c:v>30.063829994955586</c:v>
                </c:pt>
                <c:pt idx="527">
                  <c:v>26.15132660378573</c:v>
                </c:pt>
                <c:pt idx="528">
                  <c:v>28.654575959802813</c:v>
                </c:pt>
                <c:pt idx="529">
                  <c:v>27.891044508049486</c:v>
                </c:pt>
                <c:pt idx="530">
                  <c:v>27.964397111131859</c:v>
                </c:pt>
                <c:pt idx="531">
                  <c:v>26.810882176058477</c:v>
                </c:pt>
                <c:pt idx="532">
                  <c:v>28.539084999110461</c:v>
                </c:pt>
                <c:pt idx="533">
                  <c:v>30.339115704468824</c:v>
                </c:pt>
                <c:pt idx="534">
                  <c:v>27.213624476012505</c:v>
                </c:pt>
                <c:pt idx="535">
                  <c:v>27.483351082133165</c:v>
                </c:pt>
                <c:pt idx="536">
                  <c:v>27.584618166371847</c:v>
                </c:pt>
                <c:pt idx="537">
                  <c:v>27.53342368012207</c:v>
                </c:pt>
                <c:pt idx="538">
                  <c:v>26.458781573938616</c:v>
                </c:pt>
                <c:pt idx="539">
                  <c:v>27.588749279590374</c:v>
                </c:pt>
                <c:pt idx="540">
                  <c:v>29.960947560628732</c:v>
                </c:pt>
                <c:pt idx="541">
                  <c:v>25.735344447297109</c:v>
                </c:pt>
                <c:pt idx="542">
                  <c:v>29.348548809718039</c:v>
                </c:pt>
                <c:pt idx="543">
                  <c:v>27.639845721314696</c:v>
                </c:pt>
                <c:pt idx="544">
                  <c:v>28.548170438539444</c:v>
                </c:pt>
                <c:pt idx="545">
                  <c:v>28.662613278369726</c:v>
                </c:pt>
                <c:pt idx="546">
                  <c:v>28.61649781260045</c:v>
                </c:pt>
                <c:pt idx="547">
                  <c:v>28.935504459851245</c:v>
                </c:pt>
                <c:pt idx="548">
                  <c:v>36.211276264982246</c:v>
                </c:pt>
                <c:pt idx="549">
                  <c:v>30.431290679759744</c:v>
                </c:pt>
                <c:pt idx="550">
                  <c:v>26.030000386826842</c:v>
                </c:pt>
                <c:pt idx="551">
                  <c:v>27.705001401060109</c:v>
                </c:pt>
                <c:pt idx="552">
                  <c:v>26.198941987156822</c:v>
                </c:pt>
                <c:pt idx="553">
                  <c:v>27.042782318878711</c:v>
                </c:pt>
                <c:pt idx="554">
                  <c:v>28.389673151782532</c:v>
                </c:pt>
                <c:pt idx="555">
                  <c:v>26.0937460491078</c:v>
                </c:pt>
                <c:pt idx="556">
                  <c:v>23.272168529100732</c:v>
                </c:pt>
                <c:pt idx="557">
                  <c:v>26.858148989567557</c:v>
                </c:pt>
                <c:pt idx="558">
                  <c:v>24.471250937026117</c:v>
                </c:pt>
                <c:pt idx="559">
                  <c:v>25.979010256369538</c:v>
                </c:pt>
                <c:pt idx="560">
                  <c:v>28.223116486709074</c:v>
                </c:pt>
                <c:pt idx="561">
                  <c:v>27.339192885519761</c:v>
                </c:pt>
                <c:pt idx="562">
                  <c:v>28.420808781190754</c:v>
                </c:pt>
                <c:pt idx="563">
                  <c:v>29.289590170672806</c:v>
                </c:pt>
                <c:pt idx="564">
                  <c:v>23.502625183525581</c:v>
                </c:pt>
                <c:pt idx="565">
                  <c:v>24.133461578759725</c:v>
                </c:pt>
                <c:pt idx="566">
                  <c:v>26.572190458813509</c:v>
                </c:pt>
                <c:pt idx="567">
                  <c:v>26.17273079204902</c:v>
                </c:pt>
                <c:pt idx="568">
                  <c:v>27.318779775019294</c:v>
                </c:pt>
                <c:pt idx="569">
                  <c:v>25.851776771793151</c:v>
                </c:pt>
                <c:pt idx="570">
                  <c:v>24.686752389773137</c:v>
                </c:pt>
                <c:pt idx="571">
                  <c:v>23.573095201593087</c:v>
                </c:pt>
                <c:pt idx="572">
                  <c:v>24.869715100705697</c:v>
                </c:pt>
                <c:pt idx="573">
                  <c:v>29.21176407636581</c:v>
                </c:pt>
                <c:pt idx="574">
                  <c:v>25.503101909688628</c:v>
                </c:pt>
                <c:pt idx="575">
                  <c:v>27.615560908768234</c:v>
                </c:pt>
                <c:pt idx="576">
                  <c:v>26.605423796270664</c:v>
                </c:pt>
                <c:pt idx="577">
                  <c:v>26.423282660335744</c:v>
                </c:pt>
                <c:pt idx="578">
                  <c:v>25.294542436542852</c:v>
                </c:pt>
                <c:pt idx="579">
                  <c:v>27.056689224588986</c:v>
                </c:pt>
                <c:pt idx="580">
                  <c:v>30.389087104862615</c:v>
                </c:pt>
                <c:pt idx="581">
                  <c:v>25.912918043142053</c:v>
                </c:pt>
                <c:pt idx="582">
                  <c:v>25.872330295101037</c:v>
                </c:pt>
                <c:pt idx="583">
                  <c:v>26.480601280739261</c:v>
                </c:pt>
                <c:pt idx="584">
                  <c:v>26.001602828147174</c:v>
                </c:pt>
                <c:pt idx="585">
                  <c:v>25.560331862594982</c:v>
                </c:pt>
                <c:pt idx="586">
                  <c:v>26.336973123643922</c:v>
                </c:pt>
                <c:pt idx="587">
                  <c:v>30.009876312551917</c:v>
                </c:pt>
                <c:pt idx="588">
                  <c:v>25.378886492609134</c:v>
                </c:pt>
                <c:pt idx="589">
                  <c:v>28.318580145552286</c:v>
                </c:pt>
                <c:pt idx="590">
                  <c:v>26.134516437903791</c:v>
                </c:pt>
                <c:pt idx="591">
                  <c:v>26.28217027559759</c:v>
                </c:pt>
                <c:pt idx="592">
                  <c:v>26.801671316089724</c:v>
                </c:pt>
                <c:pt idx="593">
                  <c:v>26.482736883472537</c:v>
                </c:pt>
                <c:pt idx="594">
                  <c:v>26.974471342157333</c:v>
                </c:pt>
                <c:pt idx="595">
                  <c:v>34.790672054843128</c:v>
                </c:pt>
                <c:pt idx="596">
                  <c:v>30.173080146138116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7F-4B2A-A591-317079AE5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94672975"/>
        <c:axId val="1188840255"/>
      </c:barChart>
      <c:catAx>
        <c:axId val="1194672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88840255"/>
        <c:crosses val="autoZero"/>
        <c:auto val="1"/>
        <c:lblAlgn val="ctr"/>
        <c:lblOffset val="100"/>
        <c:noMultiLvlLbl val="0"/>
      </c:catAx>
      <c:valAx>
        <c:axId val="1188840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Electricity Price (€/MWh)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946729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[InteractiveResults.xlsm]EMI_YCRAG!PivotTable2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EMI_YCRAG!$Q$3:$Q$4</c:f>
              <c:strCache>
                <c:ptCount val="1"/>
                <c:pt idx="0">
                  <c:v>PT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EMI_YCRAG!$P$5:$P$8</c:f>
              <c:multiLvlStrCache>
                <c:ptCount val="1"/>
                <c:lvl>
                  <c:pt idx="0">
                    <c:v>2050</c:v>
                  </c:pt>
                </c:lvl>
                <c:lvl>
                  <c:pt idx="0">
                    <c:v>-1</c:v>
                  </c:pt>
                </c:lvl>
                <c:lvl>
                  <c:pt idx="0">
                    <c:v>%scenario_name%</c:v>
                  </c:pt>
                </c:lvl>
              </c:multiLvlStrCache>
            </c:multiLvlStrRef>
          </c:cat>
          <c:val>
            <c:numRef>
              <c:f>EMI_YCRAG!$Q$5:$Q$8</c:f>
              <c:numCache>
                <c:formatCode>General</c:formatCode>
                <c:ptCount val="1"/>
                <c:pt idx="0">
                  <c:v>1.1972101024834306E-13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62-4262-A9F0-07C3060C0617}"/>
            </c:ext>
          </c:extLst>
        </c:ser>
        <c:ser>
          <c:idx val="1"/>
          <c:order val="1"/>
          <c:tx>
            <c:strRef>
              <c:f>EMI_YCRAG!$R$3:$R$4</c:f>
              <c:strCache>
                <c:ptCount val="1"/>
                <c:pt idx="0">
                  <c:v>SK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EMI_YCRAG!$P$5:$P$8</c:f>
              <c:multiLvlStrCache>
                <c:ptCount val="1"/>
                <c:lvl>
                  <c:pt idx="0">
                    <c:v>2050</c:v>
                  </c:pt>
                </c:lvl>
                <c:lvl>
                  <c:pt idx="0">
                    <c:v>-1</c:v>
                  </c:pt>
                </c:lvl>
                <c:lvl>
                  <c:pt idx="0">
                    <c:v>%scenario_name%</c:v>
                  </c:pt>
                </c:lvl>
              </c:multiLvlStrCache>
            </c:multiLvlStrRef>
          </c:cat>
          <c:val>
            <c:numRef>
              <c:f>EMI_YCRAG!$R$5:$R$8</c:f>
              <c:numCache>
                <c:formatCode>General</c:formatCode>
                <c:ptCount val="1"/>
                <c:pt idx="0">
                  <c:v>-1.4965126281042882E-14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A0AA-4030-B0B5-DDACDF280A5B}"/>
            </c:ext>
          </c:extLst>
        </c:ser>
        <c:ser>
          <c:idx val="2"/>
          <c:order val="2"/>
          <c:tx>
            <c:strRef>
              <c:f>EMI_YCRAG!$S$3:$S$4</c:f>
              <c:strCache>
                <c:ptCount val="1"/>
                <c:pt idx="0">
                  <c:v>HR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EMI_YCRAG!$P$5:$P$8</c:f>
              <c:multiLvlStrCache>
                <c:ptCount val="1"/>
                <c:lvl>
                  <c:pt idx="0">
                    <c:v>2050</c:v>
                  </c:pt>
                </c:lvl>
                <c:lvl>
                  <c:pt idx="0">
                    <c:v>-1</c:v>
                  </c:pt>
                </c:lvl>
                <c:lvl>
                  <c:pt idx="0">
                    <c:v>%scenario_name%</c:v>
                  </c:pt>
                </c:lvl>
              </c:multiLvlStrCache>
            </c:multiLvlStrRef>
          </c:cat>
          <c:val>
            <c:numRef>
              <c:f>EMI_YCRAG!$S$5:$S$8</c:f>
              <c:numCache>
                <c:formatCode>General</c:formatCode>
                <c:ptCount val="1"/>
                <c:pt idx="0">
                  <c:v>7.4825631405214411E-15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8-A0AA-4030-B0B5-DDACDF280A5B}"/>
            </c:ext>
          </c:extLst>
        </c:ser>
        <c:ser>
          <c:idx val="3"/>
          <c:order val="3"/>
          <c:tx>
            <c:strRef>
              <c:f>EMI_YCRAG!$T$3:$T$4</c:f>
              <c:strCache>
                <c:ptCount val="1"/>
                <c:pt idx="0">
                  <c:v>MT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EMI_YCRAG!$P$5:$P$8</c:f>
              <c:multiLvlStrCache>
                <c:ptCount val="1"/>
                <c:lvl>
                  <c:pt idx="0">
                    <c:v>2050</c:v>
                  </c:pt>
                </c:lvl>
                <c:lvl>
                  <c:pt idx="0">
                    <c:v>-1</c:v>
                  </c:pt>
                </c:lvl>
                <c:lvl>
                  <c:pt idx="0">
                    <c:v>%scenario_name%</c:v>
                  </c:pt>
                </c:lvl>
              </c:multiLvlStrCache>
            </c:multiLvlStrRef>
          </c:cat>
          <c:val>
            <c:numRef>
              <c:f>EMI_YCRAG!$T$5:$T$8</c:f>
              <c:numCache>
                <c:formatCode>General</c:formatCode>
                <c:ptCount val="1"/>
                <c:pt idx="0">
                  <c:v>18.685088679114198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9-A0AA-4030-B0B5-DDACDF280A5B}"/>
            </c:ext>
          </c:extLst>
        </c:ser>
        <c:ser>
          <c:idx val="4"/>
          <c:order val="4"/>
          <c:tx>
            <c:strRef>
              <c:f>EMI_YCRAG!$U$3:$U$4</c:f>
              <c:strCache>
                <c:ptCount val="1"/>
                <c:pt idx="0">
                  <c:v>ITN1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EMI_YCRAG!$P$5:$P$8</c:f>
              <c:multiLvlStrCache>
                <c:ptCount val="1"/>
                <c:lvl>
                  <c:pt idx="0">
                    <c:v>2050</c:v>
                  </c:pt>
                </c:lvl>
                <c:lvl>
                  <c:pt idx="0">
                    <c:v>-1</c:v>
                  </c:pt>
                </c:lvl>
                <c:lvl>
                  <c:pt idx="0">
                    <c:v>%scenario_name%</c:v>
                  </c:pt>
                </c:lvl>
              </c:multiLvlStrCache>
            </c:multiLvlStrRef>
          </c:cat>
          <c:val>
            <c:numRef>
              <c:f>EMI_YCRAG!$U$5:$U$8</c:f>
              <c:numCache>
                <c:formatCode>General</c:formatCode>
                <c:ptCount val="1"/>
                <c:pt idx="0">
                  <c:v>9.5776808198674446E-13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A-A0AA-4030-B0B5-DDACDF280A5B}"/>
            </c:ext>
          </c:extLst>
        </c:ser>
        <c:ser>
          <c:idx val="5"/>
          <c:order val="5"/>
          <c:tx>
            <c:strRef>
              <c:f>EMI_YCRAG!$V$3:$V$4</c:f>
              <c:strCache>
                <c:ptCount val="1"/>
                <c:pt idx="0">
                  <c:v>ITS1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EMI_YCRAG!$P$5:$P$8</c:f>
              <c:multiLvlStrCache>
                <c:ptCount val="1"/>
                <c:lvl>
                  <c:pt idx="0">
                    <c:v>2050</c:v>
                  </c:pt>
                </c:lvl>
                <c:lvl>
                  <c:pt idx="0">
                    <c:v>-1</c:v>
                  </c:pt>
                </c:lvl>
                <c:lvl>
                  <c:pt idx="0">
                    <c:v>%scenario_name%</c:v>
                  </c:pt>
                </c:lvl>
              </c:multiLvlStrCache>
            </c:multiLvlStrRef>
          </c:cat>
          <c:val>
            <c:numRef>
              <c:f>EMI_YCRAG!$V$5:$V$8</c:f>
              <c:numCache>
                <c:formatCode>General</c:formatCode>
                <c:ptCount val="1"/>
                <c:pt idx="0">
                  <c:v>-5.9860505124171529E-14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B-A0AA-4030-B0B5-DDACDF280A5B}"/>
            </c:ext>
          </c:extLst>
        </c:ser>
        <c:ser>
          <c:idx val="6"/>
          <c:order val="6"/>
          <c:tx>
            <c:strRef>
              <c:f>EMI_YCRAG!$W$3:$W$4</c:f>
              <c:strCache>
                <c:ptCount val="1"/>
                <c:pt idx="0">
                  <c:v>ITSA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EMI_YCRAG!$P$5:$P$8</c:f>
              <c:multiLvlStrCache>
                <c:ptCount val="1"/>
                <c:lvl>
                  <c:pt idx="0">
                    <c:v>2050</c:v>
                  </c:pt>
                </c:lvl>
                <c:lvl>
                  <c:pt idx="0">
                    <c:v>-1</c:v>
                  </c:pt>
                </c:lvl>
                <c:lvl>
                  <c:pt idx="0">
                    <c:v>%scenario_name%</c:v>
                  </c:pt>
                </c:lvl>
              </c:multiLvlStrCache>
            </c:multiLvlStrRef>
          </c:cat>
          <c:val>
            <c:numRef>
              <c:f>EMI_YCRAG!$W$5:$W$8</c:f>
              <c:numCache>
                <c:formatCode>General</c:formatCode>
                <c:ptCount val="1"/>
                <c:pt idx="0">
                  <c:v>2.9930252562085764E-14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C-A0AA-4030-B0B5-DDACDF280A5B}"/>
            </c:ext>
          </c:extLst>
        </c:ser>
        <c:ser>
          <c:idx val="7"/>
          <c:order val="7"/>
          <c:tx>
            <c:strRef>
              <c:f>EMI_YCRAG!$X$3:$X$4</c:f>
              <c:strCache>
                <c:ptCount val="1"/>
                <c:pt idx="0">
                  <c:v>ITSI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EMI_YCRAG!$P$5:$P$8</c:f>
              <c:multiLvlStrCache>
                <c:ptCount val="1"/>
                <c:lvl>
                  <c:pt idx="0">
                    <c:v>2050</c:v>
                  </c:pt>
                </c:lvl>
                <c:lvl>
                  <c:pt idx="0">
                    <c:v>-1</c:v>
                  </c:pt>
                </c:lvl>
                <c:lvl>
                  <c:pt idx="0">
                    <c:v>%scenario_name%</c:v>
                  </c:pt>
                </c:lvl>
              </c:multiLvlStrCache>
            </c:multiLvlStrRef>
          </c:cat>
          <c:val>
            <c:numRef>
              <c:f>EMI_YCRAG!$X$5:$X$8</c:f>
              <c:numCache>
                <c:formatCode>General</c:formatCode>
                <c:ptCount val="1"/>
                <c:pt idx="0">
                  <c:v>-5.9860505124171529E-14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D-A0AA-4030-B0B5-DDACDF280A5B}"/>
            </c:ext>
          </c:extLst>
        </c:ser>
        <c:ser>
          <c:idx val="8"/>
          <c:order val="8"/>
          <c:tx>
            <c:strRef>
              <c:f>EMI_YCRAG!$Y$3:$Y$4</c:f>
              <c:strCache>
                <c:ptCount val="1"/>
                <c:pt idx="0">
                  <c:v>ITCA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EMI_YCRAG!$P$5:$P$8</c:f>
              <c:multiLvlStrCache>
                <c:ptCount val="1"/>
                <c:lvl>
                  <c:pt idx="0">
                    <c:v>2050</c:v>
                  </c:pt>
                </c:lvl>
                <c:lvl>
                  <c:pt idx="0">
                    <c:v>-1</c:v>
                  </c:pt>
                </c:lvl>
                <c:lvl>
                  <c:pt idx="0">
                    <c:v>%scenario_name%</c:v>
                  </c:pt>
                </c:lvl>
              </c:multiLvlStrCache>
            </c:multiLvlStrRef>
          </c:cat>
          <c:val>
            <c:numRef>
              <c:f>EMI_YCRAG!$Y$5:$Y$8</c:f>
              <c:numCache>
                <c:formatCode>General</c:formatCode>
                <c:ptCount val="1"/>
                <c:pt idx="0">
                  <c:v>-5.9860505124171529E-14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17-4E26-BFDC-1EAFC2D11C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93528911"/>
        <c:axId val="1193918879"/>
      </c:barChart>
      <c:catAx>
        <c:axId val="11935289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93918879"/>
        <c:crosses val="autoZero"/>
        <c:auto val="1"/>
        <c:lblAlgn val="ctr"/>
        <c:lblOffset val="100"/>
        <c:noMultiLvlLbl val="0"/>
      </c:catAx>
      <c:valAx>
        <c:axId val="1193918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Emissions (ktCO2)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935289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[InteractiveResults.xlsm]EL_DEMAND_YCR!PivotTable1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EL_DEMAND_YCR!$M$8:$M$9</c:f>
              <c:strCache>
                <c:ptCount val="1"/>
                <c:pt idx="0">
                  <c:v>EXOGENOUS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multiLvlStrRef>
              <c:f>EL_DEMAND_YCR!$L$10:$L$48</c:f>
              <c:multiLvlStrCache>
                <c:ptCount val="36"/>
                <c:lvl>
                  <c:pt idx="0">
                    <c:v>DENMARK</c:v>
                  </c:pt>
                  <c:pt idx="1">
                    <c:v>FRANCE</c:v>
                  </c:pt>
                  <c:pt idx="2">
                    <c:v>GERMANY</c:v>
                  </c:pt>
                  <c:pt idx="3">
                    <c:v>GREECE</c:v>
                  </c:pt>
                  <c:pt idx="4">
                    <c:v>ITALY</c:v>
                  </c:pt>
                  <c:pt idx="5">
                    <c:v>NORWAY</c:v>
                  </c:pt>
                  <c:pt idx="6">
                    <c:v>UNITED_KINGDOM</c:v>
                  </c:pt>
                  <c:pt idx="7">
                    <c:v>FINLAND</c:v>
                  </c:pt>
                  <c:pt idx="8">
                    <c:v>NETHERLANDS</c:v>
                  </c:pt>
                  <c:pt idx="9">
                    <c:v>SWEDEN</c:v>
                  </c:pt>
                  <c:pt idx="10">
                    <c:v>ESTONIA</c:v>
                  </c:pt>
                  <c:pt idx="11">
                    <c:v>LATVIA</c:v>
                  </c:pt>
                  <c:pt idx="12">
                    <c:v>LITHUANIA</c:v>
                  </c:pt>
                  <c:pt idx="13">
                    <c:v>POLAND</c:v>
                  </c:pt>
                  <c:pt idx="14">
                    <c:v>BELGIUM</c:v>
                  </c:pt>
                  <c:pt idx="15">
                    <c:v>SWITZERLAND</c:v>
                  </c:pt>
                  <c:pt idx="16">
                    <c:v>AUSTRIA</c:v>
                  </c:pt>
                  <c:pt idx="17">
                    <c:v>CZECH_REPUBLIC</c:v>
                  </c:pt>
                  <c:pt idx="18">
                    <c:v>SPAIN</c:v>
                  </c:pt>
                  <c:pt idx="19">
                    <c:v>PORTUGAL</c:v>
                  </c:pt>
                  <c:pt idx="20">
                    <c:v>SLOVAKIA</c:v>
                  </c:pt>
                  <c:pt idx="21">
                    <c:v>HUNGARY</c:v>
                  </c:pt>
                  <c:pt idx="22">
                    <c:v>SLOVENIA</c:v>
                  </c:pt>
                  <c:pt idx="23">
                    <c:v>CROATIA</c:v>
                  </c:pt>
                  <c:pt idx="24">
                    <c:v>ROMANIA</c:v>
                  </c:pt>
                  <c:pt idx="25">
                    <c:v>BULGARIA</c:v>
                  </c:pt>
                  <c:pt idx="26">
                    <c:v>IRELAND</c:v>
                  </c:pt>
                  <c:pt idx="27">
                    <c:v>LUXEMBOURG</c:v>
                  </c:pt>
                  <c:pt idx="28">
                    <c:v>ALBANIA</c:v>
                  </c:pt>
                  <c:pt idx="29">
                    <c:v>MONTENEGRO</c:v>
                  </c:pt>
                  <c:pt idx="30">
                    <c:v>NORTH_MACEDONIA</c:v>
                  </c:pt>
                  <c:pt idx="31">
                    <c:v>BOSNIA_AND_HERZEGOVINA</c:v>
                  </c:pt>
                  <c:pt idx="32">
                    <c:v>SERBIA</c:v>
                  </c:pt>
                  <c:pt idx="33">
                    <c:v>TURKEY</c:v>
                  </c:pt>
                  <c:pt idx="34">
                    <c:v>MALTA</c:v>
                  </c:pt>
                  <c:pt idx="35">
                    <c:v>CYPRUS</c:v>
                  </c:pt>
                </c:lvl>
                <c:lvl>
                  <c:pt idx="0">
                    <c:v>2050</c:v>
                  </c:pt>
                </c:lvl>
                <c:lvl>
                  <c:pt idx="0">
                    <c:v>%scenario_name%</c:v>
                  </c:pt>
                </c:lvl>
              </c:multiLvlStrCache>
            </c:multiLvlStrRef>
          </c:cat>
          <c:val>
            <c:numRef>
              <c:f>EL_DEMAND_YCR!$M$10:$M$48</c:f>
              <c:numCache>
                <c:formatCode>General</c:formatCode>
                <c:ptCount val="36"/>
                <c:pt idx="0">
                  <c:v>41.809333333333427</c:v>
                </c:pt>
                <c:pt idx="1">
                  <c:v>427.05499999999995</c:v>
                </c:pt>
                <c:pt idx="2">
                  <c:v>491.45399999999967</c:v>
                </c:pt>
                <c:pt idx="3">
                  <c:v>52.956548572254782</c:v>
                </c:pt>
                <c:pt idx="4">
                  <c:v>289.25497810383331</c:v>
                </c:pt>
                <c:pt idx="5">
                  <c:v>117.709</c:v>
                </c:pt>
                <c:pt idx="6">
                  <c:v>296.25133333333309</c:v>
                </c:pt>
                <c:pt idx="7">
                  <c:v>81.985999999999962</c:v>
                </c:pt>
                <c:pt idx="8">
                  <c:v>101.96399999999996</c:v>
                </c:pt>
                <c:pt idx="9">
                  <c:v>125.91955555555558</c:v>
                </c:pt>
                <c:pt idx="10">
                  <c:v>7.4595555555555562</c:v>
                </c:pt>
                <c:pt idx="11">
                  <c:v>6.1549999999999958</c:v>
                </c:pt>
                <c:pt idx="12">
                  <c:v>9.4520000000000017</c:v>
                </c:pt>
                <c:pt idx="13">
                  <c:v>136.67411111111107</c:v>
                </c:pt>
                <c:pt idx="14">
                  <c:v>75.553333333333327</c:v>
                </c:pt>
                <c:pt idx="15">
                  <c:v>44.813024175833334</c:v>
                </c:pt>
                <c:pt idx="16">
                  <c:v>66.001900648666663</c:v>
                </c:pt>
                <c:pt idx="17">
                  <c:v>60.061507758333342</c:v>
                </c:pt>
                <c:pt idx="18">
                  <c:v>229.83865505533342</c:v>
                </c:pt>
                <c:pt idx="19">
                  <c:v>45.872124254833373</c:v>
                </c:pt>
                <c:pt idx="20">
                  <c:v>23.741276002666062</c:v>
                </c:pt>
                <c:pt idx="21">
                  <c:v>35.316197490280082</c:v>
                </c:pt>
                <c:pt idx="22">
                  <c:v>11.972383832478997</c:v>
                </c:pt>
                <c:pt idx="23">
                  <c:v>15.084308667687434</c:v>
                </c:pt>
                <c:pt idx="24">
                  <c:v>43.309804512278227</c:v>
                </c:pt>
                <c:pt idx="25">
                  <c:v>28.64091424331296</c:v>
                </c:pt>
                <c:pt idx="26">
                  <c:v>25.243556511712587</c:v>
                </c:pt>
                <c:pt idx="27">
                  <c:v>5.7347020584336255</c:v>
                </c:pt>
                <c:pt idx="28">
                  <c:v>5.4398385840401797</c:v>
                </c:pt>
                <c:pt idx="29">
                  <c:v>2.5495003441857205</c:v>
                </c:pt>
                <c:pt idx="30">
                  <c:v>6.0036315715348794</c:v>
                </c:pt>
                <c:pt idx="31">
                  <c:v>10.743097871658186</c:v>
                </c:pt>
                <c:pt idx="32">
                  <c:v>27.396098745140037</c:v>
                </c:pt>
                <c:pt idx="33">
                  <c:v>211.82616655015298</c:v>
                </c:pt>
                <c:pt idx="34">
                  <c:v>2.0415683641149491</c:v>
                </c:pt>
                <c:pt idx="35">
                  <c:v>4.3149624340587307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6C-4F19-841F-025CF3C8E048}"/>
            </c:ext>
          </c:extLst>
        </c:ser>
        <c:ser>
          <c:idx val="1"/>
          <c:order val="1"/>
          <c:tx>
            <c:strRef>
              <c:f>EL_DEMAND_YCR!$N$8:$N$9</c:f>
              <c:strCache>
                <c:ptCount val="1"/>
                <c:pt idx="0">
                  <c:v>TRANS_LOSSES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EL_DEMAND_YCR!$L$10:$L$48</c:f>
              <c:multiLvlStrCache>
                <c:ptCount val="36"/>
                <c:lvl>
                  <c:pt idx="0">
                    <c:v>DENMARK</c:v>
                  </c:pt>
                  <c:pt idx="1">
                    <c:v>FRANCE</c:v>
                  </c:pt>
                  <c:pt idx="2">
                    <c:v>GERMANY</c:v>
                  </c:pt>
                  <c:pt idx="3">
                    <c:v>GREECE</c:v>
                  </c:pt>
                  <c:pt idx="4">
                    <c:v>ITALY</c:v>
                  </c:pt>
                  <c:pt idx="5">
                    <c:v>NORWAY</c:v>
                  </c:pt>
                  <c:pt idx="6">
                    <c:v>UNITED_KINGDOM</c:v>
                  </c:pt>
                  <c:pt idx="7">
                    <c:v>FINLAND</c:v>
                  </c:pt>
                  <c:pt idx="8">
                    <c:v>NETHERLANDS</c:v>
                  </c:pt>
                  <c:pt idx="9">
                    <c:v>SWEDEN</c:v>
                  </c:pt>
                  <c:pt idx="10">
                    <c:v>ESTONIA</c:v>
                  </c:pt>
                  <c:pt idx="11">
                    <c:v>LATVIA</c:v>
                  </c:pt>
                  <c:pt idx="12">
                    <c:v>LITHUANIA</c:v>
                  </c:pt>
                  <c:pt idx="13">
                    <c:v>POLAND</c:v>
                  </c:pt>
                  <c:pt idx="14">
                    <c:v>BELGIUM</c:v>
                  </c:pt>
                  <c:pt idx="15">
                    <c:v>SWITZERLAND</c:v>
                  </c:pt>
                  <c:pt idx="16">
                    <c:v>AUSTRIA</c:v>
                  </c:pt>
                  <c:pt idx="17">
                    <c:v>CZECH_REPUBLIC</c:v>
                  </c:pt>
                  <c:pt idx="18">
                    <c:v>SPAIN</c:v>
                  </c:pt>
                  <c:pt idx="19">
                    <c:v>PORTUGAL</c:v>
                  </c:pt>
                  <c:pt idx="20">
                    <c:v>SLOVAKIA</c:v>
                  </c:pt>
                  <c:pt idx="21">
                    <c:v>HUNGARY</c:v>
                  </c:pt>
                  <c:pt idx="22">
                    <c:v>SLOVENIA</c:v>
                  </c:pt>
                  <c:pt idx="23">
                    <c:v>CROATIA</c:v>
                  </c:pt>
                  <c:pt idx="24">
                    <c:v>ROMANIA</c:v>
                  </c:pt>
                  <c:pt idx="25">
                    <c:v>BULGARIA</c:v>
                  </c:pt>
                  <c:pt idx="26">
                    <c:v>IRELAND</c:v>
                  </c:pt>
                  <c:pt idx="27">
                    <c:v>LUXEMBOURG</c:v>
                  </c:pt>
                  <c:pt idx="28">
                    <c:v>ALBANIA</c:v>
                  </c:pt>
                  <c:pt idx="29">
                    <c:v>MONTENEGRO</c:v>
                  </c:pt>
                  <c:pt idx="30">
                    <c:v>NORTH_MACEDONIA</c:v>
                  </c:pt>
                  <c:pt idx="31">
                    <c:v>BOSNIA_AND_HERZEGOVINA</c:v>
                  </c:pt>
                  <c:pt idx="32">
                    <c:v>SERBIA</c:v>
                  </c:pt>
                  <c:pt idx="33">
                    <c:v>TURKEY</c:v>
                  </c:pt>
                  <c:pt idx="34">
                    <c:v>MALTA</c:v>
                  </c:pt>
                  <c:pt idx="35">
                    <c:v>CYPRUS</c:v>
                  </c:pt>
                </c:lvl>
                <c:lvl>
                  <c:pt idx="0">
                    <c:v>2050</c:v>
                  </c:pt>
                </c:lvl>
                <c:lvl>
                  <c:pt idx="0">
                    <c:v>%scenario_name%</c:v>
                  </c:pt>
                </c:lvl>
              </c:multiLvlStrCache>
            </c:multiLvlStrRef>
          </c:cat>
          <c:val>
            <c:numRef>
              <c:f>EL_DEMAND_YCR!$N$10:$N$48</c:f>
              <c:numCache>
                <c:formatCode>General</c:formatCode>
                <c:ptCount val="36"/>
                <c:pt idx="0">
                  <c:v>0.23373948612336956</c:v>
                </c:pt>
                <c:pt idx="1">
                  <c:v>2.6858579426747511</c:v>
                </c:pt>
                <c:pt idx="2">
                  <c:v>6.1712622701228534</c:v>
                </c:pt>
                <c:pt idx="3">
                  <c:v>1.2638149260147691</c:v>
                </c:pt>
                <c:pt idx="4">
                  <c:v>7.102824197937311</c:v>
                </c:pt>
                <c:pt idx="5">
                  <c:v>0.81109586747010953</c:v>
                </c:pt>
                <c:pt idx="6">
                  <c:v>1.2675862588414744</c:v>
                </c:pt>
                <c:pt idx="7">
                  <c:v>0.68651132376881285</c:v>
                </c:pt>
                <c:pt idx="8">
                  <c:v>0.36730089202868466</c:v>
                </c:pt>
                <c:pt idx="9">
                  <c:v>2.6523650293355132</c:v>
                </c:pt>
                <c:pt idx="10">
                  <c:v>0.14794666680915478</c:v>
                </c:pt>
                <c:pt idx="11">
                  <c:v>7.673766683838816E-2</c:v>
                </c:pt>
                <c:pt idx="12">
                  <c:v>4.5179387576333122E-2</c:v>
                </c:pt>
                <c:pt idx="13">
                  <c:v>0.70657024824005377</c:v>
                </c:pt>
                <c:pt idx="14">
                  <c:v>1.3911137960908408</c:v>
                </c:pt>
                <c:pt idx="15">
                  <c:v>0.67336736450686063</c:v>
                </c:pt>
                <c:pt idx="16">
                  <c:v>0.63627496235589742</c:v>
                </c:pt>
                <c:pt idx="17">
                  <c:v>0.78861215685949504</c:v>
                </c:pt>
                <c:pt idx="18">
                  <c:v>1.4744106994439075</c:v>
                </c:pt>
                <c:pt idx="19">
                  <c:v>0.46162063221145194</c:v>
                </c:pt>
                <c:pt idx="20">
                  <c:v>0.41321021281864728</c:v>
                </c:pt>
                <c:pt idx="21">
                  <c:v>1.1436615169345681</c:v>
                </c:pt>
                <c:pt idx="22">
                  <c:v>0.40009879858313196</c:v>
                </c:pt>
                <c:pt idx="23">
                  <c:v>9.2589729501691545E-2</c:v>
                </c:pt>
                <c:pt idx="24">
                  <c:v>9.6171780563891113E-2</c:v>
                </c:pt>
                <c:pt idx="25">
                  <c:v>0.13023532576454117</c:v>
                </c:pt>
                <c:pt idx="26">
                  <c:v>0.27289740383919114</c:v>
                </c:pt>
                <c:pt idx="27">
                  <c:v>0.24016770695622705</c:v>
                </c:pt>
                <c:pt idx="28">
                  <c:v>0.10871521701795669</c:v>
                </c:pt>
                <c:pt idx="29">
                  <c:v>0.2154263476932623</c:v>
                </c:pt>
                <c:pt idx="30">
                  <c:v>3.7762151664669008E-2</c:v>
                </c:pt>
                <c:pt idx="31">
                  <c:v>0.16544561987017009</c:v>
                </c:pt>
                <c:pt idx="32">
                  <c:v>0.64700819378103358</c:v>
                </c:pt>
                <c:pt idx="33">
                  <c:v>6.0090628656064314E-2</c:v>
                </c:pt>
                <c:pt idx="34">
                  <c:v>5.8119736486898103E-2</c:v>
                </c:pt>
                <c:pt idx="35">
                  <c:v>0.20554580365725697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36C-4F19-841F-025CF3C8E048}"/>
            </c:ext>
          </c:extLst>
        </c:ser>
        <c:ser>
          <c:idx val="2"/>
          <c:order val="2"/>
          <c:tx>
            <c:strRef>
              <c:f>EL_DEMAND_YCR!$O$8:$O$9</c:f>
              <c:strCache>
                <c:ptCount val="1"/>
                <c:pt idx="0">
                  <c:v>DIST_LOSSES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EL_DEMAND_YCR!$L$10:$L$48</c:f>
              <c:multiLvlStrCache>
                <c:ptCount val="36"/>
                <c:lvl>
                  <c:pt idx="0">
                    <c:v>DENMARK</c:v>
                  </c:pt>
                  <c:pt idx="1">
                    <c:v>FRANCE</c:v>
                  </c:pt>
                  <c:pt idx="2">
                    <c:v>GERMANY</c:v>
                  </c:pt>
                  <c:pt idx="3">
                    <c:v>GREECE</c:v>
                  </c:pt>
                  <c:pt idx="4">
                    <c:v>ITALY</c:v>
                  </c:pt>
                  <c:pt idx="5">
                    <c:v>NORWAY</c:v>
                  </c:pt>
                  <c:pt idx="6">
                    <c:v>UNITED_KINGDOM</c:v>
                  </c:pt>
                  <c:pt idx="7">
                    <c:v>FINLAND</c:v>
                  </c:pt>
                  <c:pt idx="8">
                    <c:v>NETHERLANDS</c:v>
                  </c:pt>
                  <c:pt idx="9">
                    <c:v>SWEDEN</c:v>
                  </c:pt>
                  <c:pt idx="10">
                    <c:v>ESTONIA</c:v>
                  </c:pt>
                  <c:pt idx="11">
                    <c:v>LATVIA</c:v>
                  </c:pt>
                  <c:pt idx="12">
                    <c:v>LITHUANIA</c:v>
                  </c:pt>
                  <c:pt idx="13">
                    <c:v>POLAND</c:v>
                  </c:pt>
                  <c:pt idx="14">
                    <c:v>BELGIUM</c:v>
                  </c:pt>
                  <c:pt idx="15">
                    <c:v>SWITZERLAND</c:v>
                  </c:pt>
                  <c:pt idx="16">
                    <c:v>AUSTRIA</c:v>
                  </c:pt>
                  <c:pt idx="17">
                    <c:v>CZECH_REPUBLIC</c:v>
                  </c:pt>
                  <c:pt idx="18">
                    <c:v>SPAIN</c:v>
                  </c:pt>
                  <c:pt idx="19">
                    <c:v>PORTUGAL</c:v>
                  </c:pt>
                  <c:pt idx="20">
                    <c:v>SLOVAKIA</c:v>
                  </c:pt>
                  <c:pt idx="21">
                    <c:v>HUNGARY</c:v>
                  </c:pt>
                  <c:pt idx="22">
                    <c:v>SLOVENIA</c:v>
                  </c:pt>
                  <c:pt idx="23">
                    <c:v>CROATIA</c:v>
                  </c:pt>
                  <c:pt idx="24">
                    <c:v>ROMANIA</c:v>
                  </c:pt>
                  <c:pt idx="25">
                    <c:v>BULGARIA</c:v>
                  </c:pt>
                  <c:pt idx="26">
                    <c:v>IRELAND</c:v>
                  </c:pt>
                  <c:pt idx="27">
                    <c:v>LUXEMBOURG</c:v>
                  </c:pt>
                  <c:pt idx="28">
                    <c:v>ALBANIA</c:v>
                  </c:pt>
                  <c:pt idx="29">
                    <c:v>MONTENEGRO</c:v>
                  </c:pt>
                  <c:pt idx="30">
                    <c:v>NORTH_MACEDONIA</c:v>
                  </c:pt>
                  <c:pt idx="31">
                    <c:v>BOSNIA_AND_HERZEGOVINA</c:v>
                  </c:pt>
                  <c:pt idx="32">
                    <c:v>SERBIA</c:v>
                  </c:pt>
                  <c:pt idx="33">
                    <c:v>TURKEY</c:v>
                  </c:pt>
                  <c:pt idx="34">
                    <c:v>MALTA</c:v>
                  </c:pt>
                  <c:pt idx="35">
                    <c:v>CYPRUS</c:v>
                  </c:pt>
                </c:lvl>
                <c:lvl>
                  <c:pt idx="0">
                    <c:v>2050</c:v>
                  </c:pt>
                </c:lvl>
                <c:lvl>
                  <c:pt idx="0">
                    <c:v>%scenario_name%</c:v>
                  </c:pt>
                </c:lvl>
              </c:multiLvlStrCache>
            </c:multiLvlStrRef>
          </c:cat>
          <c:val>
            <c:numRef>
              <c:f>EL_DEMAND_YCR!$O$10:$O$48</c:f>
              <c:numCache>
                <c:formatCode>General</c:formatCode>
                <c:ptCount val="36"/>
                <c:pt idx="0">
                  <c:v>1.7899467473898796</c:v>
                </c:pt>
                <c:pt idx="1">
                  <c:v>22.567013798308295</c:v>
                </c:pt>
                <c:pt idx="2">
                  <c:v>24.934489521586155</c:v>
                </c:pt>
                <c:pt idx="3">
                  <c:v>2.7871867669607773</c:v>
                </c:pt>
                <c:pt idx="4">
                  <c:v>15.223946215991223</c:v>
                </c:pt>
                <c:pt idx="5">
                  <c:v>6.1553404408470334</c:v>
                </c:pt>
                <c:pt idx="6">
                  <c:v>15.592175438596488</c:v>
                </c:pt>
                <c:pt idx="7">
                  <c:v>1.7841912716151054</c:v>
                </c:pt>
                <c:pt idx="8">
                  <c:v>3.1219706083860674</c:v>
                </c:pt>
                <c:pt idx="9">
                  <c:v>7.5168722482188359</c:v>
                </c:pt>
                <c:pt idx="10">
                  <c:v>0.39260818713450291</c:v>
                </c:pt>
                <c:pt idx="11">
                  <c:v>0.32394736842105226</c:v>
                </c:pt>
                <c:pt idx="12">
                  <c:v>0.49747368421052629</c:v>
                </c:pt>
                <c:pt idx="13">
                  <c:v>7.225272855259087</c:v>
                </c:pt>
                <c:pt idx="14">
                  <c:v>3.9764912280701759</c:v>
                </c:pt>
                <c:pt idx="15">
                  <c:v>2.358580219780702</c:v>
                </c:pt>
                <c:pt idx="16">
                  <c:v>3.4737842446666667</c:v>
                </c:pt>
                <c:pt idx="17">
                  <c:v>3.1611319872807027</c:v>
                </c:pt>
                <c:pt idx="18">
                  <c:v>12.096771318701753</c:v>
                </c:pt>
                <c:pt idx="19">
                  <c:v>2.4143223292017542</c:v>
                </c:pt>
                <c:pt idx="20">
                  <c:v>1.249540842245582</c:v>
                </c:pt>
                <c:pt idx="21">
                  <c:v>1.85874723633053</c:v>
                </c:pt>
                <c:pt idx="22">
                  <c:v>0.63012546486731569</c:v>
                </c:pt>
                <c:pt idx="23">
                  <c:v>0.79391098250986514</c:v>
                </c:pt>
                <c:pt idx="24">
                  <c:v>2.2794633953830652</c:v>
                </c:pt>
                <c:pt idx="25">
                  <c:v>1.5074165391217347</c:v>
                </c:pt>
                <c:pt idx="26">
                  <c:v>1.3286082374585582</c:v>
                </c:pt>
                <c:pt idx="27">
                  <c:v>0.30182642412808558</c:v>
                </c:pt>
                <c:pt idx="28">
                  <c:v>0.28630729389685156</c:v>
                </c:pt>
                <c:pt idx="29">
                  <c:v>0.13418422864135374</c:v>
                </c:pt>
                <c:pt idx="30">
                  <c:v>0.31598060902815167</c:v>
                </c:pt>
                <c:pt idx="31">
                  <c:v>0.56542620377148312</c:v>
                </c:pt>
                <c:pt idx="32">
                  <c:v>1.4418999339547387</c:v>
                </c:pt>
                <c:pt idx="33">
                  <c:v>11.148745607902788</c:v>
                </c:pt>
                <c:pt idx="34">
                  <c:v>0.10745096653236573</c:v>
                </c:pt>
                <c:pt idx="35">
                  <c:v>0.22710328600309107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36C-4F19-841F-025CF3C8E048}"/>
            </c:ext>
          </c:extLst>
        </c:ser>
        <c:ser>
          <c:idx val="3"/>
          <c:order val="3"/>
          <c:tx>
            <c:strRef>
              <c:f>EL_DEMAND_YCR!$P$8:$P$9</c:f>
              <c:strCache>
                <c:ptCount val="1"/>
                <c:pt idx="0">
                  <c:v>ENDO_INTRASTO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EL_DEMAND_YCR!$L$10:$L$48</c:f>
              <c:multiLvlStrCache>
                <c:ptCount val="36"/>
                <c:lvl>
                  <c:pt idx="0">
                    <c:v>DENMARK</c:v>
                  </c:pt>
                  <c:pt idx="1">
                    <c:v>FRANCE</c:v>
                  </c:pt>
                  <c:pt idx="2">
                    <c:v>GERMANY</c:v>
                  </c:pt>
                  <c:pt idx="3">
                    <c:v>GREECE</c:v>
                  </c:pt>
                  <c:pt idx="4">
                    <c:v>ITALY</c:v>
                  </c:pt>
                  <c:pt idx="5">
                    <c:v>NORWAY</c:v>
                  </c:pt>
                  <c:pt idx="6">
                    <c:v>UNITED_KINGDOM</c:v>
                  </c:pt>
                  <c:pt idx="7">
                    <c:v>FINLAND</c:v>
                  </c:pt>
                  <c:pt idx="8">
                    <c:v>NETHERLANDS</c:v>
                  </c:pt>
                  <c:pt idx="9">
                    <c:v>SWEDEN</c:v>
                  </c:pt>
                  <c:pt idx="10">
                    <c:v>ESTONIA</c:v>
                  </c:pt>
                  <c:pt idx="11">
                    <c:v>LATVIA</c:v>
                  </c:pt>
                  <c:pt idx="12">
                    <c:v>LITHUANIA</c:v>
                  </c:pt>
                  <c:pt idx="13">
                    <c:v>POLAND</c:v>
                  </c:pt>
                  <c:pt idx="14">
                    <c:v>BELGIUM</c:v>
                  </c:pt>
                  <c:pt idx="15">
                    <c:v>SWITZERLAND</c:v>
                  </c:pt>
                  <c:pt idx="16">
                    <c:v>AUSTRIA</c:v>
                  </c:pt>
                  <c:pt idx="17">
                    <c:v>CZECH_REPUBLIC</c:v>
                  </c:pt>
                  <c:pt idx="18">
                    <c:v>SPAIN</c:v>
                  </c:pt>
                  <c:pt idx="19">
                    <c:v>PORTUGAL</c:v>
                  </c:pt>
                  <c:pt idx="20">
                    <c:v>SLOVAKIA</c:v>
                  </c:pt>
                  <c:pt idx="21">
                    <c:v>HUNGARY</c:v>
                  </c:pt>
                  <c:pt idx="22">
                    <c:v>SLOVENIA</c:v>
                  </c:pt>
                  <c:pt idx="23">
                    <c:v>CROATIA</c:v>
                  </c:pt>
                  <c:pt idx="24">
                    <c:v>ROMANIA</c:v>
                  </c:pt>
                  <c:pt idx="25">
                    <c:v>BULGARIA</c:v>
                  </c:pt>
                  <c:pt idx="26">
                    <c:v>IRELAND</c:v>
                  </c:pt>
                  <c:pt idx="27">
                    <c:v>LUXEMBOURG</c:v>
                  </c:pt>
                  <c:pt idx="28">
                    <c:v>ALBANIA</c:v>
                  </c:pt>
                  <c:pt idx="29">
                    <c:v>MONTENEGRO</c:v>
                  </c:pt>
                  <c:pt idx="30">
                    <c:v>NORTH_MACEDONIA</c:v>
                  </c:pt>
                  <c:pt idx="31">
                    <c:v>BOSNIA_AND_HERZEGOVINA</c:v>
                  </c:pt>
                  <c:pt idx="32">
                    <c:v>SERBIA</c:v>
                  </c:pt>
                  <c:pt idx="33">
                    <c:v>TURKEY</c:v>
                  </c:pt>
                  <c:pt idx="34">
                    <c:v>MALTA</c:v>
                  </c:pt>
                  <c:pt idx="35">
                    <c:v>CYPRUS</c:v>
                  </c:pt>
                </c:lvl>
                <c:lvl>
                  <c:pt idx="0">
                    <c:v>2050</c:v>
                  </c:pt>
                </c:lvl>
                <c:lvl>
                  <c:pt idx="0">
                    <c:v>%scenario_name%</c:v>
                  </c:pt>
                </c:lvl>
              </c:multiLvlStrCache>
            </c:multiLvlStrRef>
          </c:cat>
          <c:val>
            <c:numRef>
              <c:f>EL_DEMAND_YCR!$P$10:$P$48</c:f>
              <c:numCache>
                <c:formatCode>General</c:formatCode>
                <c:ptCount val="36"/>
                <c:pt idx="19">
                  <c:v>4.1559942857142824E-2</c:v>
                </c:pt>
                <c:pt idx="20">
                  <c:v>1.6119964285714286E-2</c:v>
                </c:pt>
                <c:pt idx="23">
                  <c:v>4.94509821428571E-3</c:v>
                </c:pt>
                <c:pt idx="31">
                  <c:v>6.1945714285714278E-3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36C-4F19-841F-025CF3C8E048}"/>
            </c:ext>
          </c:extLst>
        </c:ser>
        <c:ser>
          <c:idx val="4"/>
          <c:order val="4"/>
          <c:tx>
            <c:strRef>
              <c:f>EL_DEMAND_YCR!$Q$8:$Q$9</c:f>
              <c:strCache>
                <c:ptCount val="1"/>
                <c:pt idx="0">
                  <c:v>ENDO_H2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EL_DEMAND_YCR!$L$10:$L$48</c:f>
              <c:multiLvlStrCache>
                <c:ptCount val="36"/>
                <c:lvl>
                  <c:pt idx="0">
                    <c:v>DENMARK</c:v>
                  </c:pt>
                  <c:pt idx="1">
                    <c:v>FRANCE</c:v>
                  </c:pt>
                  <c:pt idx="2">
                    <c:v>GERMANY</c:v>
                  </c:pt>
                  <c:pt idx="3">
                    <c:v>GREECE</c:v>
                  </c:pt>
                  <c:pt idx="4">
                    <c:v>ITALY</c:v>
                  </c:pt>
                  <c:pt idx="5">
                    <c:v>NORWAY</c:v>
                  </c:pt>
                  <c:pt idx="6">
                    <c:v>UNITED_KINGDOM</c:v>
                  </c:pt>
                  <c:pt idx="7">
                    <c:v>FINLAND</c:v>
                  </c:pt>
                  <c:pt idx="8">
                    <c:v>NETHERLANDS</c:v>
                  </c:pt>
                  <c:pt idx="9">
                    <c:v>SWEDEN</c:v>
                  </c:pt>
                  <c:pt idx="10">
                    <c:v>ESTONIA</c:v>
                  </c:pt>
                  <c:pt idx="11">
                    <c:v>LATVIA</c:v>
                  </c:pt>
                  <c:pt idx="12">
                    <c:v>LITHUANIA</c:v>
                  </c:pt>
                  <c:pt idx="13">
                    <c:v>POLAND</c:v>
                  </c:pt>
                  <c:pt idx="14">
                    <c:v>BELGIUM</c:v>
                  </c:pt>
                  <c:pt idx="15">
                    <c:v>SWITZERLAND</c:v>
                  </c:pt>
                  <c:pt idx="16">
                    <c:v>AUSTRIA</c:v>
                  </c:pt>
                  <c:pt idx="17">
                    <c:v>CZECH_REPUBLIC</c:v>
                  </c:pt>
                  <c:pt idx="18">
                    <c:v>SPAIN</c:v>
                  </c:pt>
                  <c:pt idx="19">
                    <c:v>PORTUGAL</c:v>
                  </c:pt>
                  <c:pt idx="20">
                    <c:v>SLOVAKIA</c:v>
                  </c:pt>
                  <c:pt idx="21">
                    <c:v>HUNGARY</c:v>
                  </c:pt>
                  <c:pt idx="22">
                    <c:v>SLOVENIA</c:v>
                  </c:pt>
                  <c:pt idx="23">
                    <c:v>CROATIA</c:v>
                  </c:pt>
                  <c:pt idx="24">
                    <c:v>ROMANIA</c:v>
                  </c:pt>
                  <c:pt idx="25">
                    <c:v>BULGARIA</c:v>
                  </c:pt>
                  <c:pt idx="26">
                    <c:v>IRELAND</c:v>
                  </c:pt>
                  <c:pt idx="27">
                    <c:v>LUXEMBOURG</c:v>
                  </c:pt>
                  <c:pt idx="28">
                    <c:v>ALBANIA</c:v>
                  </c:pt>
                  <c:pt idx="29">
                    <c:v>MONTENEGRO</c:v>
                  </c:pt>
                  <c:pt idx="30">
                    <c:v>NORTH_MACEDONIA</c:v>
                  </c:pt>
                  <c:pt idx="31">
                    <c:v>BOSNIA_AND_HERZEGOVINA</c:v>
                  </c:pt>
                  <c:pt idx="32">
                    <c:v>SERBIA</c:v>
                  </c:pt>
                  <c:pt idx="33">
                    <c:v>TURKEY</c:v>
                  </c:pt>
                  <c:pt idx="34">
                    <c:v>MALTA</c:v>
                  </c:pt>
                  <c:pt idx="35">
                    <c:v>CYPRUS</c:v>
                  </c:pt>
                </c:lvl>
                <c:lvl>
                  <c:pt idx="0">
                    <c:v>2050</c:v>
                  </c:pt>
                </c:lvl>
                <c:lvl>
                  <c:pt idx="0">
                    <c:v>%scenario_name%</c:v>
                  </c:pt>
                </c:lvl>
              </c:multiLvlStrCache>
            </c:multiLvlStrRef>
          </c:cat>
          <c:val>
            <c:numRef>
              <c:f>EL_DEMAND_YCR!$Q$10:$Q$48</c:f>
              <c:numCache>
                <c:formatCode>General</c:formatCode>
                <c:ptCount val="36"/>
                <c:pt idx="0">
                  <c:v>10.612526680915316</c:v>
                </c:pt>
                <c:pt idx="1">
                  <c:v>251.36073551083109</c:v>
                </c:pt>
                <c:pt idx="2">
                  <c:v>20.226964996297692</c:v>
                </c:pt>
                <c:pt idx="4">
                  <c:v>131.88172123395336</c:v>
                </c:pt>
                <c:pt idx="5">
                  <c:v>24.043640211774616</c:v>
                </c:pt>
                <c:pt idx="6">
                  <c:v>232.4503915774221</c:v>
                </c:pt>
                <c:pt idx="7">
                  <c:v>1.4460748662765921</c:v>
                </c:pt>
                <c:pt idx="8">
                  <c:v>16.369501885181702</c:v>
                </c:pt>
                <c:pt idx="9">
                  <c:v>39.014873215996602</c:v>
                </c:pt>
                <c:pt idx="12">
                  <c:v>52.599389420855388</c:v>
                </c:pt>
                <c:pt idx="13">
                  <c:v>359.04008170899192</c:v>
                </c:pt>
                <c:pt idx="15">
                  <c:v>50.395416241988244</c:v>
                </c:pt>
                <c:pt idx="16">
                  <c:v>4.4413746392749358</c:v>
                </c:pt>
                <c:pt idx="17">
                  <c:v>11.412993077099145</c:v>
                </c:pt>
                <c:pt idx="18">
                  <c:v>417.87657415188778</c:v>
                </c:pt>
                <c:pt idx="19">
                  <c:v>20.630503355730578</c:v>
                </c:pt>
                <c:pt idx="24">
                  <c:v>11.579490124365057</c:v>
                </c:pt>
                <c:pt idx="26">
                  <c:v>32.946763466436266</c:v>
                </c:pt>
                <c:pt idx="32">
                  <c:v>-5.5957111866349564E-17</c:v>
                </c:pt>
                <c:pt idx="33">
                  <c:v>206.85182820650823</c:v>
                </c:pt>
                <c:pt idx="34">
                  <c:v>0.29829719323316761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36C-4F19-841F-025CF3C8E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74770239"/>
        <c:axId val="110491519"/>
      </c:barChart>
      <c:catAx>
        <c:axId val="17477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0491519"/>
        <c:crosses val="autoZero"/>
        <c:auto val="1"/>
        <c:lblAlgn val="ctr"/>
        <c:lblOffset val="100"/>
        <c:noMultiLvlLbl val="0"/>
      </c:catAx>
      <c:valAx>
        <c:axId val="110491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Electricity Demand (TWh)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747702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chart" Target="../charts/chart1.xml"/><Relationship Id="rId7" Type="http://schemas.openxmlformats.org/officeDocument/2006/relationships/chart" Target="../charts/chart5.xml"/><Relationship Id="rId2" Type="http://schemas.openxmlformats.org/officeDocument/2006/relationships/image" Target="../media/image12.svg"/><Relationship Id="rId1" Type="http://schemas.openxmlformats.org/officeDocument/2006/relationships/image" Target="../media/image11.png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10" Type="http://schemas.openxmlformats.org/officeDocument/2006/relationships/image" Target="file:///C:\Users\mberos\gitRepos\balmorel-postprocessing\Output/productionprofile.png" TargetMode="External"/><Relationship Id="rId4" Type="http://schemas.openxmlformats.org/officeDocument/2006/relationships/chart" Target="../charts/chart2.xml"/><Relationship Id="rId9" Type="http://schemas.openxmlformats.org/officeDocument/2006/relationships/image" Target="file:///C:\Users\mberos\gitRepos\balmorel-postprocessing\Output/balmorelmap.pn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26670</xdr:colOff>
      <xdr:row>186</xdr:row>
      <xdr:rowOff>20955</xdr:rowOff>
    </xdr:from>
    <xdr:to>
      <xdr:col>7</xdr:col>
      <xdr:colOff>514928</xdr:colOff>
      <xdr:row>204</xdr:row>
      <xdr:rowOff>130009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8837F5E-BBF5-8D13-E073-F7EC8B5F71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6270" y="31548705"/>
          <a:ext cx="4142048" cy="337041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103</xdr:row>
      <xdr:rowOff>0</xdr:rowOff>
    </xdr:from>
    <xdr:to>
      <xdr:col>9</xdr:col>
      <xdr:colOff>95944</xdr:colOff>
      <xdr:row>109</xdr:row>
      <xdr:rowOff>95415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124D5DB-8B2E-393D-4850-65A618328E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16506825"/>
          <a:ext cx="4972744" cy="1181265"/>
        </a:xfrm>
        <a:prstGeom prst="rect">
          <a:avLst/>
        </a:prstGeom>
      </xdr:spPr>
    </xdr:pic>
    <xdr:clientData/>
  </xdr:twoCellAnchor>
  <xdr:twoCellAnchor>
    <xdr:from>
      <xdr:col>1</xdr:col>
      <xdr:colOff>371475</xdr:colOff>
      <xdr:row>104</xdr:row>
      <xdr:rowOff>104775</xdr:rowOff>
    </xdr:from>
    <xdr:to>
      <xdr:col>3</xdr:col>
      <xdr:colOff>180975</xdr:colOff>
      <xdr:row>105</xdr:row>
      <xdr:rowOff>142875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51536A1E-F3B8-7525-F08A-D8EB0A8058D6}"/>
            </a:ext>
          </a:extLst>
        </xdr:cNvPr>
        <xdr:cNvSpPr/>
      </xdr:nvSpPr>
      <xdr:spPr>
        <a:xfrm>
          <a:off x="981075" y="16792575"/>
          <a:ext cx="1028700" cy="2190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a-DK" sz="1100"/>
        </a:p>
      </xdr:txBody>
    </xdr:sp>
    <xdr:clientData/>
  </xdr:twoCellAnchor>
  <xdr:twoCellAnchor editAs="oneCell">
    <xdr:from>
      <xdr:col>1</xdr:col>
      <xdr:colOff>15240</xdr:colOff>
      <xdr:row>109</xdr:row>
      <xdr:rowOff>140970</xdr:rowOff>
    </xdr:from>
    <xdr:to>
      <xdr:col>11</xdr:col>
      <xdr:colOff>129540</xdr:colOff>
      <xdr:row>118</xdr:row>
      <xdr:rowOff>131236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39E4D57-68E5-EFBB-9DBF-8A7510D34D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24840" y="17733645"/>
          <a:ext cx="6204585" cy="1613326"/>
        </a:xfrm>
        <a:prstGeom prst="rect">
          <a:avLst/>
        </a:prstGeom>
      </xdr:spPr>
    </xdr:pic>
    <xdr:clientData/>
  </xdr:twoCellAnchor>
  <xdr:twoCellAnchor editAs="oneCell">
    <xdr:from>
      <xdr:col>1</xdr:col>
      <xdr:colOff>24765</xdr:colOff>
      <xdr:row>169</xdr:row>
      <xdr:rowOff>38100</xdr:rowOff>
    </xdr:from>
    <xdr:to>
      <xdr:col>11</xdr:col>
      <xdr:colOff>250440</xdr:colOff>
      <xdr:row>183</xdr:row>
      <xdr:rowOff>19398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1DC8755E-BD8B-8E53-604B-E3D15D8840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34365" y="28489275"/>
          <a:ext cx="6321675" cy="2507328"/>
        </a:xfrm>
        <a:prstGeom prst="rect">
          <a:avLst/>
        </a:prstGeom>
      </xdr:spPr>
    </xdr:pic>
    <xdr:clientData/>
  </xdr:twoCellAnchor>
  <xdr:twoCellAnchor editAs="oneCell">
    <xdr:from>
      <xdr:col>1</xdr:col>
      <xdr:colOff>24765</xdr:colOff>
      <xdr:row>150</xdr:row>
      <xdr:rowOff>57150</xdr:rowOff>
    </xdr:from>
    <xdr:to>
      <xdr:col>14</xdr:col>
      <xdr:colOff>510540</xdr:colOff>
      <xdr:row>168</xdr:row>
      <xdr:rowOff>136012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B807B085-0C82-9492-BB5B-0C379B15AC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34365" y="25069800"/>
          <a:ext cx="8410575" cy="3336412"/>
        </a:xfrm>
        <a:prstGeom prst="rect">
          <a:avLst/>
        </a:prstGeom>
      </xdr:spPr>
    </xdr:pic>
    <xdr:clientData/>
  </xdr:twoCellAnchor>
  <xdr:twoCellAnchor editAs="oneCell">
    <xdr:from>
      <xdr:col>1</xdr:col>
      <xdr:colOff>19049</xdr:colOff>
      <xdr:row>123</xdr:row>
      <xdr:rowOff>169544</xdr:rowOff>
    </xdr:from>
    <xdr:to>
      <xdr:col>21</xdr:col>
      <xdr:colOff>320777</xdr:colOff>
      <xdr:row>133</xdr:row>
      <xdr:rowOff>95249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54AF09D8-2A91-640C-379E-EA5DB34641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28649" y="20295869"/>
          <a:ext cx="12488013" cy="1735455"/>
        </a:xfrm>
        <a:prstGeom prst="rect">
          <a:avLst/>
        </a:prstGeom>
      </xdr:spPr>
    </xdr:pic>
    <xdr:clientData/>
  </xdr:twoCellAnchor>
  <xdr:twoCellAnchor editAs="oneCell">
    <xdr:from>
      <xdr:col>1</xdr:col>
      <xdr:colOff>24765</xdr:colOff>
      <xdr:row>135</xdr:row>
      <xdr:rowOff>26671</xdr:rowOff>
    </xdr:from>
    <xdr:to>
      <xdr:col>21</xdr:col>
      <xdr:colOff>323850</xdr:colOff>
      <xdr:row>144</xdr:row>
      <xdr:rowOff>167787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5F8A6455-196D-E309-365B-0D8C61103D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34365" y="22324696"/>
          <a:ext cx="12491085" cy="1760366"/>
        </a:xfrm>
        <a:prstGeom prst="rect">
          <a:avLst/>
        </a:prstGeom>
      </xdr:spPr>
    </xdr:pic>
    <xdr:clientData/>
  </xdr:twoCellAnchor>
  <xdr:twoCellAnchor editAs="oneCell">
    <xdr:from>
      <xdr:col>1</xdr:col>
      <xdr:colOff>45720</xdr:colOff>
      <xdr:row>204</xdr:row>
      <xdr:rowOff>171450</xdr:rowOff>
    </xdr:from>
    <xdr:to>
      <xdr:col>8</xdr:col>
      <xdr:colOff>360684</xdr:colOff>
      <xdr:row>230</xdr:row>
      <xdr:rowOff>134000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B93375F8-C6CE-992E-CB54-549BD8D198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55320" y="34956750"/>
          <a:ext cx="4585974" cy="4658375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233</xdr:row>
      <xdr:rowOff>19050</xdr:rowOff>
    </xdr:from>
    <xdr:to>
      <xdr:col>18</xdr:col>
      <xdr:colOff>20491</xdr:colOff>
      <xdr:row>265</xdr:row>
      <xdr:rowOff>168468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D7FF0950-0700-FCB9-C9CC-52DF89665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57225" y="40052625"/>
          <a:ext cx="10326541" cy="5932998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476250</xdr:colOff>
      <xdr:row>82</xdr:row>
      <xdr:rowOff>93345</xdr:rowOff>
    </xdr:from>
    <xdr:to>
      <xdr:col>9</xdr:col>
      <xdr:colOff>211931</xdr:colOff>
      <xdr:row>88</xdr:row>
      <xdr:rowOff>57296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BBCFCE38-457F-6F50-7837-8F4D9EBE3C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305050" y="16238220"/>
          <a:ext cx="3393281" cy="10421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1875869</xdr:colOff>
      <xdr:row>10</xdr:row>
      <xdr:rowOff>167991</xdr:rowOff>
    </xdr:from>
    <xdr:to>
      <xdr:col>2</xdr:col>
      <xdr:colOff>3740636</xdr:colOff>
      <xdr:row>14</xdr:row>
      <xdr:rowOff>45709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1A2EFC9-3FBC-4998-9AA2-2F2B98F3DE86}"/>
            </a:ext>
          </a:extLst>
        </xdr:cNvPr>
        <xdr:cNvGrpSpPr/>
      </xdr:nvGrpSpPr>
      <xdr:grpSpPr>
        <a:xfrm>
          <a:off x="4408703" y="1995158"/>
          <a:ext cx="1864767" cy="583385"/>
          <a:chOff x="2413655" y="707809"/>
          <a:chExt cx="2318221" cy="607587"/>
        </a:xfrm>
      </xdr:grpSpPr>
      <xdr:sp macro="[0]!Module1.RunLoadGDX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01D8F79-52AF-589E-9EBA-70F9F0E25111}"/>
              </a:ext>
            </a:extLst>
          </xdr:cNvPr>
          <xdr:cNvSpPr/>
        </xdr:nvSpPr>
        <xdr:spPr>
          <a:xfrm>
            <a:off x="2413655" y="707809"/>
            <a:ext cx="2318221" cy="607587"/>
          </a:xfrm>
          <a:prstGeom prst="roundRect">
            <a:avLst/>
          </a:prstGeom>
          <a:solidFill>
            <a:schemeClr val="accent2">
              <a:lumMod val="40000"/>
              <a:lumOff val="60000"/>
            </a:schemeClr>
          </a:solidFill>
          <a:ln>
            <a:solidFill>
              <a:schemeClr val="accent2">
                <a:lumMod val="20000"/>
                <a:lumOff val="8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GB" sz="1600"/>
              <a:t>            Plot Charts</a:t>
            </a:r>
          </a:p>
        </xdr:txBody>
      </xdr:sp>
      <xdr:pic macro="[0]!Module1.RunLoadGDX">
        <xdr:nvPicPr>
          <xdr:cNvPr id="4" name="Graphic 3" descr="Snake with solid fill">
            <a:extLst>
              <a:ext uri="{FF2B5EF4-FFF2-40B4-BE49-F238E27FC236}">
                <a16:creationId xmlns:a16="http://schemas.microsoft.com/office/drawing/2014/main" id="{B389A19E-260F-8CD8-76A7-ECAFA4CA9C2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518723" y="761705"/>
            <a:ext cx="492759" cy="503316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511417</xdr:colOff>
      <xdr:row>24</xdr:row>
      <xdr:rowOff>29808</xdr:rowOff>
    </xdr:from>
    <xdr:to>
      <xdr:col>3</xdr:col>
      <xdr:colOff>829235</xdr:colOff>
      <xdr:row>42</xdr:row>
      <xdr:rowOff>112059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2DAF7809-226A-4288-BA52-116987C185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563408</xdr:colOff>
      <xdr:row>45</xdr:row>
      <xdr:rowOff>2971</xdr:rowOff>
    </xdr:from>
    <xdr:to>
      <xdr:col>3</xdr:col>
      <xdr:colOff>840441</xdr:colOff>
      <xdr:row>64</xdr:row>
      <xdr:rowOff>89647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F789615-31BD-485F-B65E-DDE3C8AE7A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592231</xdr:colOff>
      <xdr:row>67</xdr:row>
      <xdr:rowOff>96932</xdr:rowOff>
    </xdr:from>
    <xdr:to>
      <xdr:col>4</xdr:col>
      <xdr:colOff>103430</xdr:colOff>
      <xdr:row>85</xdr:row>
      <xdr:rowOff>169321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2378600-247B-4B93-A76B-5593490EF4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1596651</xdr:colOff>
      <xdr:row>15</xdr:row>
      <xdr:rowOff>121759</xdr:rowOff>
    </xdr:from>
    <xdr:to>
      <xdr:col>5</xdr:col>
      <xdr:colOff>1405617</xdr:colOff>
      <xdr:row>19</xdr:row>
      <xdr:rowOff>7145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C2A1CB84-9A9F-4293-8321-50DA97FABB22}"/>
            </a:ext>
          </a:extLst>
        </xdr:cNvPr>
        <xdr:cNvGrpSpPr/>
      </xdr:nvGrpSpPr>
      <xdr:grpSpPr>
        <a:xfrm>
          <a:off x="10563758" y="2831485"/>
          <a:ext cx="1861740" cy="592958"/>
          <a:chOff x="2413655" y="707809"/>
          <a:chExt cx="2318221" cy="607587"/>
        </a:xfrm>
      </xdr:grpSpPr>
      <xdr:sp macro="[0]!ProductionProfile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0E11F581-3BA0-2A39-DBA7-6C3F002BE0A4}"/>
              </a:ext>
            </a:extLst>
          </xdr:cNvPr>
          <xdr:cNvSpPr/>
        </xdr:nvSpPr>
        <xdr:spPr>
          <a:xfrm>
            <a:off x="2413655" y="707809"/>
            <a:ext cx="2318221" cy="607587"/>
          </a:xfrm>
          <a:prstGeom prst="roundRect">
            <a:avLst/>
          </a:prstGeom>
          <a:solidFill>
            <a:schemeClr val="accent2">
              <a:lumMod val="40000"/>
              <a:lumOff val="60000"/>
            </a:schemeClr>
          </a:solidFill>
          <a:ln>
            <a:solidFill>
              <a:schemeClr val="accent2">
                <a:lumMod val="20000"/>
                <a:lumOff val="8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GB" sz="1600"/>
              <a:t>          Plot Profile</a:t>
            </a:r>
          </a:p>
        </xdr:txBody>
      </xdr:sp>
      <xdr:pic macro="[0]!ProductionProfile">
        <xdr:nvPicPr>
          <xdr:cNvPr id="10" name="Graphic 9" descr="Snake with solid fill">
            <a:extLst>
              <a:ext uri="{FF2B5EF4-FFF2-40B4-BE49-F238E27FC236}">
                <a16:creationId xmlns:a16="http://schemas.microsoft.com/office/drawing/2014/main" id="{9ACA5AE8-5FA3-2093-BBA1-D18794D686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518723" y="761705"/>
            <a:ext cx="492759" cy="503316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19050</xdr:colOff>
      <xdr:row>89</xdr:row>
      <xdr:rowOff>64996</xdr:rowOff>
    </xdr:from>
    <xdr:to>
      <xdr:col>3</xdr:col>
      <xdr:colOff>425825</xdr:colOff>
      <xdr:row>104</xdr:row>
      <xdr:rowOff>85951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6E4DF0F2-A04D-444B-A220-103A3C4F8B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85276</xdr:colOff>
      <xdr:row>45</xdr:row>
      <xdr:rowOff>85837</xdr:rowOff>
    </xdr:from>
    <xdr:to>
      <xdr:col>7</xdr:col>
      <xdr:colOff>963706</xdr:colOff>
      <xdr:row>64</xdr:row>
      <xdr:rowOff>143771</xdr:rowOff>
    </xdr:to>
    <xdr:graphicFrame macro="">
      <xdr:nvGraphicFramePr>
        <xdr:cNvPr id="88" name="Chart 87">
          <a:extLst>
            <a:ext uri="{FF2B5EF4-FFF2-40B4-BE49-F238E27FC236}">
              <a16:creationId xmlns:a16="http://schemas.microsoft.com/office/drawing/2014/main" id="{622198EF-BB1F-4DAE-8897-982E19E4DC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31711</xdr:colOff>
      <xdr:row>67</xdr:row>
      <xdr:rowOff>130884</xdr:rowOff>
    </xdr:from>
    <xdr:to>
      <xdr:col>7</xdr:col>
      <xdr:colOff>868344</xdr:colOff>
      <xdr:row>86</xdr:row>
      <xdr:rowOff>31712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962442F4-F9AF-4594-9349-06B01953A3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1848720</xdr:colOff>
      <xdr:row>15</xdr:row>
      <xdr:rowOff>111290</xdr:rowOff>
    </xdr:from>
    <xdr:to>
      <xdr:col>8</xdr:col>
      <xdr:colOff>1652164</xdr:colOff>
      <xdr:row>18</xdr:row>
      <xdr:rowOff>167854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D8AF1534-CB30-42A6-B2D7-A4755D6AD49B}"/>
            </a:ext>
          </a:extLst>
        </xdr:cNvPr>
        <xdr:cNvGrpSpPr/>
      </xdr:nvGrpSpPr>
      <xdr:grpSpPr>
        <a:xfrm>
          <a:off x="17302624" y="2819111"/>
          <a:ext cx="1865743" cy="591053"/>
          <a:chOff x="2413655" y="707809"/>
          <a:chExt cx="2318221" cy="607587"/>
        </a:xfrm>
      </xdr:grpSpPr>
      <xdr:sp macro="[0]!PlotMap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02EABD9-7E7E-57C7-D90D-A9A6A49C4563}"/>
              </a:ext>
            </a:extLst>
          </xdr:cNvPr>
          <xdr:cNvSpPr/>
        </xdr:nvSpPr>
        <xdr:spPr>
          <a:xfrm>
            <a:off x="2413655" y="707809"/>
            <a:ext cx="2318221" cy="607587"/>
          </a:xfrm>
          <a:prstGeom prst="roundRect">
            <a:avLst/>
          </a:prstGeom>
          <a:solidFill>
            <a:schemeClr val="accent2">
              <a:lumMod val="40000"/>
              <a:lumOff val="60000"/>
            </a:schemeClr>
          </a:solidFill>
          <a:ln>
            <a:solidFill>
              <a:schemeClr val="accent2">
                <a:lumMod val="20000"/>
                <a:lumOff val="8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GB" sz="1600"/>
              <a:t>          Plot Map</a:t>
            </a:r>
            <a:endParaRPr lang="en-DK" sz="1600"/>
          </a:p>
        </xdr:txBody>
      </xdr:sp>
      <xdr:pic macro="[0]!PlotMap">
        <xdr:nvPicPr>
          <xdr:cNvPr id="17" name="Graphic 16" descr="Snake with solid fill">
            <a:extLst>
              <a:ext uri="{FF2B5EF4-FFF2-40B4-BE49-F238E27FC236}">
                <a16:creationId xmlns:a16="http://schemas.microsoft.com/office/drawing/2014/main" id="{8B74C3C2-E734-BB4E-388E-BF8BA830006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518723" y="761705"/>
            <a:ext cx="492759" cy="503316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17146</xdr:colOff>
      <xdr:row>23</xdr:row>
      <xdr:rowOff>34290</xdr:rowOff>
    </xdr:from>
    <xdr:to>
      <xdr:col>15</xdr:col>
      <xdr:colOff>206558</xdr:colOff>
      <xdr:row>60</xdr:row>
      <xdr:rowOff>140265</xdr:rowOff>
    </xdr:to>
    <xdr:pic>
      <xdr:nvPicPr>
        <xdr:cNvPr id="164" name="Balmorel Map">
          <a:extLst>
            <a:ext uri="{FF2B5EF4-FFF2-40B4-BE49-F238E27FC236}">
              <a16:creationId xmlns:a16="http://schemas.microsoft.com/office/drawing/2014/main" id="{0803DDC1-5223-EE80-3505-F56349741E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17514571" y="4282440"/>
          <a:ext cx="7746547" cy="6803955"/>
        </a:xfrm>
        <a:prstGeom prst="rect">
          <a:avLst/>
        </a:prstGeom>
      </xdr:spPr>
    </xdr:pic>
    <xdr:clientData/>
  </xdr:twoCellAnchor>
  <xdr:twoCellAnchor editAs="oneCell">
    <xdr:from>
      <xdr:col>4</xdr:col>
      <xdr:colOff>15240</xdr:colOff>
      <xdr:row>23</xdr:row>
      <xdr:rowOff>34290</xdr:rowOff>
    </xdr:from>
    <xdr:to>
      <xdr:col>7</xdr:col>
      <xdr:colOff>1163317</xdr:colOff>
      <xdr:row>42</xdr:row>
      <xdr:rowOff>146583</xdr:rowOff>
    </xdr:to>
    <xdr:pic>
      <xdr:nvPicPr>
        <xdr:cNvPr id="168" name="Python Output">
          <a:extLst>
            <a:ext uri="{FF2B5EF4-FFF2-40B4-BE49-F238E27FC236}">
              <a16:creationId xmlns:a16="http://schemas.microsoft.com/office/drawing/2014/main" id="{B5EDFD45-248C-ADB6-7B93-8BCEF48F90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8987790" y="4282440"/>
          <a:ext cx="7625077" cy="355081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ias Berg Rosendal" refreshedDate="45280.744457060187" backgroundQuery="1" createdVersion="8" refreshedVersion="8" minRefreshableVersion="3" recordCount="356" xr:uid="{0C270E10-2FBB-4CC0-A28C-59CBEF306603}">
  <cacheSource type="external" connectionId="11"/>
  <cacheFields count="8">
    <cacheField name="SC" numFmtId="0">
      <sharedItems count="15">
        <s v="%scenario_name%"/>
        <s v="eur-system-test" u="1"/>
        <s v="HydroTestQuickFix" u="1"/>
        <s v="noAggregation" u="1"/>
        <s v="withAggregation" u="1"/>
        <s v="HSPAT" u="1"/>
        <s v="HVRE" u="1"/>
        <s v="TransportBase" u="1"/>
        <s v="NoTransport" u="1"/>
        <s v="TR_Base" u="1"/>
        <s v="TR_50%lowerWTRFLH" u="1"/>
        <s v="TR_WTRFLH8760h" u="1"/>
        <s v="TR_NoRESstor" u="1"/>
        <s v="TR_NoRESstor-3rdROR" u="1"/>
        <s v="TR_AllRoR" u="1"/>
      </sharedItems>
    </cacheField>
    <cacheField name="Iteration" numFmtId="0">
      <sharedItems containsSemiMixedTypes="0" containsString="0" containsNumber="1" containsInteger="1" minValue="-1" maxValue="-1" count="1">
        <n v="-1"/>
      </sharedItems>
    </cacheField>
    <cacheField name="Y" numFmtId="0">
      <sharedItems containsSemiMixedTypes="0" containsString="0" containsNumber="1" containsInteger="1" minValue="2020" maxValue="2050" count="4">
        <n v="2050"/>
        <n v="2020" u="1"/>
        <n v="2030" u="1"/>
        <n v="2040" u="1"/>
      </sharedItems>
    </cacheField>
    <cacheField name="C" numFmtId="0">
      <sharedItems/>
    </cacheField>
    <cacheField name="R" numFmtId="0">
      <sharedItems/>
    </cacheField>
    <cacheField name="Var" numFmtId="0">
      <sharedItems count="9">
        <s v="GENERATION_CAPITAL_COSTS"/>
        <s v="GENERATION_FIXED_COSTS"/>
        <s v="GENERATION_OPERATIONAL_COSTS"/>
        <s v="TRANSMISSION_OPERATIONAL_COSTS"/>
        <s v="H2_TRANSMISSION_CAPITAL_COSTS"/>
        <s v="H2_TRANSMISSION_OPERATIONAL_COSTS"/>
        <s v="TRANSMISSION_CAPITAL_COSTS"/>
        <s v="GENERATION_FUEL_COSTS"/>
        <s v="GENERATION_CO2_TAX"/>
      </sharedItems>
    </cacheField>
    <cacheField name="Unit" numFmtId="0">
      <sharedItems count="1">
        <s v="Mmoney"/>
      </sharedItems>
    </cacheField>
    <cacheField name="Value" numFmtId="0">
      <sharedItems containsSemiMixedTypes="0" containsString="0" containsNumber="1" minValue="-3.3894138274686436" maxValue="11928.829930584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ias Berg Rosendal" refreshedDate="45280.744458680558" backgroundQuery="1" createdVersion="8" refreshedVersion="8" minRefreshableVersion="3" recordCount="439" xr:uid="{82EC0780-338A-464F-BB85-3CBE84E49413}">
  <cacheSource type="external" connectionId="13"/>
  <cacheFields count="12">
    <cacheField name="SC" numFmtId="0">
      <sharedItems count="31">
        <s v="%scenario_name%"/>
        <s v="eur-system-test" u="1"/>
        <s v="HydroTestQuickFix" u="1"/>
        <s v="noAggregation" u="1"/>
        <s v="withAggregation" u="1"/>
        <s v="RG1SummedPot" u="1"/>
        <s v="HVRE" u="1"/>
        <s v="HSPAT" u="1"/>
        <s v="TransportBase" u="1"/>
        <s v="NoTransport" u="1"/>
        <s v="TR_Base" u="1"/>
        <s v="TR_50%lowerWTRFLH" u="1"/>
        <s v="TR_WTRFLH8760h" u="1"/>
        <s v="TR_NoRESstor" u="1"/>
        <s v="TR_NoRESstor-3rdROR" u="1"/>
        <s v="TR_AllRoR" u="1"/>
        <s v="GDATAtoRG1" u="1"/>
        <s v="NoGDATAaltering" u="1"/>
        <s v="RG1SummedPotential" u="1"/>
        <s v="HarmonisedVREdata2050Only_Kountdistpot" u="1"/>
        <s v="HVRE2050OnlyKDP_42h" u="1"/>
        <s v="HVRE2050OnlyKDP_21h" u="1"/>
        <s v="UniDirectionalTest" u="1"/>
        <s v="HarmonisedVREdata2050Only_distpot" u="1"/>
        <s v="HarmonisedVREdata2050Only_newpot" u="1"/>
        <s v="NewMapping2050Only" u="1"/>
        <s v="HarmonisedVREdata2050Only" u="1"/>
        <s v="Test" u="1"/>
        <s v="CapCred_FLHMapping" u="1"/>
        <s v="Test_newprofiles" u="1"/>
        <s v="Test_Iter0" u="1"/>
      </sharedItems>
    </cacheField>
    <cacheField name="Iteration" numFmtId="0">
      <sharedItems containsSemiMixedTypes="0" containsString="0" containsNumber="1" containsInteger="1" minValue="-1" maxValue="10" count="5">
        <n v="-1"/>
        <n v="0" u="1"/>
        <n v="1" u="1"/>
        <n v="2" u="1"/>
        <n v="10" u="1"/>
      </sharedItems>
    </cacheField>
    <cacheField name="Y" numFmtId="0">
      <sharedItems containsSemiMixedTypes="0" containsString="0" containsNumber="1" containsInteger="1" minValue="2020" maxValue="2050" count="4">
        <n v="2050"/>
        <n v="2020" u="1"/>
        <n v="2030" u="1"/>
        <n v="2040" u="1"/>
      </sharedItems>
    </cacheField>
    <cacheField name="C" numFmtId="0">
      <sharedItems/>
    </cacheField>
    <cacheField name="R" numFmtId="0">
      <sharedItems count="51">
        <s v="NO3"/>
        <s v="NO4"/>
        <s v="NOS"/>
        <s v="DK1"/>
        <s v="DK2"/>
        <s v="FIN"/>
        <s v="DE"/>
        <s v="NL"/>
        <s v="SE1"/>
        <s v="SE2"/>
        <s v="SE3"/>
        <s v="SE4"/>
        <s v="UK00"/>
        <s v="UKNI"/>
        <s v="EE"/>
        <s v="LV"/>
        <s v="LT"/>
        <s v="PL"/>
        <s v="BE"/>
        <s v="FR00"/>
        <s v="FR15"/>
        <s v="ITCA"/>
        <s v="ITCN"/>
        <s v="ITCS"/>
        <s v="ITN1"/>
        <s v="ITS1"/>
        <s v="ITSA"/>
        <s v="ITSI"/>
        <s v="CH"/>
        <s v="AT"/>
        <s v="CZ"/>
        <s v="ES"/>
        <s v="PT"/>
        <s v="SK"/>
        <s v="HU"/>
        <s v="SI"/>
        <s v="HR"/>
        <s v="RO"/>
        <s v="BG"/>
        <s v="GR00"/>
        <s v="GR03"/>
        <s v="IE"/>
        <s v="LU"/>
        <s v="AL"/>
        <s v="ME"/>
        <s v="MK"/>
        <s v="BA"/>
        <s v="RS"/>
        <s v="TR"/>
        <s v="MT"/>
        <s v="CY"/>
      </sharedItems>
    </cacheField>
    <cacheField name="A" numFmtId="0">
      <sharedItems/>
    </cacheField>
    <cacheField name="G" numFmtId="0">
      <sharedItems/>
    </cacheField>
    <cacheField name="F" numFmtId="0">
      <sharedItems count="24">
        <s v="WATER"/>
        <s v="ELECTRIC"/>
        <s v="WIND"/>
        <s v="HYDROGEN"/>
        <s v="NUCLEAR"/>
        <s v="BIOGAS"/>
        <s v="SUN"/>
        <s v="MUNIWASTE"/>
        <s v="DUMMY"/>
        <s v="NATGAS"/>
        <s v="WASTEHEAT"/>
        <s v="WOOD"/>
        <s v="LIGHTOIL" u="1"/>
        <s v="WOODPELLETS" u="1"/>
        <s v="FUELOIL" u="1"/>
        <s v="PEAT" u="1"/>
        <s v="WOODWASTE" u="1"/>
        <s v="LIGNITE" u="1"/>
        <s v="COAL" u="1"/>
        <s v="RETORTGAS" u="1"/>
        <s v="SHALE" u="1"/>
        <s v="STRAW" u="1"/>
        <s v="OTHERGAS" u="1"/>
        <s v="BIOOIL" u="1"/>
      </sharedItems>
    </cacheField>
    <cacheField name="Commodity" numFmtId="0">
      <sharedItems count="3">
        <s v="ELECTRICITY"/>
        <s v="HYDROGEN"/>
        <s v="HEAT"/>
      </sharedItems>
    </cacheField>
    <cacheField name="Tech" numFmtId="0">
      <sharedItems count="12">
        <s v="HYDRO-RESERVOIRS"/>
        <s v="HYDRO-RUN-OF-RIVER"/>
        <s v="ELECTROLYZER"/>
        <s v="WIND-ON"/>
        <s v="H2-STORAGE"/>
        <s v="WIND-OFF"/>
        <s v="CONDENSING"/>
        <s v="SOLAR-PV"/>
        <s v="FUELCELL"/>
        <s v="INTRASEASONAL-ELECT-STORAGE"/>
        <s v="STEAMREFORMING" u="1"/>
        <s v="CHP-EXTRACTION" u="1"/>
      </sharedItems>
    </cacheField>
    <cacheField name="Unit" numFmtId="0">
      <sharedItems count="1">
        <s v="TWh"/>
      </sharedItems>
    </cacheField>
    <cacheField name="Value" numFmtId="0">
      <sharedItems containsSemiMixedTypes="0" containsString="0" containsNumber="1" minValue="-5.1967134595543032E-15" maxValue="526.4133791969558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ias Berg Rosendal" refreshedDate="45280.744463194445" backgroundQuery="1" createdVersion="8" refreshedVersion="8" minRefreshableVersion="3" recordCount="597" xr:uid="{0A594989-0DB0-43C1-9736-16C29D0166C3}">
  <cacheSource type="external" connectionId="4"/>
  <cacheFields count="8">
    <cacheField name="SC" numFmtId="0">
      <sharedItems count="6">
        <s v="eur-system-test"/>
        <s v="HSPAT"/>
        <s v="HVRE"/>
        <s v="TransportBase" u="1"/>
        <s v="NoTransport" u="1"/>
        <s v="%scenario_name%" u="1"/>
      </sharedItems>
    </cacheField>
    <cacheField name="Iteration" numFmtId="0">
      <sharedItems containsSemiMixedTypes="0" containsString="0" containsNumber="1" containsInteger="1" minValue="0" maxValue="0" count="1">
        <n v="0"/>
      </sharedItems>
    </cacheField>
    <cacheField name="Y" numFmtId="0">
      <sharedItems containsSemiMixedTypes="0" containsString="0" containsNumber="1" containsInteger="1" minValue="2020" maxValue="2050" count="4">
        <n v="2020"/>
        <n v="2030"/>
        <n v="2040"/>
        <n v="2050"/>
      </sharedItems>
    </cacheField>
    <cacheField name="C" numFmtId="0">
      <sharedItems/>
    </cacheField>
    <cacheField name="R" numFmtId="0">
      <sharedItems count="63">
        <s v="NO1"/>
        <s v="NO2"/>
        <s v="NO3"/>
        <s v="NO4"/>
        <s v="NO5"/>
        <s v="DK1"/>
        <s v="DK2"/>
        <s v="FIN"/>
        <s v="DE4-E"/>
        <s v="DE4-N"/>
        <s v="DE4-S"/>
        <s v="DE4-W"/>
        <s v="NL"/>
        <s v="SE1"/>
        <s v="SE2"/>
        <s v="SE3"/>
        <s v="SE4"/>
        <s v="UK"/>
        <s v="EE"/>
        <s v="LV"/>
        <s v="LT"/>
        <s v="PL"/>
        <s v="BE"/>
        <s v="FR"/>
        <s v="IT"/>
        <s v="CH"/>
        <s v="AT"/>
        <s v="CZ"/>
        <s v="ES"/>
        <s v="PT"/>
        <s v="SK"/>
        <s v="HU"/>
        <s v="SI"/>
        <s v="HR"/>
        <s v="RO"/>
        <s v="BG"/>
        <s v="GR"/>
        <s v="IE"/>
        <s v="LU"/>
        <s v="AL"/>
        <s v="ME"/>
        <s v="MK"/>
        <s v="BA"/>
        <s v="RS"/>
        <s v="TR"/>
        <s v="MT"/>
        <s v="CY"/>
        <s v="NOS"/>
        <s v="DE"/>
        <s v="UK00"/>
        <s v="UKNI"/>
        <s v="FR00"/>
        <s v="FR15"/>
        <s v="ITCA"/>
        <s v="ITCN"/>
        <s v="ITCO"/>
        <s v="ITCS"/>
        <s v="ITN1"/>
        <s v="ITS1"/>
        <s v="ITSA"/>
        <s v="ITSI"/>
        <s v="GR00"/>
        <s v="GR03"/>
      </sharedItems>
    </cacheField>
    <cacheField name="Type" numFmtId="0">
      <sharedItems count="1">
        <s v="AVERAGE"/>
      </sharedItems>
    </cacheField>
    <cacheField name="Unit" numFmtId="0">
      <sharedItems count="1">
        <s v="Money_per_MWh"/>
      </sharedItems>
    </cacheField>
    <cacheField name="Value" numFmtId="0">
      <sharedItems containsSemiMixedTypes="0" containsString="0" containsNumber="1" minValue="8.0092966946120878" maxValue="70.95125645466424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ias Berg Rosendal" refreshedDate="45280.744463773146" backgroundQuery="1" createdVersion="8" refreshedVersion="8" minRefreshableVersion="3" recordCount="1730" xr:uid="{439AE32B-CCB5-4DA7-B96C-F5716AA012E9}">
  <cacheSource type="external" connectionId="9"/>
  <cacheFields count="13">
    <cacheField name="SC" numFmtId="0">
      <sharedItems count="29">
        <s v="%scenario_name%"/>
        <s v="eur-system-test" u="1"/>
        <s v="HydroTestQuickFix" u="1"/>
        <s v="noAggregation" u="1"/>
        <s v="withAggregation" u="1"/>
        <s v="RG1SummedPot" u="1"/>
        <s v="HVRE" u="1"/>
        <s v="HSPAT" u="1"/>
        <s v="TransportBase" u="1"/>
        <s v="NoTransport" u="1"/>
        <s v="TR_Base" u="1"/>
        <s v="TR_50%lowerWTRFLH" u="1"/>
        <s v="TR_WTRFLH8760h" u="1"/>
        <s v="TR_NoRESstor" u="1"/>
        <s v="TR_NoRESstor-3rdROR" u="1"/>
        <s v="TR_AllRoR" u="1"/>
        <s v="GDATAtoRG1" u="1"/>
        <s v="NoGDATAaltering" u="1"/>
        <s v="RG1SummedPotential" u="1"/>
        <s v="HarmonisedVREdata2050Only_Kountdistpot" u="1"/>
        <s v="HVRE2050OnlyKDP_42h" u="1"/>
        <s v="HVRE2050OnlyKDP_21h" u="1"/>
        <s v="UniDirectionalTest" u="1"/>
        <s v="HarmonisedVREdata2050Only_distpot" u="1"/>
        <s v="HarmonisedVREdata2050Only_newpot" u="1"/>
        <s v="NewMapping2050Only" u="1"/>
        <s v="HarmonisedVREdata2050Only" u="1"/>
        <s v="Test" u="1"/>
        <s v="CapCred_FLHMapping" u="1"/>
      </sharedItems>
    </cacheField>
    <cacheField name="Iteration" numFmtId="0">
      <sharedItems containsSemiMixedTypes="0" containsString="0" containsNumber="1" containsInteger="1" minValue="-1" maxValue="-1" count="1">
        <n v="-1"/>
      </sharedItems>
    </cacheField>
    <cacheField name="Y" numFmtId="0">
      <sharedItems containsSemiMixedTypes="0" containsString="0" containsNumber="1" containsInteger="1" minValue="2020" maxValue="2050" count="4">
        <n v="2050"/>
        <n v="2020" u="1"/>
        <n v="2030" u="1"/>
        <n v="2040" u="1"/>
      </sharedItems>
    </cacheField>
    <cacheField name="C" numFmtId="0">
      <sharedItems/>
    </cacheField>
    <cacheField name="R" numFmtId="0">
      <sharedItems count="62">
        <s v="NO3"/>
        <s v="NO4"/>
        <s v="NOS"/>
        <s v="DK1"/>
        <s v="DK2"/>
        <s v="FIN"/>
        <s v="DE"/>
        <s v="NL"/>
        <s v="SE1"/>
        <s v="SE2"/>
        <s v="SE3"/>
        <s v="SE4"/>
        <s v="UK00"/>
        <s v="UKNI"/>
        <s v="EE"/>
        <s v="LV"/>
        <s v="LT"/>
        <s v="PL"/>
        <s v="BE"/>
        <s v="FR00"/>
        <s v="FR15"/>
        <s v="ITCA"/>
        <s v="ITCN"/>
        <s v="ITCS"/>
        <s v="ITN1"/>
        <s v="ITS1"/>
        <s v="ITSA"/>
        <s v="ITSI"/>
        <s v="CH"/>
        <s v="AT"/>
        <s v="CZ"/>
        <s v="ES"/>
        <s v="PT"/>
        <s v="SK"/>
        <s v="HU"/>
        <s v="SI"/>
        <s v="HR"/>
        <s v="RO"/>
        <s v="BG"/>
        <s v="GR00"/>
        <s v="GR03"/>
        <s v="IE"/>
        <s v="LU"/>
        <s v="AL"/>
        <s v="ME"/>
        <s v="MK"/>
        <s v="BA"/>
        <s v="RS"/>
        <s v="TR"/>
        <s v="MT"/>
        <s v="CY"/>
        <s v="NO1" u="1"/>
        <s v="NO2" u="1"/>
        <s v="NO5" u="1"/>
        <s v="DE4-E" u="1"/>
        <s v="DE4-N" u="1"/>
        <s v="DE4-S" u="1"/>
        <s v="DE4-W" u="1"/>
        <s v="UK" u="1"/>
        <s v="FR" u="1"/>
        <s v="IT" u="1"/>
        <s v="GR" u="1"/>
      </sharedItems>
    </cacheField>
    <cacheField name="A" numFmtId="0">
      <sharedItems/>
    </cacheField>
    <cacheField name="G" numFmtId="0">
      <sharedItems/>
    </cacheField>
    <cacheField name="F" numFmtId="0">
      <sharedItems count="25">
        <s v="NATGAS"/>
        <s v="WATER"/>
        <s v="ELECTRIC"/>
        <s v="WIND"/>
        <s v="LIGHTOIL"/>
        <s v="COAL"/>
        <s v="HYDROGEN"/>
        <s v="BIOGAS"/>
        <s v="SUN"/>
        <s v="WOODPELLETS"/>
        <s v="FUELOIL"/>
        <s v="NUCLEAR"/>
        <s v="PEAT"/>
        <s v="HEAT"/>
        <s v="WOODWASTE"/>
        <s v="WASTEHEAT"/>
        <s v="LIGNITE"/>
        <s v="MUNIWASTE"/>
        <s v="WOOD"/>
        <s v="OTHERGAS"/>
        <s v="BIOOIL"/>
        <s v="STRAW"/>
        <s v="DUMMY"/>
        <s v="RETORTGAS"/>
        <s v="SHALE"/>
      </sharedItems>
    </cacheField>
    <cacheField name="Commodity" numFmtId="0">
      <sharedItems count="4">
        <s v="ELECTRICITY"/>
        <s v="HYDROGEN"/>
        <s v="HEAT"/>
        <s v="BIOMETHANE"/>
      </sharedItems>
    </cacheField>
    <cacheField name="Tech" numFmtId="0">
      <sharedItems count="14">
        <s v="CONDENSING"/>
        <s v="HYDRO-RESERVOIRS"/>
        <s v="HYDRO-RUN-OF-RIVER"/>
        <s v="ELECTROLYZER"/>
        <s v="STEAMREFORMING"/>
        <s v="WIND-ON"/>
        <s v="CHP-EXTRACTION"/>
        <s v="H2-STORAGE"/>
        <s v="BIOGASUPGRADING"/>
        <s v="SOLAR-PV"/>
        <s v="WIND-OFF"/>
        <s v="INTERSEASONAL-HEAT-STORAGE"/>
        <s v="FUELCELL"/>
        <s v="INTRASEASONAL-ELECT-STORAGE"/>
      </sharedItems>
    </cacheField>
    <cacheField name="Var" numFmtId="0">
      <sharedItems count="3">
        <s v="EXOGENOUS"/>
        <s v="DECOMMISSIONING"/>
        <s v="ENDOGENOUS"/>
      </sharedItems>
    </cacheField>
    <cacheField name="Unit" numFmtId="0">
      <sharedItems count="1">
        <s v="GW"/>
      </sharedItems>
    </cacheField>
    <cacheField name="Value" numFmtId="0">
      <sharedItems containsSemiMixedTypes="0" containsString="0" containsNumber="1" minValue="-41.962900000000005" maxValue="274.8403289279941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ias Berg Rosendal" refreshedDate="45280.744465625001" backgroundQuery="1" createdVersion="8" refreshedVersion="8" minRefreshableVersion="3" recordCount="9" xr:uid="{31379719-A94B-4572-B37D-AA360B6C75AD}">
  <cacheSource type="external" connectionId="6"/>
  <cacheFields count="11">
    <cacheField name="SC" numFmtId="0">
      <sharedItems count="10">
        <s v="%scenario_name%"/>
        <s v="eur-system-test" u="1"/>
        <s v="HydroTestQuickFix" u="1"/>
        <s v="noAggregation" u="1"/>
        <s v="withAggregation" u="1"/>
        <s v="RG1SummedPot" u="1"/>
        <s v="HVRE" u="1"/>
        <s v="HSPAT" u="1"/>
        <s v="TransportBase" u="1"/>
        <s v="NoTransport" u="1"/>
      </sharedItems>
    </cacheField>
    <cacheField name="Iteration" numFmtId="0">
      <sharedItems containsSemiMixedTypes="0" containsString="0" containsNumber="1" containsInteger="1" minValue="-1" maxValue="0" count="2">
        <n v="-1"/>
        <n v="0" u="1"/>
      </sharedItems>
    </cacheField>
    <cacheField name="Y" numFmtId="0">
      <sharedItems containsSemiMixedTypes="0" containsString="0" containsNumber="1" containsInteger="1" minValue="2020" maxValue="2050" count="4">
        <n v="2050"/>
        <n v="2020" u="1"/>
        <n v="2030" u="1"/>
        <n v="2040" u="1"/>
      </sharedItems>
    </cacheField>
    <cacheField name="C" numFmtId="0">
      <sharedItems count="5">
        <s v="ITALY"/>
        <s v="PORTUGAL"/>
        <s v="SLOVAKIA"/>
        <s v="CROATIA"/>
        <s v="MALTA"/>
      </sharedItems>
    </cacheField>
    <cacheField name="R" numFmtId="0">
      <sharedItems count="60">
        <s v="ITCA"/>
        <s v="ITN1"/>
        <s v="ITS1"/>
        <s v="ITSA"/>
        <s v="ITSI"/>
        <s v="PT"/>
        <s v="SK"/>
        <s v="HR"/>
        <s v="MT"/>
        <s v="NO1" u="1"/>
        <s v="NO2" u="1"/>
        <s v="NO3" u="1"/>
        <s v="NO5" u="1"/>
        <s v="DK1" u="1"/>
        <s v="DK2" u="1"/>
        <s v="FIN" u="1"/>
        <s v="DE4-E" u="1"/>
        <s v="DE4-N" u="1"/>
        <s v="DE4-S" u="1"/>
        <s v="DE4-W" u="1"/>
        <s v="NL" u="1"/>
        <s v="SE1" u="1"/>
        <s v="SE2" u="1"/>
        <s v="SE3" u="1"/>
        <s v="SE4" u="1"/>
        <s v="UK" u="1"/>
        <s v="EE" u="1"/>
        <s v="LV" u="1"/>
        <s v="LT" u="1"/>
        <s v="PL" u="1"/>
        <s v="BE" u="1"/>
        <s v="FR" u="1"/>
        <s v="IT" u="1"/>
        <s v="CH" u="1"/>
        <s v="AT" u="1"/>
        <s v="CZ" u="1"/>
        <s v="ES" u="1"/>
        <s v="HU" u="1"/>
        <s v="SI" u="1"/>
        <s v="RO" u="1"/>
        <s v="BG" u="1"/>
        <s v="GR" u="1"/>
        <s v="IE" u="1"/>
        <s v="LU" u="1"/>
        <s v="AL" u="1"/>
        <s v="ME" u="1"/>
        <s v="MK" u="1"/>
        <s v="BA" u="1"/>
        <s v="RS" u="1"/>
        <s v="TR" u="1"/>
        <s v="CY" u="1"/>
        <s v="NO4" u="1"/>
        <s v="DE" u="1"/>
        <s v="UK00" u="1"/>
        <s v="FR00" u="1"/>
        <s v="FR15" u="1"/>
        <s v="ITCN" u="1"/>
        <s v="ITCS" u="1"/>
        <s v="GR00" u="1"/>
        <s v="NOS" u="1"/>
      </sharedItems>
    </cacheField>
    <cacheField name="A" numFmtId="0">
      <sharedItems count="9">
        <s v="ITCA_A"/>
        <s v="ITN1_A"/>
        <s v="ITS1_A"/>
        <s v="ITSA_A"/>
        <s v="ITSI_A"/>
        <s v="PT_A"/>
        <s v="SK_A"/>
        <s v="HR_A"/>
        <s v="MT_A"/>
      </sharedItems>
    </cacheField>
    <cacheField name="G" numFmtId="0">
      <sharedItems count="2">
        <s v="GNR_CC_NGAS_CND_E-56"/>
        <s v="GNR_CC_NGAS_CND_E-63_LS-100-MW_Y-2050"/>
      </sharedItems>
    </cacheField>
    <cacheField name="F" numFmtId="0">
      <sharedItems count="1">
        <s v="NATGAS"/>
      </sharedItems>
    </cacheField>
    <cacheField name="Tech" numFmtId="0">
      <sharedItems count="1">
        <s v="CONDENSING"/>
      </sharedItems>
    </cacheField>
    <cacheField name="Unit" numFmtId="0">
      <sharedItems count="1">
        <s v="kton"/>
      </sharedItems>
    </cacheField>
    <cacheField name="Value" numFmtId="0">
      <sharedItems containsSemiMixedTypes="0" containsString="0" containsNumber="1" minValue="-5.9860505124171529E-14" maxValue="18.685088679114198" count="7">
        <n v="-5.9860505124171529E-14"/>
        <n v="9.5776808198674446E-13"/>
        <n v="2.9930252562085764E-14"/>
        <n v="1.1972101024834306E-13"/>
        <n v="-1.4965126281042882E-14"/>
        <n v="7.4825631405214411E-15"/>
        <n v="18.68508867911419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hias Berg Rosendal" refreshedDate="45280.744468750003" backgroundQuery="1" createdVersion="8" refreshedVersion="8" minRefreshableVersion="3" recordCount="191" xr:uid="{B3876C7E-2A61-4707-A278-56B3F10C3272}">
  <cacheSource type="external" connectionId="2"/>
  <cacheFields count="8">
    <cacheField name="SC" numFmtId="0">
      <sharedItems count="7">
        <s v="%scenario_name%"/>
        <s v="eur-system-test" u="1"/>
        <s v="HydroTestQuickFix" u="1"/>
        <s v="noAggregation" u="1"/>
        <s v="withAggregation" u="1"/>
        <s v="HSPAT" u="1"/>
        <s v="HVRE" u="1"/>
      </sharedItems>
    </cacheField>
    <cacheField name="Iteration" numFmtId="0">
      <sharedItems containsSemiMixedTypes="0" containsString="0" containsNumber="1" containsInteger="1" minValue="-1" maxValue="-1" count="1">
        <n v="-1"/>
      </sharedItems>
    </cacheField>
    <cacheField name="Y" numFmtId="0">
      <sharedItems containsSemiMixedTypes="0" containsString="0" containsNumber="1" containsInteger="1" minValue="2020" maxValue="2050" count="4">
        <n v="2050"/>
        <n v="2020" u="1"/>
        <n v="2030" u="1"/>
        <n v="2040" u="1"/>
      </sharedItems>
    </cacheField>
    <cacheField name="C" numFmtId="0">
      <sharedItems count="36">
        <s v="NORWAY"/>
        <s v="DENMARK"/>
        <s v="FINLAND"/>
        <s v="GERMANY"/>
        <s v="NETHERLANDS"/>
        <s v="SWEDEN"/>
        <s v="UNITED_KINGDOM"/>
        <s v="ESTONIA"/>
        <s v="LATVIA"/>
        <s v="LITHUANIA"/>
        <s v="POLAND"/>
        <s v="BELGIUM"/>
        <s v="FRANCE"/>
        <s v="ITALY"/>
        <s v="SWITZERLAND"/>
        <s v="AUSTRIA"/>
        <s v="CZECH_REPUBLIC"/>
        <s v="SPAIN"/>
        <s v="PORTUGAL"/>
        <s v="SLOVAKIA"/>
        <s v="HUNGARY"/>
        <s v="SLOVENIA"/>
        <s v="CROATIA"/>
        <s v="ROMANIA"/>
        <s v="BULGARIA"/>
        <s v="GREECE"/>
        <s v="IRELAND"/>
        <s v="LUXEMBOURG"/>
        <s v="ALBANIA"/>
        <s v="MONTENEGRO"/>
        <s v="NORTH_MACEDONIA"/>
        <s v="BOSNIA_AND_HERZEGOVINA"/>
        <s v="SERBIA"/>
        <s v="TURKEY"/>
        <s v="MALTA"/>
        <s v="CYPRUS"/>
      </sharedItems>
    </cacheField>
    <cacheField name="R" numFmtId="0">
      <sharedItems/>
    </cacheField>
    <cacheField name="Var" numFmtId="0">
      <sharedItems count="5">
        <s v="EXOGENOUS"/>
        <s v="DIST_LOSSES"/>
        <s v="TRANS_LOSSES"/>
        <s v="ENDO_H2"/>
        <s v="ENDO_INTRASTO"/>
      </sharedItems>
    </cacheField>
    <cacheField name="Unit" numFmtId="0">
      <sharedItems count="1">
        <s v="TWh"/>
      </sharedItems>
    </cacheField>
    <cacheField name="Value" numFmtId="0">
      <sharedItems containsSemiMixedTypes="0" containsString="0" containsNumber="1" minValue="-5.5957111866349564E-17" maxValue="491.4539999999996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6">
  <r>
    <x v="0"/>
    <x v="0"/>
    <x v="0"/>
    <s v="NORWAY"/>
    <s v="NO3"/>
    <x v="0"/>
    <x v="0"/>
    <n v="126.51390066922359"/>
  </r>
  <r>
    <x v="0"/>
    <x v="0"/>
    <x v="0"/>
    <s v="NORWAY"/>
    <s v="NO3"/>
    <x v="1"/>
    <x v="0"/>
    <n v="130.51401820736373"/>
  </r>
  <r>
    <x v="0"/>
    <x v="0"/>
    <x v="0"/>
    <s v="NORWAY"/>
    <s v="NO3"/>
    <x v="2"/>
    <x v="0"/>
    <n v="59.441190034750299"/>
  </r>
  <r>
    <x v="0"/>
    <x v="0"/>
    <x v="0"/>
    <s v="NORWAY"/>
    <s v="NO3"/>
    <x v="3"/>
    <x v="0"/>
    <n v="7.5173746617307978E-4"/>
  </r>
  <r>
    <x v="0"/>
    <x v="0"/>
    <x v="0"/>
    <s v="NORWAY"/>
    <s v="NO3"/>
    <x v="4"/>
    <x v="0"/>
    <n v="7.1215975861487415"/>
  </r>
  <r>
    <x v="0"/>
    <x v="0"/>
    <x v="0"/>
    <s v="NORWAY"/>
    <s v="NO3"/>
    <x v="5"/>
    <x v="0"/>
    <n v="6.3169372615537164E-6"/>
  </r>
  <r>
    <x v="0"/>
    <x v="0"/>
    <x v="0"/>
    <s v="NORWAY"/>
    <s v="NO4"/>
    <x v="0"/>
    <x v="0"/>
    <n v="406.86816607087235"/>
  </r>
  <r>
    <x v="0"/>
    <x v="0"/>
    <x v="0"/>
    <s v="NORWAY"/>
    <s v="NO4"/>
    <x v="1"/>
    <x v="0"/>
    <n v="200.58706838875912"/>
  </r>
  <r>
    <x v="0"/>
    <x v="0"/>
    <x v="0"/>
    <s v="NORWAY"/>
    <s v="NO4"/>
    <x v="2"/>
    <x v="0"/>
    <n v="141.32205523115596"/>
  </r>
  <r>
    <x v="0"/>
    <x v="0"/>
    <x v="0"/>
    <s v="NORWAY"/>
    <s v="NO4"/>
    <x v="6"/>
    <x v="0"/>
    <n v="22.712437231340672"/>
  </r>
  <r>
    <x v="0"/>
    <x v="0"/>
    <x v="0"/>
    <s v="NORWAY"/>
    <s v="NO4"/>
    <x v="3"/>
    <x v="0"/>
    <n v="1.5089880841619961E-3"/>
  </r>
  <r>
    <x v="0"/>
    <x v="0"/>
    <x v="0"/>
    <s v="NORWAY"/>
    <s v="NO4"/>
    <x v="4"/>
    <x v="0"/>
    <n v="5.9310792369859824"/>
  </r>
  <r>
    <x v="0"/>
    <x v="0"/>
    <x v="0"/>
    <s v="NORWAY"/>
    <s v="NO4"/>
    <x v="5"/>
    <x v="0"/>
    <n v="1.2652246330131819E-5"/>
  </r>
  <r>
    <x v="0"/>
    <x v="0"/>
    <x v="0"/>
    <s v="NORWAY"/>
    <s v="NOS"/>
    <x v="0"/>
    <x v="0"/>
    <n v="394.38398111096143"/>
  </r>
  <r>
    <x v="0"/>
    <x v="0"/>
    <x v="0"/>
    <s v="NORWAY"/>
    <s v="NOS"/>
    <x v="1"/>
    <x v="0"/>
    <n v="592.8617413719835"/>
  </r>
  <r>
    <x v="0"/>
    <x v="0"/>
    <x v="0"/>
    <s v="NORWAY"/>
    <s v="NOS"/>
    <x v="2"/>
    <x v="0"/>
    <n v="342.59237737569902"/>
  </r>
  <r>
    <x v="0"/>
    <x v="0"/>
    <x v="0"/>
    <s v="NORWAY"/>
    <s v="NOS"/>
    <x v="6"/>
    <x v="0"/>
    <n v="74.544306702219373"/>
  </r>
  <r>
    <x v="0"/>
    <x v="0"/>
    <x v="0"/>
    <s v="NORWAY"/>
    <s v="NOS"/>
    <x v="3"/>
    <x v="0"/>
    <n v="7.8679975804085249E-3"/>
  </r>
  <r>
    <x v="0"/>
    <x v="0"/>
    <x v="0"/>
    <s v="NORWAY"/>
    <s v="NOS"/>
    <x v="4"/>
    <x v="0"/>
    <n v="15.698337122421528"/>
  </r>
  <r>
    <x v="0"/>
    <x v="0"/>
    <x v="0"/>
    <s v="NORWAY"/>
    <s v="NOS"/>
    <x v="5"/>
    <x v="0"/>
    <n v="1.3474626091449149E-5"/>
  </r>
  <r>
    <x v="0"/>
    <x v="0"/>
    <x v="0"/>
    <s v="DENMARK"/>
    <s v="DK1"/>
    <x v="0"/>
    <x v="0"/>
    <n v="628.52516326626301"/>
  </r>
  <r>
    <x v="0"/>
    <x v="0"/>
    <x v="0"/>
    <s v="DENMARK"/>
    <s v="DK1"/>
    <x v="1"/>
    <x v="0"/>
    <n v="134.29833832602208"/>
  </r>
  <r>
    <x v="0"/>
    <x v="0"/>
    <x v="0"/>
    <s v="DENMARK"/>
    <s v="DK1"/>
    <x v="2"/>
    <x v="0"/>
    <n v="55.766052742491368"/>
  </r>
  <r>
    <x v="0"/>
    <x v="0"/>
    <x v="0"/>
    <s v="DENMARK"/>
    <s v="DK1"/>
    <x v="3"/>
    <x v="0"/>
    <n v="2.3913650010879747E-3"/>
  </r>
  <r>
    <x v="0"/>
    <x v="0"/>
    <x v="0"/>
    <s v="DENMARK"/>
    <s v="DK1"/>
    <x v="4"/>
    <x v="0"/>
    <n v="5.0072006182178006"/>
  </r>
  <r>
    <x v="0"/>
    <x v="0"/>
    <x v="0"/>
    <s v="DENMARK"/>
    <s v="DK1"/>
    <x v="5"/>
    <x v="0"/>
    <n v="6.9778946887925881E-6"/>
  </r>
  <r>
    <x v="0"/>
    <x v="0"/>
    <x v="0"/>
    <s v="DENMARK"/>
    <s v="DK2"/>
    <x v="0"/>
    <x v="0"/>
    <n v="237.38289591674427"/>
  </r>
  <r>
    <x v="0"/>
    <x v="0"/>
    <x v="0"/>
    <s v="DENMARK"/>
    <s v="DK2"/>
    <x v="1"/>
    <x v="0"/>
    <n v="71.096378201340002"/>
  </r>
  <r>
    <x v="0"/>
    <x v="0"/>
    <x v="0"/>
    <s v="DENMARK"/>
    <s v="DK2"/>
    <x v="2"/>
    <x v="0"/>
    <n v="21.845015435086527"/>
  </r>
  <r>
    <x v="0"/>
    <x v="0"/>
    <x v="0"/>
    <s v="DENMARK"/>
    <s v="DK2"/>
    <x v="6"/>
    <x v="0"/>
    <n v="0.44538379378754861"/>
  </r>
  <r>
    <x v="0"/>
    <x v="0"/>
    <x v="0"/>
    <s v="DENMARK"/>
    <s v="DK2"/>
    <x v="3"/>
    <x v="0"/>
    <n v="6.9921304178317259E-4"/>
  </r>
  <r>
    <x v="0"/>
    <x v="0"/>
    <x v="0"/>
    <s v="DENMARK"/>
    <s v="DK2"/>
    <x v="4"/>
    <x v="0"/>
    <n v="2.1625408827895174"/>
  </r>
  <r>
    <x v="0"/>
    <x v="0"/>
    <x v="0"/>
    <s v="DENMARK"/>
    <s v="DK2"/>
    <x v="5"/>
    <x v="0"/>
    <n v="2.9918129203095788E-6"/>
  </r>
  <r>
    <x v="0"/>
    <x v="0"/>
    <x v="0"/>
    <s v="FINLAND"/>
    <s v="FIN"/>
    <x v="0"/>
    <x v="0"/>
    <n v="910.32530391476303"/>
  </r>
  <r>
    <x v="0"/>
    <x v="0"/>
    <x v="0"/>
    <s v="FINLAND"/>
    <s v="FIN"/>
    <x v="1"/>
    <x v="0"/>
    <n v="282.57082860386242"/>
  </r>
  <r>
    <x v="0"/>
    <x v="0"/>
    <x v="0"/>
    <s v="FINLAND"/>
    <s v="FIN"/>
    <x v="2"/>
    <x v="0"/>
    <n v="128.3910302919839"/>
  </r>
  <r>
    <x v="0"/>
    <x v="0"/>
    <x v="0"/>
    <s v="FINLAND"/>
    <s v="FIN"/>
    <x v="7"/>
    <x v="0"/>
    <n v="8.9034703144967082"/>
  </r>
  <r>
    <x v="0"/>
    <x v="0"/>
    <x v="0"/>
    <s v="FINLAND"/>
    <s v="FIN"/>
    <x v="6"/>
    <x v="0"/>
    <n v="34.194165502325063"/>
  </r>
  <r>
    <x v="0"/>
    <x v="0"/>
    <x v="0"/>
    <s v="FINLAND"/>
    <s v="FIN"/>
    <x v="3"/>
    <x v="0"/>
    <n v="1.354017602275804E-3"/>
  </r>
  <r>
    <x v="0"/>
    <x v="0"/>
    <x v="0"/>
    <s v="FINLAND"/>
    <s v="FIN"/>
    <x v="4"/>
    <x v="0"/>
    <n v="2.1945180442583028"/>
  </r>
  <r>
    <x v="0"/>
    <x v="0"/>
    <x v="0"/>
    <s v="FINLAND"/>
    <s v="FIN"/>
    <x v="5"/>
    <x v="0"/>
    <n v="6.9024365477951255E-8"/>
  </r>
  <r>
    <x v="0"/>
    <x v="0"/>
    <x v="0"/>
    <s v="GERMANY"/>
    <s v="DE"/>
    <x v="0"/>
    <x v="0"/>
    <n v="6183.0077757496247"/>
  </r>
  <r>
    <x v="0"/>
    <x v="0"/>
    <x v="0"/>
    <s v="GERMANY"/>
    <s v="DE"/>
    <x v="1"/>
    <x v="0"/>
    <n v="1603.4375915144992"/>
  </r>
  <r>
    <x v="0"/>
    <x v="0"/>
    <x v="0"/>
    <s v="GERMANY"/>
    <s v="DE"/>
    <x v="2"/>
    <x v="0"/>
    <n v="531.85807719073284"/>
  </r>
  <r>
    <x v="0"/>
    <x v="0"/>
    <x v="0"/>
    <s v="GERMANY"/>
    <s v="DE"/>
    <x v="7"/>
    <x v="0"/>
    <n v="3.697774682888358E-14"/>
  </r>
  <r>
    <x v="0"/>
    <x v="0"/>
    <x v="0"/>
    <s v="GERMANY"/>
    <s v="DE"/>
    <x v="6"/>
    <x v="0"/>
    <n v="312.836776573507"/>
  </r>
  <r>
    <x v="0"/>
    <x v="0"/>
    <x v="0"/>
    <s v="GERMANY"/>
    <s v="DE"/>
    <x v="3"/>
    <x v="0"/>
    <n v="1.4312915659646579E-2"/>
  </r>
  <r>
    <x v="0"/>
    <x v="0"/>
    <x v="0"/>
    <s v="GERMANY"/>
    <s v="DE"/>
    <x v="4"/>
    <x v="0"/>
    <n v="82.256285471525857"/>
  </r>
  <r>
    <x v="0"/>
    <x v="0"/>
    <x v="0"/>
    <s v="GERMANY"/>
    <s v="DE"/>
    <x v="5"/>
    <x v="0"/>
    <n v="4.0813750819731404E-5"/>
  </r>
  <r>
    <x v="0"/>
    <x v="0"/>
    <x v="0"/>
    <s v="NETHERLANDS"/>
    <s v="NL"/>
    <x v="0"/>
    <x v="0"/>
    <n v="1312.9113497794172"/>
  </r>
  <r>
    <x v="0"/>
    <x v="0"/>
    <x v="0"/>
    <s v="NETHERLANDS"/>
    <s v="NL"/>
    <x v="1"/>
    <x v="0"/>
    <n v="476.06584249200301"/>
  </r>
  <r>
    <x v="0"/>
    <x v="0"/>
    <x v="0"/>
    <s v="NETHERLANDS"/>
    <s v="NL"/>
    <x v="2"/>
    <x v="0"/>
    <n v="59.745369172902912"/>
  </r>
  <r>
    <x v="0"/>
    <x v="0"/>
    <x v="0"/>
    <s v="NETHERLANDS"/>
    <s v="NL"/>
    <x v="6"/>
    <x v="0"/>
    <n v="126.52837374192366"/>
  </r>
  <r>
    <x v="0"/>
    <x v="0"/>
    <x v="0"/>
    <s v="NETHERLANDS"/>
    <s v="NL"/>
    <x v="3"/>
    <x v="0"/>
    <n v="4.112610876256844E-3"/>
  </r>
  <r>
    <x v="0"/>
    <x v="0"/>
    <x v="0"/>
    <s v="NETHERLANDS"/>
    <s v="NL"/>
    <x v="4"/>
    <x v="0"/>
    <n v="23.014169971819037"/>
  </r>
  <r>
    <x v="0"/>
    <x v="0"/>
    <x v="0"/>
    <s v="NETHERLANDS"/>
    <s v="NL"/>
    <x v="5"/>
    <x v="0"/>
    <n v="2.2091627567474333E-6"/>
  </r>
  <r>
    <x v="0"/>
    <x v="0"/>
    <x v="0"/>
    <s v="SWEDEN"/>
    <s v="SE1"/>
    <x v="1"/>
    <x v="0"/>
    <n v="127.55921335512559"/>
  </r>
  <r>
    <x v="0"/>
    <x v="0"/>
    <x v="0"/>
    <s v="SWEDEN"/>
    <s v="SE1"/>
    <x v="2"/>
    <x v="0"/>
    <n v="64.277349571246191"/>
  </r>
  <r>
    <x v="0"/>
    <x v="0"/>
    <x v="0"/>
    <s v="SWEDEN"/>
    <s v="SE1"/>
    <x v="6"/>
    <x v="0"/>
    <n v="11.481728270984394"/>
  </r>
  <r>
    <x v="0"/>
    <x v="0"/>
    <x v="0"/>
    <s v="SWEDEN"/>
    <s v="SE1"/>
    <x v="3"/>
    <x v="0"/>
    <n v="1.4059688885191823E-3"/>
  </r>
  <r>
    <x v="0"/>
    <x v="0"/>
    <x v="0"/>
    <s v="SWEDEN"/>
    <s v="SE1"/>
    <x v="4"/>
    <x v="0"/>
    <n v="1.8088976509086074"/>
  </r>
  <r>
    <x v="0"/>
    <x v="0"/>
    <x v="0"/>
    <s v="SWEDEN"/>
    <s v="SE1"/>
    <x v="5"/>
    <x v="0"/>
    <n v="2.0253796235278455E-6"/>
  </r>
  <r>
    <x v="0"/>
    <x v="0"/>
    <x v="0"/>
    <s v="SWEDEN"/>
    <s v="SE2"/>
    <x v="0"/>
    <x v="0"/>
    <n v="696.77527766657306"/>
  </r>
  <r>
    <x v="0"/>
    <x v="0"/>
    <x v="0"/>
    <s v="SWEDEN"/>
    <s v="SE2"/>
    <x v="1"/>
    <x v="0"/>
    <n v="328.81551850460079"/>
  </r>
  <r>
    <x v="0"/>
    <x v="0"/>
    <x v="0"/>
    <s v="SWEDEN"/>
    <s v="SE2"/>
    <x v="2"/>
    <x v="0"/>
    <n v="153.47264296294824"/>
  </r>
  <r>
    <x v="0"/>
    <x v="0"/>
    <x v="0"/>
    <s v="SWEDEN"/>
    <s v="SE2"/>
    <x v="3"/>
    <x v="0"/>
    <n v="5.9789705929681209E-3"/>
  </r>
  <r>
    <x v="0"/>
    <x v="0"/>
    <x v="0"/>
    <s v="SWEDEN"/>
    <s v="SE2"/>
    <x v="4"/>
    <x v="0"/>
    <n v="4.3030573961978966"/>
  </r>
  <r>
    <x v="0"/>
    <x v="0"/>
    <x v="0"/>
    <s v="SWEDEN"/>
    <s v="SE2"/>
    <x v="5"/>
    <x v="0"/>
    <n v="7.5201124095791027E-6"/>
  </r>
  <r>
    <x v="0"/>
    <x v="0"/>
    <x v="0"/>
    <s v="SWEDEN"/>
    <s v="SE3"/>
    <x v="0"/>
    <x v="0"/>
    <n v="800.60920446095349"/>
  </r>
  <r>
    <x v="0"/>
    <x v="0"/>
    <x v="0"/>
    <s v="SWEDEN"/>
    <s v="SE3"/>
    <x v="1"/>
    <x v="0"/>
    <n v="350.85477804223638"/>
  </r>
  <r>
    <x v="0"/>
    <x v="0"/>
    <x v="0"/>
    <s v="SWEDEN"/>
    <s v="SE3"/>
    <x v="2"/>
    <x v="0"/>
    <n v="81.379922528728372"/>
  </r>
  <r>
    <x v="0"/>
    <x v="0"/>
    <x v="0"/>
    <s v="SWEDEN"/>
    <s v="SE3"/>
    <x v="3"/>
    <x v="0"/>
    <n v="2.6073191904371273E-3"/>
  </r>
  <r>
    <x v="0"/>
    <x v="0"/>
    <x v="0"/>
    <s v="SWEDEN"/>
    <s v="SE3"/>
    <x v="4"/>
    <x v="0"/>
    <n v="12.027484999003789"/>
  </r>
  <r>
    <x v="0"/>
    <x v="0"/>
    <x v="0"/>
    <s v="SWEDEN"/>
    <s v="SE3"/>
    <x v="5"/>
    <x v="0"/>
    <n v="1.4251177245934489E-5"/>
  </r>
  <r>
    <x v="0"/>
    <x v="0"/>
    <x v="0"/>
    <s v="SWEDEN"/>
    <s v="SE4"/>
    <x v="0"/>
    <x v="0"/>
    <n v="243.15164030619269"/>
  </r>
  <r>
    <x v="0"/>
    <x v="0"/>
    <x v="0"/>
    <s v="SWEDEN"/>
    <s v="SE4"/>
    <x v="1"/>
    <x v="0"/>
    <n v="80.002884095938469"/>
  </r>
  <r>
    <x v="0"/>
    <x v="0"/>
    <x v="0"/>
    <s v="SWEDEN"/>
    <s v="SE4"/>
    <x v="2"/>
    <x v="0"/>
    <n v="25.126305185828848"/>
  </r>
  <r>
    <x v="0"/>
    <x v="0"/>
    <x v="0"/>
    <s v="SWEDEN"/>
    <s v="SE4"/>
    <x v="3"/>
    <x v="0"/>
    <n v="1.1875271065850315E-3"/>
  </r>
  <r>
    <x v="0"/>
    <x v="0"/>
    <x v="0"/>
    <s v="SWEDEN"/>
    <s v="SE4"/>
    <x v="4"/>
    <x v="0"/>
    <n v="3.6267910683096227"/>
  </r>
  <r>
    <x v="0"/>
    <x v="0"/>
    <x v="0"/>
    <s v="SWEDEN"/>
    <s v="SE4"/>
    <x v="5"/>
    <x v="0"/>
    <n v="3.5630065046923828E-6"/>
  </r>
  <r>
    <x v="0"/>
    <x v="0"/>
    <x v="0"/>
    <s v="UNITED_KINGDOM"/>
    <s v="UK00"/>
    <x v="0"/>
    <x v="0"/>
    <n v="10037.945136692411"/>
  </r>
  <r>
    <x v="0"/>
    <x v="0"/>
    <x v="0"/>
    <s v="UNITED_KINGDOM"/>
    <s v="UK00"/>
    <x v="1"/>
    <x v="0"/>
    <n v="2702.4214500451708"/>
  </r>
  <r>
    <x v="0"/>
    <x v="0"/>
    <x v="0"/>
    <s v="UNITED_KINGDOM"/>
    <s v="UK00"/>
    <x v="2"/>
    <x v="0"/>
    <n v="803.81193235474302"/>
  </r>
  <r>
    <x v="0"/>
    <x v="0"/>
    <x v="0"/>
    <s v="UNITED_KINGDOM"/>
    <s v="UK00"/>
    <x v="7"/>
    <x v="0"/>
    <n v="66.567409134618273"/>
  </r>
  <r>
    <x v="0"/>
    <x v="0"/>
    <x v="0"/>
    <s v="UNITED_KINGDOM"/>
    <s v="UK00"/>
    <x v="6"/>
    <x v="0"/>
    <n v="263.10647383344804"/>
  </r>
  <r>
    <x v="0"/>
    <x v="0"/>
    <x v="0"/>
    <s v="UNITED_KINGDOM"/>
    <s v="UK00"/>
    <x v="3"/>
    <x v="0"/>
    <n v="1.0008922987159342E-2"/>
  </r>
  <r>
    <x v="0"/>
    <x v="0"/>
    <x v="0"/>
    <s v="UNITED_KINGDOM"/>
    <s v="UK00"/>
    <x v="4"/>
    <x v="0"/>
    <n v="21.648881062799688"/>
  </r>
  <r>
    <x v="0"/>
    <x v="0"/>
    <x v="0"/>
    <s v="UNITED_KINGDOM"/>
    <s v="UK00"/>
    <x v="5"/>
    <x v="0"/>
    <n v="7.6900907443732148E-5"/>
  </r>
  <r>
    <x v="0"/>
    <x v="0"/>
    <x v="0"/>
    <s v="UNITED_KINGDOM"/>
    <s v="UKNI"/>
    <x v="0"/>
    <x v="0"/>
    <n v="2.1311859411741079"/>
  </r>
  <r>
    <x v="0"/>
    <x v="0"/>
    <x v="0"/>
    <s v="UNITED_KINGDOM"/>
    <s v="UKNI"/>
    <x v="1"/>
    <x v="0"/>
    <n v="5.2034185421335519E-2"/>
  </r>
  <r>
    <x v="0"/>
    <x v="0"/>
    <x v="0"/>
    <s v="UNITED_KINGDOM"/>
    <s v="UKNI"/>
    <x v="2"/>
    <x v="0"/>
    <n v="4.1433498045135894E-2"/>
  </r>
  <r>
    <x v="0"/>
    <x v="0"/>
    <x v="0"/>
    <s v="UNITED_KINGDOM"/>
    <s v="UKNI"/>
    <x v="6"/>
    <x v="0"/>
    <n v="1.3787999449894019"/>
  </r>
  <r>
    <x v="0"/>
    <x v="0"/>
    <x v="0"/>
    <s v="UNITED_KINGDOM"/>
    <s v="UKNI"/>
    <x v="3"/>
    <x v="0"/>
    <n v="2.9131928990813796E-5"/>
  </r>
  <r>
    <x v="0"/>
    <x v="0"/>
    <x v="0"/>
    <s v="ESTONIA"/>
    <s v="EE"/>
    <x v="1"/>
    <x v="0"/>
    <n v="2.0337800000000002E-3"/>
  </r>
  <r>
    <x v="0"/>
    <x v="0"/>
    <x v="0"/>
    <s v="ESTONIA"/>
    <s v="EE"/>
    <x v="6"/>
    <x v="0"/>
    <n v="5.3881889158319645"/>
  </r>
  <r>
    <x v="0"/>
    <x v="0"/>
    <x v="0"/>
    <s v="ESTONIA"/>
    <s v="EE"/>
    <x v="3"/>
    <x v="0"/>
    <n v="2.6236452877842703E-4"/>
  </r>
  <r>
    <x v="0"/>
    <x v="0"/>
    <x v="0"/>
    <s v="ESTONIA"/>
    <s v="EE"/>
    <x v="4"/>
    <x v="0"/>
    <n v="0.97139834050920926"/>
  </r>
  <r>
    <x v="0"/>
    <x v="0"/>
    <x v="0"/>
    <s v="ESTONIA"/>
    <s v="EE"/>
    <x v="5"/>
    <x v="0"/>
    <n v="3.3407274512148414E-7"/>
  </r>
  <r>
    <x v="0"/>
    <x v="0"/>
    <x v="0"/>
    <s v="LATVIA"/>
    <s v="LV"/>
    <x v="1"/>
    <x v="0"/>
    <n v="55.732126896551776"/>
  </r>
  <r>
    <x v="0"/>
    <x v="0"/>
    <x v="0"/>
    <s v="LATVIA"/>
    <s v="LV"/>
    <x v="6"/>
    <x v="0"/>
    <n v="5.8843400241370922"/>
  </r>
  <r>
    <x v="0"/>
    <x v="0"/>
    <x v="0"/>
    <s v="LATVIA"/>
    <s v="LV"/>
    <x v="3"/>
    <x v="0"/>
    <n v="6.2332730911510137E-4"/>
  </r>
  <r>
    <x v="0"/>
    <x v="0"/>
    <x v="0"/>
    <s v="LATVIA"/>
    <s v="LV"/>
    <x v="4"/>
    <x v="0"/>
    <n v="0.85895975252150092"/>
  </r>
  <r>
    <x v="0"/>
    <x v="0"/>
    <x v="0"/>
    <s v="LATVIA"/>
    <s v="LV"/>
    <x v="5"/>
    <x v="0"/>
    <n v="1.4193621288527866E-6"/>
  </r>
  <r>
    <x v="0"/>
    <x v="0"/>
    <x v="0"/>
    <s v="LITHUANIA"/>
    <s v="LT"/>
    <x v="0"/>
    <x v="0"/>
    <n v="1473.1370141197663"/>
  </r>
  <r>
    <x v="0"/>
    <x v="0"/>
    <x v="0"/>
    <s v="LITHUANIA"/>
    <s v="LT"/>
    <x v="1"/>
    <x v="0"/>
    <n v="300.85835674356042"/>
  </r>
  <r>
    <x v="0"/>
    <x v="0"/>
    <x v="0"/>
    <s v="LITHUANIA"/>
    <s v="LT"/>
    <x v="2"/>
    <x v="0"/>
    <n v="111.30384018622175"/>
  </r>
  <r>
    <x v="0"/>
    <x v="0"/>
    <x v="0"/>
    <s v="LITHUANIA"/>
    <s v="LT"/>
    <x v="6"/>
    <x v="0"/>
    <n v="33.948327062703186"/>
  </r>
  <r>
    <x v="0"/>
    <x v="0"/>
    <x v="0"/>
    <s v="LITHUANIA"/>
    <s v="LT"/>
    <x v="3"/>
    <x v="0"/>
    <n v="2.536643621555249E-3"/>
  </r>
  <r>
    <x v="0"/>
    <x v="0"/>
    <x v="0"/>
    <s v="LITHUANIA"/>
    <s v="LT"/>
    <x v="4"/>
    <x v="0"/>
    <n v="16.391264760863574"/>
  </r>
  <r>
    <x v="0"/>
    <x v="0"/>
    <x v="0"/>
    <s v="LITHUANIA"/>
    <s v="LT"/>
    <x v="5"/>
    <x v="0"/>
    <n v="3.2570342006105702E-5"/>
  </r>
  <r>
    <x v="0"/>
    <x v="0"/>
    <x v="0"/>
    <s v="POLAND"/>
    <s v="PL"/>
    <x v="0"/>
    <x v="0"/>
    <n v="11020.190292746633"/>
  </r>
  <r>
    <x v="0"/>
    <x v="0"/>
    <x v="0"/>
    <s v="POLAND"/>
    <s v="PL"/>
    <x v="1"/>
    <x v="0"/>
    <n v="2275.4570723213519"/>
  </r>
  <r>
    <x v="0"/>
    <x v="0"/>
    <x v="0"/>
    <s v="POLAND"/>
    <s v="PL"/>
    <x v="2"/>
    <x v="0"/>
    <n v="711.85379789524382"/>
  </r>
  <r>
    <x v="0"/>
    <x v="0"/>
    <x v="0"/>
    <s v="POLAND"/>
    <s v="PL"/>
    <x v="6"/>
    <x v="0"/>
    <n v="322.17384555297417"/>
  </r>
  <r>
    <x v="0"/>
    <x v="0"/>
    <x v="0"/>
    <s v="POLAND"/>
    <s v="PL"/>
    <x v="3"/>
    <x v="0"/>
    <n v="1.143541142267299E-2"/>
  </r>
  <r>
    <x v="0"/>
    <x v="0"/>
    <x v="0"/>
    <s v="POLAND"/>
    <s v="PL"/>
    <x v="4"/>
    <x v="0"/>
    <n v="85.789311285989172"/>
  </r>
  <r>
    <x v="0"/>
    <x v="0"/>
    <x v="0"/>
    <s v="POLAND"/>
    <s v="PL"/>
    <x v="5"/>
    <x v="0"/>
    <n v="2.5996409990489003E-4"/>
  </r>
  <r>
    <x v="0"/>
    <x v="0"/>
    <x v="0"/>
    <s v="BELGIUM"/>
    <s v="BE"/>
    <x v="0"/>
    <x v="0"/>
    <n v="715.72639075298673"/>
  </r>
  <r>
    <x v="0"/>
    <x v="0"/>
    <x v="0"/>
    <s v="BELGIUM"/>
    <s v="BE"/>
    <x v="1"/>
    <x v="0"/>
    <n v="204.26919529947594"/>
  </r>
  <r>
    <x v="0"/>
    <x v="0"/>
    <x v="0"/>
    <s v="BELGIUM"/>
    <s v="BE"/>
    <x v="2"/>
    <x v="0"/>
    <n v="46.926869443999998"/>
  </r>
  <r>
    <x v="0"/>
    <x v="0"/>
    <x v="0"/>
    <s v="BELGIUM"/>
    <s v="BE"/>
    <x v="6"/>
    <x v="0"/>
    <n v="164.25373834428314"/>
  </r>
  <r>
    <x v="0"/>
    <x v="0"/>
    <x v="0"/>
    <s v="BELGIUM"/>
    <s v="BE"/>
    <x v="3"/>
    <x v="0"/>
    <n v="3.9813698373349499E-3"/>
  </r>
  <r>
    <x v="0"/>
    <x v="0"/>
    <x v="0"/>
    <s v="BELGIUM"/>
    <s v="BE"/>
    <x v="4"/>
    <x v="0"/>
    <n v="43.592451333159019"/>
  </r>
  <r>
    <x v="0"/>
    <x v="0"/>
    <x v="0"/>
    <s v="BELGIUM"/>
    <s v="BE"/>
    <x v="5"/>
    <x v="0"/>
    <n v="8.5009893490280527E-5"/>
  </r>
  <r>
    <x v="0"/>
    <x v="0"/>
    <x v="0"/>
    <s v="FRANCE"/>
    <s v="FR00"/>
    <x v="0"/>
    <x v="0"/>
    <n v="9604.1910551773217"/>
  </r>
  <r>
    <x v="0"/>
    <x v="0"/>
    <x v="0"/>
    <s v="FRANCE"/>
    <s v="FR00"/>
    <x v="1"/>
    <x v="0"/>
    <n v="5785.4905726138777"/>
  </r>
  <r>
    <x v="0"/>
    <x v="0"/>
    <x v="0"/>
    <s v="FRANCE"/>
    <s v="FR00"/>
    <x v="2"/>
    <x v="0"/>
    <n v="1131.1416523696698"/>
  </r>
  <r>
    <x v="0"/>
    <x v="0"/>
    <x v="0"/>
    <s v="FRANCE"/>
    <s v="FR00"/>
    <x v="7"/>
    <x v="0"/>
    <n v="1261.3642462069756"/>
  </r>
  <r>
    <x v="0"/>
    <x v="0"/>
    <x v="0"/>
    <s v="FRANCE"/>
    <s v="FR00"/>
    <x v="6"/>
    <x v="0"/>
    <n v="179.1301083086762"/>
  </r>
  <r>
    <x v="0"/>
    <x v="0"/>
    <x v="0"/>
    <s v="FRANCE"/>
    <s v="FR00"/>
    <x v="3"/>
    <x v="0"/>
    <n v="1.0744372299799607E-2"/>
  </r>
  <r>
    <x v="0"/>
    <x v="0"/>
    <x v="0"/>
    <s v="FRANCE"/>
    <s v="FR00"/>
    <x v="4"/>
    <x v="0"/>
    <n v="192.88385656984835"/>
  </r>
  <r>
    <x v="0"/>
    <x v="0"/>
    <x v="0"/>
    <s v="FRANCE"/>
    <s v="FR00"/>
    <x v="5"/>
    <x v="0"/>
    <n v="3.1092561562453869E-4"/>
  </r>
  <r>
    <x v="0"/>
    <x v="0"/>
    <x v="0"/>
    <s v="FRANCE"/>
    <s v="FR15"/>
    <x v="0"/>
    <x v="0"/>
    <n v="139.51526610494972"/>
  </r>
  <r>
    <x v="0"/>
    <x v="0"/>
    <x v="0"/>
    <s v="FRANCE"/>
    <s v="FR15"/>
    <x v="1"/>
    <x v="0"/>
    <n v="30.106725517345645"/>
  </r>
  <r>
    <x v="0"/>
    <x v="0"/>
    <x v="0"/>
    <s v="FRANCE"/>
    <s v="FR15"/>
    <x v="2"/>
    <x v="0"/>
    <n v="6.5213789133639208"/>
  </r>
  <r>
    <x v="0"/>
    <x v="0"/>
    <x v="0"/>
    <s v="FRANCE"/>
    <s v="FR15"/>
    <x v="7"/>
    <x v="0"/>
    <n v="-3.3894138274686436"/>
  </r>
  <r>
    <x v="0"/>
    <x v="0"/>
    <x v="0"/>
    <s v="FRANCE"/>
    <s v="FR15"/>
    <x v="3"/>
    <x v="0"/>
    <n v="2.3050096124190413E-5"/>
  </r>
  <r>
    <x v="0"/>
    <x v="0"/>
    <x v="0"/>
    <s v="ITALY"/>
    <s v="ITCA"/>
    <x v="0"/>
    <x v="0"/>
    <n v="53.334179567114347"/>
  </r>
  <r>
    <x v="0"/>
    <x v="0"/>
    <x v="0"/>
    <s v="ITALY"/>
    <s v="ITCA"/>
    <x v="1"/>
    <x v="0"/>
    <n v="57.527276832971168"/>
  </r>
  <r>
    <x v="0"/>
    <x v="0"/>
    <x v="0"/>
    <s v="ITALY"/>
    <s v="ITCA"/>
    <x v="2"/>
    <x v="0"/>
    <n v="0.48408322965500122"/>
  </r>
  <r>
    <x v="0"/>
    <x v="0"/>
    <x v="0"/>
    <s v="ITALY"/>
    <s v="ITCA"/>
    <x v="7"/>
    <x v="0"/>
    <n v="-3.2991166489054879E-15"/>
  </r>
  <r>
    <x v="0"/>
    <x v="0"/>
    <x v="0"/>
    <s v="ITALY"/>
    <s v="ITCA"/>
    <x v="6"/>
    <x v="0"/>
    <n v="20.515786070459498"/>
  </r>
  <r>
    <x v="0"/>
    <x v="0"/>
    <x v="0"/>
    <s v="ITALY"/>
    <s v="ITCA"/>
    <x v="3"/>
    <x v="0"/>
    <n v="2.0556400385313579E-3"/>
  </r>
  <r>
    <x v="0"/>
    <x v="0"/>
    <x v="0"/>
    <s v="ITALY"/>
    <s v="ITCA"/>
    <x v="4"/>
    <x v="0"/>
    <n v="4.3612252187332965"/>
  </r>
  <r>
    <x v="0"/>
    <x v="0"/>
    <x v="0"/>
    <s v="ITALY"/>
    <s v="ITCA"/>
    <x v="5"/>
    <x v="0"/>
    <n v="2.9153465313458714E-5"/>
  </r>
  <r>
    <x v="0"/>
    <x v="0"/>
    <x v="0"/>
    <s v="ITALY"/>
    <s v="ITCA"/>
    <x v="8"/>
    <x v="0"/>
    <n v="-1.498847187804131E-14"/>
  </r>
  <r>
    <x v="0"/>
    <x v="0"/>
    <x v="0"/>
    <s v="ITALY"/>
    <s v="ITCN"/>
    <x v="0"/>
    <x v="0"/>
    <n v="44.169044652223107"/>
  </r>
  <r>
    <x v="0"/>
    <x v="0"/>
    <x v="0"/>
    <s v="ITALY"/>
    <s v="ITCN"/>
    <x v="1"/>
    <x v="0"/>
    <n v="41.620570755106826"/>
  </r>
  <r>
    <x v="0"/>
    <x v="0"/>
    <x v="0"/>
    <s v="ITALY"/>
    <s v="ITCN"/>
    <x v="2"/>
    <x v="0"/>
    <n v="0.25718161371083187"/>
  </r>
  <r>
    <x v="0"/>
    <x v="0"/>
    <x v="0"/>
    <s v="ITALY"/>
    <s v="ITCN"/>
    <x v="7"/>
    <x v="0"/>
    <n v="-6.0144527974690049E-16"/>
  </r>
  <r>
    <x v="0"/>
    <x v="0"/>
    <x v="0"/>
    <s v="ITALY"/>
    <s v="ITCN"/>
    <x v="6"/>
    <x v="0"/>
    <n v="19.691479280187345"/>
  </r>
  <r>
    <x v="0"/>
    <x v="0"/>
    <x v="0"/>
    <s v="ITALY"/>
    <s v="ITCN"/>
    <x v="3"/>
    <x v="0"/>
    <n v="1.5224675854067185E-3"/>
  </r>
  <r>
    <x v="0"/>
    <x v="0"/>
    <x v="0"/>
    <s v="ITALY"/>
    <s v="ITCN"/>
    <x v="4"/>
    <x v="0"/>
    <n v="10.12727646503906"/>
  </r>
  <r>
    <x v="0"/>
    <x v="0"/>
    <x v="0"/>
    <s v="ITALY"/>
    <s v="ITCN"/>
    <x v="5"/>
    <x v="0"/>
    <n v="2.7411193795302067E-5"/>
  </r>
  <r>
    <x v="0"/>
    <x v="0"/>
    <x v="0"/>
    <s v="ITALY"/>
    <s v="ITCO"/>
    <x v="3"/>
    <x v="0"/>
    <n v="2.1133114845052725E-4"/>
  </r>
  <r>
    <x v="0"/>
    <x v="0"/>
    <x v="0"/>
    <s v="ITALY"/>
    <s v="ITCS"/>
    <x v="0"/>
    <x v="0"/>
    <n v="210.72465667673637"/>
  </r>
  <r>
    <x v="0"/>
    <x v="0"/>
    <x v="0"/>
    <s v="ITALY"/>
    <s v="ITCS"/>
    <x v="1"/>
    <x v="0"/>
    <n v="192.12320913660375"/>
  </r>
  <r>
    <x v="0"/>
    <x v="0"/>
    <x v="0"/>
    <s v="ITALY"/>
    <s v="ITCS"/>
    <x v="2"/>
    <x v="0"/>
    <n v="1.4899068000270637"/>
  </r>
  <r>
    <x v="0"/>
    <x v="0"/>
    <x v="0"/>
    <s v="ITALY"/>
    <s v="ITCS"/>
    <x v="6"/>
    <x v="0"/>
    <n v="28.93097006977704"/>
  </r>
  <r>
    <x v="0"/>
    <x v="0"/>
    <x v="0"/>
    <s v="ITALY"/>
    <s v="ITCS"/>
    <x v="3"/>
    <x v="0"/>
    <n v="2.6734330961653593E-3"/>
  </r>
  <r>
    <x v="0"/>
    <x v="0"/>
    <x v="0"/>
    <s v="ITALY"/>
    <s v="ITCS"/>
    <x v="4"/>
    <x v="0"/>
    <n v="9.1803938713598008"/>
  </r>
  <r>
    <x v="0"/>
    <x v="0"/>
    <x v="0"/>
    <s v="ITALY"/>
    <s v="ITCS"/>
    <x v="5"/>
    <x v="0"/>
    <n v="2.5126656406352006E-5"/>
  </r>
  <r>
    <x v="0"/>
    <x v="0"/>
    <x v="0"/>
    <s v="ITALY"/>
    <s v="ITN1"/>
    <x v="0"/>
    <x v="0"/>
    <n v="877.57041150614839"/>
  </r>
  <r>
    <x v="0"/>
    <x v="0"/>
    <x v="0"/>
    <s v="ITALY"/>
    <s v="ITN1"/>
    <x v="1"/>
    <x v="0"/>
    <n v="855.21129968518312"/>
  </r>
  <r>
    <x v="0"/>
    <x v="0"/>
    <x v="0"/>
    <s v="ITALY"/>
    <s v="ITN1"/>
    <x v="2"/>
    <x v="0"/>
    <n v="7.3368882210228232"/>
  </r>
  <r>
    <x v="0"/>
    <x v="0"/>
    <x v="0"/>
    <s v="ITALY"/>
    <s v="ITN1"/>
    <x v="7"/>
    <x v="0"/>
    <n v="5.6074371565434699E-14"/>
  </r>
  <r>
    <x v="0"/>
    <x v="0"/>
    <x v="0"/>
    <s v="ITALY"/>
    <s v="ITN1"/>
    <x v="6"/>
    <x v="0"/>
    <n v="106.84279443744097"/>
  </r>
  <r>
    <x v="0"/>
    <x v="0"/>
    <x v="0"/>
    <s v="ITALY"/>
    <s v="ITN1"/>
    <x v="3"/>
    <x v="0"/>
    <n v="5.2529626244848405E-3"/>
  </r>
  <r>
    <x v="0"/>
    <x v="0"/>
    <x v="0"/>
    <s v="ITALY"/>
    <s v="ITN1"/>
    <x v="4"/>
    <x v="0"/>
    <n v="23.111963486839738"/>
  </r>
  <r>
    <x v="0"/>
    <x v="0"/>
    <x v="0"/>
    <s v="ITALY"/>
    <s v="ITN1"/>
    <x v="5"/>
    <x v="0"/>
    <n v="6.9029750850448256E-5"/>
  </r>
  <r>
    <x v="0"/>
    <x v="0"/>
    <x v="0"/>
    <s v="ITALY"/>
    <s v="ITN1"/>
    <x v="8"/>
    <x v="0"/>
    <n v="2.3981555004866097E-13"/>
  </r>
  <r>
    <x v="0"/>
    <x v="0"/>
    <x v="0"/>
    <s v="ITALY"/>
    <s v="ITS1"/>
    <x v="0"/>
    <x v="0"/>
    <n v="2956.8613158830894"/>
  </r>
  <r>
    <x v="0"/>
    <x v="0"/>
    <x v="0"/>
    <s v="ITALY"/>
    <s v="ITS1"/>
    <x v="1"/>
    <x v="0"/>
    <n v="660.22729690407925"/>
  </r>
  <r>
    <x v="0"/>
    <x v="0"/>
    <x v="0"/>
    <s v="ITALY"/>
    <s v="ITS1"/>
    <x v="2"/>
    <x v="0"/>
    <n v="140.02526949946994"/>
  </r>
  <r>
    <x v="0"/>
    <x v="0"/>
    <x v="0"/>
    <s v="ITALY"/>
    <s v="ITS1"/>
    <x v="7"/>
    <x v="0"/>
    <n v="-3.2991166489054879E-15"/>
  </r>
  <r>
    <x v="0"/>
    <x v="0"/>
    <x v="0"/>
    <s v="ITALY"/>
    <s v="ITS1"/>
    <x v="6"/>
    <x v="0"/>
    <n v="24.651342152456003"/>
  </r>
  <r>
    <x v="0"/>
    <x v="0"/>
    <x v="0"/>
    <s v="ITALY"/>
    <s v="ITS1"/>
    <x v="3"/>
    <x v="0"/>
    <n v="4.1735803996082402E-3"/>
  </r>
  <r>
    <x v="0"/>
    <x v="0"/>
    <x v="0"/>
    <s v="ITALY"/>
    <s v="ITS1"/>
    <x v="4"/>
    <x v="0"/>
    <n v="30.911542318894945"/>
  </r>
  <r>
    <x v="0"/>
    <x v="0"/>
    <x v="0"/>
    <s v="ITALY"/>
    <s v="ITS1"/>
    <x v="5"/>
    <x v="0"/>
    <n v="8.4657509351666299E-5"/>
  </r>
  <r>
    <x v="0"/>
    <x v="0"/>
    <x v="0"/>
    <s v="ITALY"/>
    <s v="ITS1"/>
    <x v="8"/>
    <x v="0"/>
    <n v="-1.498847187804131E-14"/>
  </r>
  <r>
    <x v="0"/>
    <x v="0"/>
    <x v="0"/>
    <s v="ITALY"/>
    <s v="ITSA"/>
    <x v="0"/>
    <x v="0"/>
    <n v="134.56214832621038"/>
  </r>
  <r>
    <x v="0"/>
    <x v="0"/>
    <x v="0"/>
    <s v="ITALY"/>
    <s v="ITSA"/>
    <x v="1"/>
    <x v="0"/>
    <n v="40.049998932199351"/>
  </r>
  <r>
    <x v="0"/>
    <x v="0"/>
    <x v="0"/>
    <s v="ITALY"/>
    <s v="ITSA"/>
    <x v="2"/>
    <x v="0"/>
    <n v="6.4401836806003354"/>
  </r>
  <r>
    <x v="0"/>
    <x v="0"/>
    <x v="0"/>
    <s v="ITALY"/>
    <s v="ITSA"/>
    <x v="7"/>
    <x v="0"/>
    <n v="1.649558324452744E-15"/>
  </r>
  <r>
    <x v="0"/>
    <x v="0"/>
    <x v="0"/>
    <s v="ITALY"/>
    <s v="ITSA"/>
    <x v="6"/>
    <x v="0"/>
    <n v="4.7746143416435731E-2"/>
  </r>
  <r>
    <x v="0"/>
    <x v="0"/>
    <x v="0"/>
    <s v="ITALY"/>
    <s v="ITSA"/>
    <x v="3"/>
    <x v="0"/>
    <n v="2.4403621785265114E-4"/>
  </r>
  <r>
    <x v="0"/>
    <x v="0"/>
    <x v="0"/>
    <s v="ITALY"/>
    <s v="ITSA"/>
    <x v="8"/>
    <x v="0"/>
    <n v="7.4942359390206552E-15"/>
  </r>
  <r>
    <x v="0"/>
    <x v="0"/>
    <x v="0"/>
    <s v="ITALY"/>
    <s v="ITSI"/>
    <x v="0"/>
    <x v="0"/>
    <n v="652.37322513555193"/>
  </r>
  <r>
    <x v="0"/>
    <x v="0"/>
    <x v="0"/>
    <s v="ITALY"/>
    <s v="ITSI"/>
    <x v="1"/>
    <x v="0"/>
    <n v="255.5310636278017"/>
  </r>
  <r>
    <x v="0"/>
    <x v="0"/>
    <x v="0"/>
    <s v="ITALY"/>
    <s v="ITSI"/>
    <x v="2"/>
    <x v="0"/>
    <n v="0.11525713715724205"/>
  </r>
  <r>
    <x v="0"/>
    <x v="0"/>
    <x v="0"/>
    <s v="ITALY"/>
    <s v="ITSI"/>
    <x v="7"/>
    <x v="0"/>
    <n v="-3.2991166489054879E-15"/>
  </r>
  <r>
    <x v="0"/>
    <x v="0"/>
    <x v="0"/>
    <s v="ITALY"/>
    <s v="ITSI"/>
    <x v="6"/>
    <x v="0"/>
    <n v="12.667561697804683"/>
  </r>
  <r>
    <x v="0"/>
    <x v="0"/>
    <x v="0"/>
    <s v="ITALY"/>
    <s v="ITSI"/>
    <x v="3"/>
    <x v="0"/>
    <n v="5.4954378443222978E-4"/>
  </r>
  <r>
    <x v="0"/>
    <x v="0"/>
    <x v="0"/>
    <s v="ITALY"/>
    <s v="ITSI"/>
    <x v="4"/>
    <x v="0"/>
    <n v="2.6280149559202526"/>
  </r>
  <r>
    <x v="0"/>
    <x v="0"/>
    <x v="0"/>
    <s v="ITALY"/>
    <s v="ITSI"/>
    <x v="5"/>
    <x v="0"/>
    <n v="1.578691745262186E-5"/>
  </r>
  <r>
    <x v="0"/>
    <x v="0"/>
    <x v="0"/>
    <s v="ITALY"/>
    <s v="ITSI"/>
    <x v="8"/>
    <x v="0"/>
    <n v="-1.498847187804131E-14"/>
  </r>
  <r>
    <x v="0"/>
    <x v="0"/>
    <x v="0"/>
    <s v="SWITZERLAND"/>
    <s v="CH"/>
    <x v="0"/>
    <x v="0"/>
    <n v="1075.288969182498"/>
  </r>
  <r>
    <x v="0"/>
    <x v="0"/>
    <x v="0"/>
    <s v="SWITZERLAND"/>
    <s v="CH"/>
    <x v="1"/>
    <x v="0"/>
    <n v="1160.8599640905986"/>
  </r>
  <r>
    <x v="0"/>
    <x v="0"/>
    <x v="0"/>
    <s v="SWITZERLAND"/>
    <s v="CH"/>
    <x v="2"/>
    <x v="0"/>
    <n v="101.93932968520305"/>
  </r>
  <r>
    <x v="0"/>
    <x v="0"/>
    <x v="0"/>
    <s v="SWITZERLAND"/>
    <s v="CH"/>
    <x v="7"/>
    <x v="0"/>
    <n v="198.94670418532004"/>
  </r>
  <r>
    <x v="0"/>
    <x v="0"/>
    <x v="0"/>
    <s v="SWITZERLAND"/>
    <s v="CH"/>
    <x v="6"/>
    <x v="0"/>
    <n v="78.095142756778543"/>
  </r>
  <r>
    <x v="0"/>
    <x v="0"/>
    <x v="0"/>
    <s v="SWITZERLAND"/>
    <s v="CH"/>
    <x v="3"/>
    <x v="0"/>
    <n v="1.0261407055624843E-2"/>
  </r>
  <r>
    <x v="0"/>
    <x v="0"/>
    <x v="0"/>
    <s v="SWITZERLAND"/>
    <s v="CH"/>
    <x v="4"/>
    <x v="0"/>
    <n v="4.7324936732444787"/>
  </r>
  <r>
    <x v="0"/>
    <x v="0"/>
    <x v="0"/>
    <s v="SWITZERLAND"/>
    <s v="CH"/>
    <x v="5"/>
    <x v="0"/>
    <n v="3.472972116982967E-5"/>
  </r>
  <r>
    <x v="0"/>
    <x v="0"/>
    <x v="0"/>
    <s v="AUSTRIA"/>
    <s v="AT"/>
    <x v="0"/>
    <x v="0"/>
    <n v="581.80482683157447"/>
  </r>
  <r>
    <x v="0"/>
    <x v="0"/>
    <x v="0"/>
    <s v="AUSTRIA"/>
    <s v="AT"/>
    <x v="1"/>
    <x v="0"/>
    <n v="457.94094564231415"/>
  </r>
  <r>
    <x v="0"/>
    <x v="0"/>
    <x v="0"/>
    <s v="AUSTRIA"/>
    <s v="AT"/>
    <x v="2"/>
    <x v="0"/>
    <n v="75.415579475534742"/>
  </r>
  <r>
    <x v="0"/>
    <x v="0"/>
    <x v="0"/>
    <s v="AUSTRIA"/>
    <s v="AT"/>
    <x v="6"/>
    <x v="0"/>
    <n v="72.322638743894288"/>
  </r>
  <r>
    <x v="0"/>
    <x v="0"/>
    <x v="0"/>
    <s v="AUSTRIA"/>
    <s v="AT"/>
    <x v="3"/>
    <x v="0"/>
    <n v="5.3847085895574612E-3"/>
  </r>
  <r>
    <x v="0"/>
    <x v="0"/>
    <x v="0"/>
    <s v="AUSTRIA"/>
    <s v="AT"/>
    <x v="4"/>
    <x v="0"/>
    <n v="3.5750093485579031"/>
  </r>
  <r>
    <x v="0"/>
    <x v="0"/>
    <x v="0"/>
    <s v="AUSTRIA"/>
    <s v="AT"/>
    <x v="5"/>
    <x v="0"/>
    <n v="3.8541411194719586E-7"/>
  </r>
  <r>
    <x v="0"/>
    <x v="0"/>
    <x v="0"/>
    <s v="CZECH_REPUBLIC"/>
    <s v="CZ"/>
    <x v="0"/>
    <x v="0"/>
    <n v="1337.6483118146939"/>
  </r>
  <r>
    <x v="0"/>
    <x v="0"/>
    <x v="0"/>
    <s v="CZECH_REPUBLIC"/>
    <s v="CZ"/>
    <x v="1"/>
    <x v="0"/>
    <n v="341.74404915165513"/>
  </r>
  <r>
    <x v="0"/>
    <x v="0"/>
    <x v="0"/>
    <s v="CZECH_REPUBLIC"/>
    <s v="CZ"/>
    <x v="2"/>
    <x v="0"/>
    <n v="80.961132250158045"/>
  </r>
  <r>
    <x v="0"/>
    <x v="0"/>
    <x v="0"/>
    <s v="CZECH_REPUBLIC"/>
    <s v="CZ"/>
    <x v="6"/>
    <x v="0"/>
    <n v="63.625409671064659"/>
  </r>
  <r>
    <x v="0"/>
    <x v="0"/>
    <x v="0"/>
    <s v="CZECH_REPUBLIC"/>
    <s v="CZ"/>
    <x v="3"/>
    <x v="0"/>
    <n v="3.6029667870885042E-3"/>
  </r>
  <r>
    <x v="0"/>
    <x v="0"/>
    <x v="0"/>
    <s v="CZECH_REPUBLIC"/>
    <s v="CZ"/>
    <x v="4"/>
    <x v="0"/>
    <n v="1.610201388464866"/>
  </r>
  <r>
    <x v="0"/>
    <x v="0"/>
    <x v="0"/>
    <s v="CZECH_REPUBLIC"/>
    <s v="CZ"/>
    <x v="5"/>
    <x v="0"/>
    <n v="2.8687770468479553E-6"/>
  </r>
  <r>
    <x v="0"/>
    <x v="0"/>
    <x v="0"/>
    <s v="SPAIN"/>
    <s v="ES"/>
    <x v="0"/>
    <x v="0"/>
    <n v="11928.8299305849"/>
  </r>
  <r>
    <x v="0"/>
    <x v="0"/>
    <x v="0"/>
    <s v="SPAIN"/>
    <s v="ES"/>
    <x v="1"/>
    <x v="0"/>
    <n v="3861.2143040944825"/>
  </r>
  <r>
    <x v="0"/>
    <x v="0"/>
    <x v="0"/>
    <s v="SPAIN"/>
    <s v="ES"/>
    <x v="2"/>
    <x v="0"/>
    <n v="187.31691372878407"/>
  </r>
  <r>
    <x v="0"/>
    <x v="0"/>
    <x v="0"/>
    <s v="SPAIN"/>
    <s v="ES"/>
    <x v="7"/>
    <x v="0"/>
    <n v="-2.6230764018188122"/>
  </r>
  <r>
    <x v="0"/>
    <x v="0"/>
    <x v="0"/>
    <s v="SPAIN"/>
    <s v="ES"/>
    <x v="6"/>
    <x v="0"/>
    <n v="133.45440243082527"/>
  </r>
  <r>
    <x v="0"/>
    <x v="0"/>
    <x v="0"/>
    <s v="SPAIN"/>
    <s v="ES"/>
    <x v="3"/>
    <x v="0"/>
    <n v="4.9239644901094247E-3"/>
  </r>
  <r>
    <x v="0"/>
    <x v="0"/>
    <x v="0"/>
    <s v="SPAIN"/>
    <s v="ES"/>
    <x v="4"/>
    <x v="0"/>
    <n v="123.691124683513"/>
  </r>
  <r>
    <x v="0"/>
    <x v="0"/>
    <x v="0"/>
    <s v="SPAIN"/>
    <s v="ES"/>
    <x v="5"/>
    <x v="0"/>
    <n v="2.2088262833126881E-4"/>
  </r>
  <r>
    <x v="0"/>
    <x v="0"/>
    <x v="0"/>
    <s v="PORTUGAL"/>
    <s v="PT"/>
    <x v="0"/>
    <x v="0"/>
    <n v="519.14459849259515"/>
  </r>
  <r>
    <x v="0"/>
    <x v="0"/>
    <x v="0"/>
    <s v="PORTUGAL"/>
    <s v="PT"/>
    <x v="1"/>
    <x v="0"/>
    <n v="341.12614838965607"/>
  </r>
  <r>
    <x v="0"/>
    <x v="0"/>
    <x v="0"/>
    <s v="PORTUGAL"/>
    <s v="PT"/>
    <x v="2"/>
    <x v="0"/>
    <n v="0.12172418084244029"/>
  </r>
  <r>
    <x v="0"/>
    <x v="0"/>
    <x v="0"/>
    <s v="PORTUGAL"/>
    <s v="PT"/>
    <x v="7"/>
    <x v="0"/>
    <n v="-1.1117306645716592E-13"/>
  </r>
  <r>
    <x v="0"/>
    <x v="0"/>
    <x v="0"/>
    <s v="PORTUGAL"/>
    <s v="PT"/>
    <x v="3"/>
    <x v="0"/>
    <n v="1.2539895102611987E-4"/>
  </r>
  <r>
    <x v="0"/>
    <x v="0"/>
    <x v="0"/>
    <s v="PORTUGAL"/>
    <s v="PT"/>
    <x v="4"/>
    <x v="0"/>
    <n v="0.21507362909796268"/>
  </r>
  <r>
    <x v="0"/>
    <x v="0"/>
    <x v="0"/>
    <s v="PORTUGAL"/>
    <s v="PT"/>
    <x v="5"/>
    <x v="0"/>
    <n v="1.4757514905762157E-7"/>
  </r>
  <r>
    <x v="0"/>
    <x v="0"/>
    <x v="0"/>
    <s v="PORTUGAL"/>
    <s v="PT"/>
    <x v="8"/>
    <x v="0"/>
    <n v="2.9976943756082621E-14"/>
  </r>
  <r>
    <x v="0"/>
    <x v="0"/>
    <x v="0"/>
    <s v="SLOVAKIA"/>
    <s v="SK"/>
    <x v="0"/>
    <x v="0"/>
    <n v="104.33523158330974"/>
  </r>
  <r>
    <x v="0"/>
    <x v="0"/>
    <x v="0"/>
    <s v="SLOVAKIA"/>
    <s v="SK"/>
    <x v="1"/>
    <x v="0"/>
    <n v="89.544997095423355"/>
  </r>
  <r>
    <x v="0"/>
    <x v="0"/>
    <x v="0"/>
    <s v="SLOVAKIA"/>
    <s v="SK"/>
    <x v="2"/>
    <x v="0"/>
    <n v="4.7125908396999996E-2"/>
  </r>
  <r>
    <x v="0"/>
    <x v="0"/>
    <x v="0"/>
    <s v="SLOVAKIA"/>
    <s v="SK"/>
    <x v="7"/>
    <x v="0"/>
    <n v="-8.2477916222637198E-16"/>
  </r>
  <r>
    <x v="0"/>
    <x v="0"/>
    <x v="0"/>
    <s v="SLOVAKIA"/>
    <s v="SK"/>
    <x v="6"/>
    <x v="0"/>
    <n v="3.9507705660157502"/>
  </r>
  <r>
    <x v="0"/>
    <x v="0"/>
    <x v="0"/>
    <s v="SLOVAKIA"/>
    <s v="SK"/>
    <x v="3"/>
    <x v="0"/>
    <n v="9.4811675109076558E-4"/>
  </r>
  <r>
    <x v="0"/>
    <x v="0"/>
    <x v="0"/>
    <s v="SLOVAKIA"/>
    <s v="SK"/>
    <x v="4"/>
    <x v="0"/>
    <n v="32.837089885580546"/>
  </r>
  <r>
    <x v="0"/>
    <x v="0"/>
    <x v="0"/>
    <s v="SLOVAKIA"/>
    <s v="SK"/>
    <x v="5"/>
    <x v="0"/>
    <n v="8.7813250037632452E-5"/>
  </r>
  <r>
    <x v="0"/>
    <x v="0"/>
    <x v="0"/>
    <s v="SLOVAKIA"/>
    <s v="SK"/>
    <x v="8"/>
    <x v="0"/>
    <n v="-3.7471179695103276E-15"/>
  </r>
  <r>
    <x v="0"/>
    <x v="0"/>
    <x v="0"/>
    <s v="HUNGARY"/>
    <s v="HU"/>
    <x v="0"/>
    <x v="0"/>
    <n v="36.170645124748177"/>
  </r>
  <r>
    <x v="0"/>
    <x v="0"/>
    <x v="0"/>
    <s v="HUNGARY"/>
    <s v="HU"/>
    <x v="1"/>
    <x v="0"/>
    <n v="30.375844591475104"/>
  </r>
  <r>
    <x v="0"/>
    <x v="0"/>
    <x v="0"/>
    <s v="HUNGARY"/>
    <s v="HU"/>
    <x v="2"/>
    <x v="0"/>
    <n v="8.4369198378534502"/>
  </r>
  <r>
    <x v="0"/>
    <x v="0"/>
    <x v="0"/>
    <s v="HUNGARY"/>
    <s v="HU"/>
    <x v="7"/>
    <x v="0"/>
    <n v="10.343531724626402"/>
  </r>
  <r>
    <x v="0"/>
    <x v="0"/>
    <x v="0"/>
    <s v="HUNGARY"/>
    <s v="HU"/>
    <x v="6"/>
    <x v="0"/>
    <n v="57.742052440865706"/>
  </r>
  <r>
    <x v="0"/>
    <x v="0"/>
    <x v="0"/>
    <s v="HUNGARY"/>
    <s v="HU"/>
    <x v="3"/>
    <x v="0"/>
    <n v="1.0008016146014036E-3"/>
  </r>
  <r>
    <x v="0"/>
    <x v="0"/>
    <x v="0"/>
    <s v="HUNGARY"/>
    <s v="HU"/>
    <x v="4"/>
    <x v="0"/>
    <n v="13.935730410857875"/>
  </r>
  <r>
    <x v="0"/>
    <x v="0"/>
    <x v="0"/>
    <s v="HUNGARY"/>
    <s v="HU"/>
    <x v="5"/>
    <x v="0"/>
    <n v="6.8169584284016979E-5"/>
  </r>
  <r>
    <x v="0"/>
    <x v="0"/>
    <x v="0"/>
    <s v="SLOVENIA"/>
    <s v="SI"/>
    <x v="0"/>
    <x v="0"/>
    <n v="106.36606405042993"/>
  </r>
  <r>
    <x v="0"/>
    <x v="0"/>
    <x v="0"/>
    <s v="SLOVENIA"/>
    <s v="SI"/>
    <x v="1"/>
    <x v="0"/>
    <n v="166.61176011972347"/>
  </r>
  <r>
    <x v="0"/>
    <x v="0"/>
    <x v="0"/>
    <s v="SLOVENIA"/>
    <s v="SI"/>
    <x v="2"/>
    <x v="0"/>
    <n v="21.250778879999977"/>
  </r>
  <r>
    <x v="0"/>
    <x v="0"/>
    <x v="0"/>
    <s v="SLOVENIA"/>
    <s v="SI"/>
    <x v="7"/>
    <x v="0"/>
    <n v="41.473417890844594"/>
  </r>
  <r>
    <x v="0"/>
    <x v="0"/>
    <x v="0"/>
    <s v="SLOVENIA"/>
    <s v="SI"/>
    <x v="6"/>
    <x v="0"/>
    <n v="36.324248666889403"/>
  </r>
  <r>
    <x v="0"/>
    <x v="0"/>
    <x v="0"/>
    <s v="SLOVENIA"/>
    <s v="SI"/>
    <x v="3"/>
    <x v="0"/>
    <n v="2.9126020392532263E-3"/>
  </r>
  <r>
    <x v="0"/>
    <x v="0"/>
    <x v="0"/>
    <s v="SLOVENIA"/>
    <s v="SI"/>
    <x v="4"/>
    <x v="0"/>
    <n v="2.4599536957765347"/>
  </r>
  <r>
    <x v="0"/>
    <x v="0"/>
    <x v="0"/>
    <s v="SLOVENIA"/>
    <s v="SI"/>
    <x v="5"/>
    <x v="0"/>
    <n v="1.7524848665482714E-5"/>
  </r>
  <r>
    <x v="0"/>
    <x v="0"/>
    <x v="0"/>
    <s v="CROATIA"/>
    <s v="HR"/>
    <x v="0"/>
    <x v="0"/>
    <n v="415.96241893460399"/>
  </r>
  <r>
    <x v="0"/>
    <x v="0"/>
    <x v="0"/>
    <s v="CROATIA"/>
    <s v="HR"/>
    <x v="1"/>
    <x v="0"/>
    <n v="127.13950389482761"/>
  </r>
  <r>
    <x v="0"/>
    <x v="0"/>
    <x v="0"/>
    <s v="CROATIA"/>
    <s v="HR"/>
    <x v="2"/>
    <x v="0"/>
    <n v="27.085529985045476"/>
  </r>
  <r>
    <x v="0"/>
    <x v="0"/>
    <x v="0"/>
    <s v="CROATIA"/>
    <s v="HR"/>
    <x v="7"/>
    <x v="0"/>
    <n v="4.1238958111318599E-16"/>
  </r>
  <r>
    <x v="0"/>
    <x v="0"/>
    <x v="0"/>
    <s v="CROATIA"/>
    <s v="HR"/>
    <x v="6"/>
    <x v="0"/>
    <n v="11.783452374308609"/>
  </r>
  <r>
    <x v="0"/>
    <x v="0"/>
    <x v="0"/>
    <s v="CROATIA"/>
    <s v="HR"/>
    <x v="3"/>
    <x v="0"/>
    <n v="2.015142424824313E-3"/>
  </r>
  <r>
    <x v="0"/>
    <x v="0"/>
    <x v="0"/>
    <s v="CROATIA"/>
    <s v="HR"/>
    <x v="4"/>
    <x v="0"/>
    <n v="1.9369439062470915"/>
  </r>
  <r>
    <x v="0"/>
    <x v="0"/>
    <x v="0"/>
    <s v="CROATIA"/>
    <s v="HR"/>
    <x v="5"/>
    <x v="0"/>
    <n v="7.4019317397500454E-6"/>
  </r>
  <r>
    <x v="0"/>
    <x v="0"/>
    <x v="0"/>
    <s v="CROATIA"/>
    <s v="HR"/>
    <x v="8"/>
    <x v="0"/>
    <n v="1.8735589847551638E-15"/>
  </r>
  <r>
    <x v="0"/>
    <x v="0"/>
    <x v="0"/>
    <s v="ROMANIA"/>
    <s v="RO"/>
    <x v="0"/>
    <x v="0"/>
    <n v="1423.2801459159905"/>
  </r>
  <r>
    <x v="0"/>
    <x v="0"/>
    <x v="0"/>
    <s v="ROMANIA"/>
    <s v="RO"/>
    <x v="1"/>
    <x v="0"/>
    <n v="452.92661011676836"/>
  </r>
  <r>
    <x v="0"/>
    <x v="0"/>
    <x v="0"/>
    <s v="ROMANIA"/>
    <s v="RO"/>
    <x v="2"/>
    <x v="0"/>
    <n v="82.517361423081582"/>
  </r>
  <r>
    <x v="0"/>
    <x v="0"/>
    <x v="0"/>
    <s v="ROMANIA"/>
    <s v="RO"/>
    <x v="6"/>
    <x v="0"/>
    <n v="74.167492753938831"/>
  </r>
  <r>
    <x v="0"/>
    <x v="0"/>
    <x v="0"/>
    <s v="ROMANIA"/>
    <s v="RO"/>
    <x v="3"/>
    <x v="0"/>
    <n v="3.8967906999270935E-3"/>
  </r>
  <r>
    <x v="0"/>
    <x v="0"/>
    <x v="0"/>
    <s v="ROMANIA"/>
    <s v="RO"/>
    <x v="4"/>
    <x v="0"/>
    <n v="10.658527666495806"/>
  </r>
  <r>
    <x v="0"/>
    <x v="0"/>
    <x v="0"/>
    <s v="ROMANIA"/>
    <s v="RO"/>
    <x v="5"/>
    <x v="0"/>
    <n v="1.5619148764930815E-5"/>
  </r>
  <r>
    <x v="0"/>
    <x v="0"/>
    <x v="0"/>
    <s v="BULGARIA"/>
    <s v="BG"/>
    <x v="0"/>
    <x v="0"/>
    <n v="243.73682356675454"/>
  </r>
  <r>
    <x v="0"/>
    <x v="0"/>
    <x v="0"/>
    <s v="BULGARIA"/>
    <s v="BG"/>
    <x v="1"/>
    <x v="0"/>
    <n v="114.41774393492457"/>
  </r>
  <r>
    <x v="0"/>
    <x v="0"/>
    <x v="0"/>
    <s v="BULGARIA"/>
    <s v="BG"/>
    <x v="2"/>
    <x v="0"/>
    <n v="13.6559327268"/>
  </r>
  <r>
    <x v="0"/>
    <x v="0"/>
    <x v="0"/>
    <s v="BULGARIA"/>
    <s v="BG"/>
    <x v="6"/>
    <x v="0"/>
    <n v="6.9244342839423645"/>
  </r>
  <r>
    <x v="0"/>
    <x v="0"/>
    <x v="0"/>
    <s v="BULGARIA"/>
    <s v="BG"/>
    <x v="3"/>
    <x v="0"/>
    <n v="4.3343403870146912E-4"/>
  </r>
  <r>
    <x v="0"/>
    <x v="0"/>
    <x v="0"/>
    <s v="BULGARIA"/>
    <s v="BG"/>
    <x v="4"/>
    <x v="0"/>
    <n v="16.706875067839317"/>
  </r>
  <r>
    <x v="0"/>
    <x v="0"/>
    <x v="0"/>
    <s v="BULGARIA"/>
    <s v="BG"/>
    <x v="5"/>
    <x v="0"/>
    <n v="6.3502620564843813E-6"/>
  </r>
  <r>
    <x v="0"/>
    <x v="0"/>
    <x v="0"/>
    <s v="GREECE"/>
    <s v="GR00"/>
    <x v="0"/>
    <x v="0"/>
    <n v="316.40081036735194"/>
  </r>
  <r>
    <x v="0"/>
    <x v="0"/>
    <x v="0"/>
    <s v="GREECE"/>
    <s v="GR00"/>
    <x v="1"/>
    <x v="0"/>
    <n v="101.75603400245123"/>
  </r>
  <r>
    <x v="0"/>
    <x v="0"/>
    <x v="0"/>
    <s v="GREECE"/>
    <s v="GR00"/>
    <x v="2"/>
    <x v="0"/>
    <n v="1.3864869986455026E-3"/>
  </r>
  <r>
    <x v="0"/>
    <x v="0"/>
    <x v="0"/>
    <s v="GREECE"/>
    <s v="GR00"/>
    <x v="6"/>
    <x v="0"/>
    <n v="104.88825460163133"/>
  </r>
  <r>
    <x v="0"/>
    <x v="0"/>
    <x v="0"/>
    <s v="GREECE"/>
    <s v="GR00"/>
    <x v="3"/>
    <x v="0"/>
    <n v="2.4918779998432542E-3"/>
  </r>
  <r>
    <x v="0"/>
    <x v="0"/>
    <x v="0"/>
    <s v="GREECE"/>
    <s v="GR00"/>
    <x v="4"/>
    <x v="0"/>
    <n v="92.249682723032436"/>
  </r>
  <r>
    <x v="0"/>
    <x v="0"/>
    <x v="0"/>
    <s v="GREECE"/>
    <s v="GR00"/>
    <x v="5"/>
    <x v="0"/>
    <n v="5.4621036105094159E-5"/>
  </r>
  <r>
    <x v="0"/>
    <x v="0"/>
    <x v="0"/>
    <s v="GREECE"/>
    <s v="GR03"/>
    <x v="0"/>
    <x v="0"/>
    <n v="694.79006136643522"/>
  </r>
  <r>
    <x v="0"/>
    <x v="0"/>
    <x v="0"/>
    <s v="GREECE"/>
    <s v="GR03"/>
    <x v="1"/>
    <x v="0"/>
    <n v="142.0359168234144"/>
  </r>
  <r>
    <x v="0"/>
    <x v="0"/>
    <x v="0"/>
    <s v="GREECE"/>
    <s v="GR03"/>
    <x v="2"/>
    <x v="0"/>
    <n v="63.239096483493398"/>
  </r>
  <r>
    <x v="0"/>
    <x v="0"/>
    <x v="0"/>
    <s v="GREECE"/>
    <s v="GR03"/>
    <x v="6"/>
    <x v="0"/>
    <n v="104.88825460163133"/>
  </r>
  <r>
    <x v="0"/>
    <x v="0"/>
    <x v="0"/>
    <s v="GREECE"/>
    <s v="GR03"/>
    <x v="3"/>
    <x v="0"/>
    <n v="4.7149288913178721E-3"/>
  </r>
  <r>
    <x v="0"/>
    <x v="0"/>
    <x v="0"/>
    <s v="IRELAND"/>
    <s v="IE"/>
    <x v="0"/>
    <x v="0"/>
    <n v="1037.7745924238825"/>
  </r>
  <r>
    <x v="0"/>
    <x v="0"/>
    <x v="0"/>
    <s v="IRELAND"/>
    <s v="IE"/>
    <x v="1"/>
    <x v="0"/>
    <n v="212.49800449665935"/>
  </r>
  <r>
    <x v="0"/>
    <x v="0"/>
    <x v="0"/>
    <s v="IRELAND"/>
    <s v="IE"/>
    <x v="2"/>
    <x v="0"/>
    <n v="78.364300620076719"/>
  </r>
  <r>
    <x v="0"/>
    <x v="0"/>
    <x v="0"/>
    <s v="IRELAND"/>
    <s v="IE"/>
    <x v="6"/>
    <x v="0"/>
    <n v="34.674571114416651"/>
  </r>
  <r>
    <x v="0"/>
    <x v="0"/>
    <x v="0"/>
    <s v="IRELAND"/>
    <s v="IE"/>
    <x v="3"/>
    <x v="0"/>
    <n v="1.032489810360168E-3"/>
  </r>
  <r>
    <x v="0"/>
    <x v="0"/>
    <x v="0"/>
    <s v="IRELAND"/>
    <s v="IE"/>
    <x v="4"/>
    <x v="0"/>
    <n v="4.917809290412281"/>
  </r>
  <r>
    <x v="0"/>
    <x v="0"/>
    <x v="0"/>
    <s v="IRELAND"/>
    <s v="IE"/>
    <x v="5"/>
    <x v="0"/>
    <n v="2.0833404568408016E-5"/>
  </r>
  <r>
    <x v="0"/>
    <x v="0"/>
    <x v="0"/>
    <s v="LUXEMBOURG"/>
    <s v="LU"/>
    <x v="0"/>
    <x v="0"/>
    <n v="54.831831559948633"/>
  </r>
  <r>
    <x v="0"/>
    <x v="0"/>
    <x v="0"/>
    <s v="LUXEMBOURG"/>
    <s v="LU"/>
    <x v="1"/>
    <x v="0"/>
    <n v="16.522865974927946"/>
  </r>
  <r>
    <x v="0"/>
    <x v="0"/>
    <x v="0"/>
    <s v="LUXEMBOURG"/>
    <s v="LU"/>
    <x v="2"/>
    <x v="0"/>
    <n v="2.4001719467324873"/>
  </r>
  <r>
    <x v="0"/>
    <x v="0"/>
    <x v="0"/>
    <s v="LUXEMBOURG"/>
    <s v="LU"/>
    <x v="6"/>
    <x v="0"/>
    <n v="49.090162498284016"/>
  </r>
  <r>
    <x v="0"/>
    <x v="0"/>
    <x v="0"/>
    <s v="LUXEMBOURG"/>
    <s v="LU"/>
    <x v="3"/>
    <x v="0"/>
    <n v="3.1131994974220186E-3"/>
  </r>
  <r>
    <x v="0"/>
    <x v="0"/>
    <x v="0"/>
    <s v="LUXEMBOURG"/>
    <s v="LU"/>
    <x v="4"/>
    <x v="0"/>
    <n v="0.29772689822878412"/>
  </r>
  <r>
    <x v="0"/>
    <x v="0"/>
    <x v="0"/>
    <s v="ALBANIA"/>
    <s v="AL"/>
    <x v="0"/>
    <x v="0"/>
    <n v="120.56881708249392"/>
  </r>
  <r>
    <x v="0"/>
    <x v="0"/>
    <x v="0"/>
    <s v="ALBANIA"/>
    <s v="AL"/>
    <x v="1"/>
    <x v="0"/>
    <n v="74.335406117241433"/>
  </r>
  <r>
    <x v="0"/>
    <x v="0"/>
    <x v="0"/>
    <s v="ALBANIA"/>
    <s v="AL"/>
    <x v="2"/>
    <x v="0"/>
    <n v="8.2109871480000027"/>
  </r>
  <r>
    <x v="0"/>
    <x v="0"/>
    <x v="0"/>
    <s v="ALBANIA"/>
    <s v="AL"/>
    <x v="6"/>
    <x v="0"/>
    <n v="15.389360677813059"/>
  </r>
  <r>
    <x v="0"/>
    <x v="0"/>
    <x v="0"/>
    <s v="ALBANIA"/>
    <s v="AL"/>
    <x v="3"/>
    <x v="0"/>
    <n v="2.037137010797445E-3"/>
  </r>
  <r>
    <x v="0"/>
    <x v="0"/>
    <x v="0"/>
    <s v="ALBANIA"/>
    <s v="AL"/>
    <x v="4"/>
    <x v="0"/>
    <n v="0.90648620398365753"/>
  </r>
  <r>
    <x v="0"/>
    <x v="0"/>
    <x v="0"/>
    <s v="ALBANIA"/>
    <s v="AL"/>
    <x v="5"/>
    <x v="0"/>
    <n v="-3.4775052881741427E-21"/>
  </r>
  <r>
    <x v="0"/>
    <x v="0"/>
    <x v="0"/>
    <s v="MONTENEGRO"/>
    <s v="ME"/>
    <x v="0"/>
    <x v="0"/>
    <n v="24.113763416498781"/>
  </r>
  <r>
    <x v="0"/>
    <x v="0"/>
    <x v="0"/>
    <s v="MONTENEGRO"/>
    <s v="ME"/>
    <x v="1"/>
    <x v="0"/>
    <n v="19.56743543034484"/>
  </r>
  <r>
    <x v="0"/>
    <x v="0"/>
    <x v="0"/>
    <s v="MONTENEGRO"/>
    <s v="ME"/>
    <x v="2"/>
    <x v="0"/>
    <n v="1.3274467751999999"/>
  </r>
  <r>
    <x v="0"/>
    <x v="0"/>
    <x v="0"/>
    <s v="MONTENEGRO"/>
    <s v="ME"/>
    <x v="6"/>
    <x v="0"/>
    <n v="17.819915819798823"/>
  </r>
  <r>
    <x v="0"/>
    <x v="0"/>
    <x v="0"/>
    <s v="MONTENEGRO"/>
    <s v="ME"/>
    <x v="3"/>
    <x v="0"/>
    <n v="1.172658361937058E-3"/>
  </r>
  <r>
    <x v="0"/>
    <x v="0"/>
    <x v="0"/>
    <s v="MONTENEGRO"/>
    <s v="ME"/>
    <x v="4"/>
    <x v="0"/>
    <n v="0.27974887350565647"/>
  </r>
  <r>
    <x v="0"/>
    <x v="0"/>
    <x v="0"/>
    <s v="NORTH_MACEDONIA"/>
    <s v="MK"/>
    <x v="0"/>
    <x v="0"/>
    <n v="3.8617260099612012"/>
  </r>
  <r>
    <x v="0"/>
    <x v="0"/>
    <x v="0"/>
    <s v="NORTH_MACEDONIA"/>
    <s v="MK"/>
    <x v="1"/>
    <x v="0"/>
    <n v="13.362959985845016"/>
  </r>
  <r>
    <x v="0"/>
    <x v="0"/>
    <x v="0"/>
    <s v="NORTH_MACEDONIA"/>
    <s v="MK"/>
    <x v="6"/>
    <x v="0"/>
    <n v="0.79297513058983027"/>
  </r>
  <r>
    <x v="0"/>
    <x v="0"/>
    <x v="0"/>
    <s v="NORTH_MACEDONIA"/>
    <s v="MK"/>
    <x v="3"/>
    <x v="0"/>
    <n v="3.7406022425391807E-4"/>
  </r>
  <r>
    <x v="0"/>
    <x v="0"/>
    <x v="0"/>
    <s v="NORTH_MACEDONIA"/>
    <s v="MK"/>
    <x v="4"/>
    <x v="0"/>
    <n v="0.89743347697759979"/>
  </r>
  <r>
    <x v="0"/>
    <x v="0"/>
    <x v="0"/>
    <s v="NORTH_MACEDONIA"/>
    <s v="MK"/>
    <x v="5"/>
    <x v="0"/>
    <n v="6.7853761720471085E-22"/>
  </r>
  <r>
    <x v="0"/>
    <x v="0"/>
    <x v="0"/>
    <s v="BOSNIA_AND_HERZEGOVINA"/>
    <s v="BA"/>
    <x v="1"/>
    <x v="0"/>
    <n v="40.435479337931071"/>
  </r>
  <r>
    <x v="0"/>
    <x v="0"/>
    <x v="0"/>
    <s v="BOSNIA_AND_HERZEGOVINA"/>
    <s v="BA"/>
    <x v="2"/>
    <x v="0"/>
    <n v="1.8109519383999999E-2"/>
  </r>
  <r>
    <x v="0"/>
    <x v="0"/>
    <x v="0"/>
    <s v="BOSNIA_AND_HERZEGOVINA"/>
    <s v="BA"/>
    <x v="6"/>
    <x v="0"/>
    <n v="10.250353514498286"/>
  </r>
  <r>
    <x v="0"/>
    <x v="0"/>
    <x v="0"/>
    <s v="BOSNIA_AND_HERZEGOVINA"/>
    <s v="BA"/>
    <x v="3"/>
    <x v="0"/>
    <n v="4.6325863077750312E-4"/>
  </r>
  <r>
    <x v="0"/>
    <x v="0"/>
    <x v="0"/>
    <s v="BOSNIA_AND_HERZEGOVINA"/>
    <s v="BA"/>
    <x v="4"/>
    <x v="0"/>
    <n v="1.0554689228987404"/>
  </r>
  <r>
    <x v="0"/>
    <x v="0"/>
    <x v="0"/>
    <s v="BOSNIA_AND_HERZEGOVINA"/>
    <s v="BA"/>
    <x v="5"/>
    <x v="0"/>
    <n v="2.6018731469420643E-21"/>
  </r>
  <r>
    <x v="0"/>
    <x v="0"/>
    <x v="0"/>
    <s v="SERBIA"/>
    <s v="RS"/>
    <x v="0"/>
    <x v="0"/>
    <n v="24.113763416498784"/>
  </r>
  <r>
    <x v="0"/>
    <x v="0"/>
    <x v="0"/>
    <s v="SERBIA"/>
    <s v="RS"/>
    <x v="1"/>
    <x v="0"/>
    <n v="60.797029913103501"/>
  </r>
  <r>
    <x v="0"/>
    <x v="0"/>
    <x v="0"/>
    <s v="SERBIA"/>
    <s v="RS"/>
    <x v="2"/>
    <x v="0"/>
    <n v="1.4957325655999991"/>
  </r>
  <r>
    <x v="0"/>
    <x v="0"/>
    <x v="0"/>
    <s v="SERBIA"/>
    <s v="RS"/>
    <x v="6"/>
    <x v="0"/>
    <n v="16.366760085968373"/>
  </r>
  <r>
    <x v="0"/>
    <x v="0"/>
    <x v="0"/>
    <s v="SERBIA"/>
    <s v="RS"/>
    <x v="3"/>
    <x v="0"/>
    <n v="5.7437256156479713E-4"/>
  </r>
  <r>
    <x v="0"/>
    <x v="0"/>
    <x v="0"/>
    <s v="SERBIA"/>
    <s v="RS"/>
    <x v="4"/>
    <x v="0"/>
    <n v="6.6848962557261453"/>
  </r>
  <r>
    <x v="0"/>
    <x v="0"/>
    <x v="0"/>
    <s v="SERBIA"/>
    <s v="RS"/>
    <x v="5"/>
    <x v="0"/>
    <n v="8.2436944849327784E-6"/>
  </r>
  <r>
    <x v="0"/>
    <x v="0"/>
    <x v="0"/>
    <s v="TURKEY"/>
    <s v="TR"/>
    <x v="0"/>
    <x v="0"/>
    <n v="5812.268504703854"/>
  </r>
  <r>
    <x v="0"/>
    <x v="0"/>
    <x v="0"/>
    <s v="TURKEY"/>
    <s v="TR"/>
    <x v="1"/>
    <x v="0"/>
    <n v="2372.0733816281677"/>
  </r>
  <r>
    <x v="0"/>
    <x v="0"/>
    <x v="0"/>
    <s v="TURKEY"/>
    <s v="TR"/>
    <x v="2"/>
    <x v="0"/>
    <n v="172.94517767094931"/>
  </r>
  <r>
    <x v="0"/>
    <x v="0"/>
    <x v="0"/>
    <s v="TURKEY"/>
    <s v="TR"/>
    <x v="6"/>
    <x v="0"/>
    <n v="6.0183859635219354"/>
  </r>
  <r>
    <x v="0"/>
    <x v="0"/>
    <x v="0"/>
    <s v="TURKEY"/>
    <s v="TR"/>
    <x v="3"/>
    <x v="0"/>
    <n v="5.5426980138983885E-4"/>
  </r>
  <r>
    <x v="0"/>
    <x v="0"/>
    <x v="0"/>
    <s v="TURKEY"/>
    <s v="TR"/>
    <x v="4"/>
    <x v="0"/>
    <n v="78.839336520249788"/>
  </r>
  <r>
    <x v="0"/>
    <x v="0"/>
    <x v="0"/>
    <s v="TURKEY"/>
    <s v="TR"/>
    <x v="5"/>
    <x v="0"/>
    <n v="4.8612487045822972E-5"/>
  </r>
  <r>
    <x v="0"/>
    <x v="0"/>
    <x v="0"/>
    <s v="MALTA"/>
    <s v="MT"/>
    <x v="0"/>
    <x v="0"/>
    <n v="24.55321229198897"/>
  </r>
  <r>
    <x v="0"/>
    <x v="0"/>
    <x v="0"/>
    <s v="MALTA"/>
    <s v="MT"/>
    <x v="1"/>
    <x v="0"/>
    <n v="7.762259655070225"/>
  </r>
  <r>
    <x v="0"/>
    <x v="0"/>
    <x v="0"/>
    <s v="MALTA"/>
    <s v="MT"/>
    <x v="2"/>
    <x v="0"/>
    <n v="1.6940559447035131"/>
  </r>
  <r>
    <x v="0"/>
    <x v="0"/>
    <x v="0"/>
    <s v="MALTA"/>
    <s v="MT"/>
    <x v="7"/>
    <x v="0"/>
    <n v="-1.1194863267561495"/>
  </r>
  <r>
    <x v="0"/>
    <x v="0"/>
    <x v="0"/>
    <s v="MALTA"/>
    <s v="MT"/>
    <x v="3"/>
    <x v="0"/>
    <n v="1.1914512777501124E-5"/>
  </r>
  <r>
    <x v="0"/>
    <x v="0"/>
    <x v="0"/>
    <s v="MALTA"/>
    <s v="MT"/>
    <x v="8"/>
    <x v="0"/>
    <n v="4.6785593543634043"/>
  </r>
  <r>
    <x v="0"/>
    <x v="0"/>
    <x v="0"/>
    <s v="CYPRUS"/>
    <s v="CY"/>
    <x v="0"/>
    <x v="0"/>
    <n v="22.034629070855697"/>
  </r>
  <r>
    <x v="0"/>
    <x v="0"/>
    <x v="0"/>
    <s v="CYPRUS"/>
    <s v="CY"/>
    <x v="1"/>
    <x v="0"/>
    <n v="11.12874340683164"/>
  </r>
  <r>
    <x v="0"/>
    <x v="0"/>
    <x v="0"/>
    <s v="CYPRUS"/>
    <s v="CY"/>
    <x v="6"/>
    <x v="0"/>
    <n v="6.0183859635219354"/>
  </r>
  <r>
    <x v="0"/>
    <x v="0"/>
    <x v="0"/>
    <s v="CYPRUS"/>
    <s v="CY"/>
    <x v="3"/>
    <x v="0"/>
    <n v="1.7408981645753338E-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9">
  <r>
    <x v="0"/>
    <x v="0"/>
    <x v="0"/>
    <s v="NORWAY"/>
    <x v="0"/>
    <s v="NO3_A1"/>
    <s v="GNR_RES_WTR_NOPMP_MC-01"/>
    <x v="0"/>
    <x v="0"/>
    <x v="0"/>
    <x v="0"/>
    <n v="1.6864771968459746"/>
  </r>
  <r>
    <x v="0"/>
    <x v="0"/>
    <x v="0"/>
    <s v="NORWAY"/>
    <x v="0"/>
    <s v="NO3_A1"/>
    <s v="GNR_RES_WTR_NOPMP_MC-02"/>
    <x v="0"/>
    <x v="0"/>
    <x v="0"/>
    <x v="0"/>
    <n v="2.1448777968459751"/>
  </r>
  <r>
    <x v="0"/>
    <x v="0"/>
    <x v="0"/>
    <s v="NORWAY"/>
    <x v="0"/>
    <s v="NO3_A1"/>
    <s v="GNR_RES_WTR_NOPMP_MC-03"/>
    <x v="0"/>
    <x v="0"/>
    <x v="0"/>
    <x v="0"/>
    <n v="2.0427407589009285"/>
  </r>
  <r>
    <x v="0"/>
    <x v="0"/>
    <x v="0"/>
    <s v="NORWAY"/>
    <x v="0"/>
    <s v="NO3_A1"/>
    <s v="GNR_RES_WTR_NOPMP_MC-04"/>
    <x v="0"/>
    <x v="0"/>
    <x v="0"/>
    <x v="0"/>
    <n v="1.8992704331471624"/>
  </r>
  <r>
    <x v="0"/>
    <x v="0"/>
    <x v="0"/>
    <s v="NORWAY"/>
    <x v="0"/>
    <s v="NO3_A1"/>
    <s v="GNR_RES_WTR_NOPMP_MC-05"/>
    <x v="0"/>
    <x v="0"/>
    <x v="0"/>
    <x v="0"/>
    <n v="1.4466616356092727"/>
  </r>
  <r>
    <x v="0"/>
    <x v="0"/>
    <x v="0"/>
    <s v="NORWAY"/>
    <x v="0"/>
    <s v="NO3_A1"/>
    <s v="GNR_RES_WTR_NOPMP_MC-06"/>
    <x v="0"/>
    <x v="0"/>
    <x v="0"/>
    <x v="0"/>
    <n v="1.1495435766984519"/>
  </r>
  <r>
    <x v="0"/>
    <x v="0"/>
    <x v="0"/>
    <s v="NORWAY"/>
    <x v="0"/>
    <s v="NO3_A1"/>
    <s v="GNR_RES_WTR_NOPMP_MC-07"/>
    <x v="0"/>
    <x v="0"/>
    <x v="0"/>
    <x v="0"/>
    <n v="0.91257938699176444"/>
  </r>
  <r>
    <x v="0"/>
    <x v="0"/>
    <x v="0"/>
    <s v="NORWAY"/>
    <x v="0"/>
    <s v="NO3_A1"/>
    <s v="GNR_RES_WTR_NOPMP_MC-08"/>
    <x v="0"/>
    <x v="0"/>
    <x v="0"/>
    <x v="0"/>
    <n v="0.5186778124288649"/>
  </r>
  <r>
    <x v="0"/>
    <x v="0"/>
    <x v="0"/>
    <s v="NORWAY"/>
    <x v="0"/>
    <s v="NO3_A1"/>
    <s v="GNR_RES_WTR_NOPMP_MC-09"/>
    <x v="0"/>
    <x v="0"/>
    <x v="0"/>
    <x v="0"/>
    <n v="0.15320555691756951"/>
  </r>
  <r>
    <x v="0"/>
    <x v="0"/>
    <x v="0"/>
    <s v="NORWAY"/>
    <x v="0"/>
    <s v="NO3_A1"/>
    <s v="GNR_RES_WTR_NOPMP_MC-10"/>
    <x v="0"/>
    <x v="0"/>
    <x v="0"/>
    <x v="0"/>
    <n v="0.15320555691756951"/>
  </r>
  <r>
    <x v="0"/>
    <x v="0"/>
    <x v="0"/>
    <s v="NORWAY"/>
    <x v="0"/>
    <s v="NO3_A1"/>
    <s v="GNR_RES_WTR_PMP_MC-01"/>
    <x v="0"/>
    <x v="0"/>
    <x v="0"/>
    <x v="0"/>
    <n v="0.45840059999999966"/>
  </r>
  <r>
    <x v="0"/>
    <x v="0"/>
    <x v="0"/>
    <s v="NORWAY"/>
    <x v="0"/>
    <s v="NO3_A1"/>
    <s v="GNR_ROR_WTR"/>
    <x v="0"/>
    <x v="0"/>
    <x v="1"/>
    <x v="0"/>
    <n v="7.0069609414594707"/>
  </r>
  <r>
    <x v="0"/>
    <x v="0"/>
    <x v="0"/>
    <s v="NORWAY"/>
    <x v="0"/>
    <s v="NO3_A2"/>
    <s v="GNR_ELYS_ELEC_AEC_Y-2050"/>
    <x v="1"/>
    <x v="1"/>
    <x v="2"/>
    <x v="0"/>
    <n v="2.9031505928822146"/>
  </r>
  <r>
    <x v="0"/>
    <x v="0"/>
    <x v="0"/>
    <s v="NORWAY"/>
    <x v="0"/>
    <s v="NOM1_A"/>
    <s v="GNR_WT_WIND_ONS_RG2"/>
    <x v="2"/>
    <x v="0"/>
    <x v="3"/>
    <x v="0"/>
    <n v="2.6972202249453404E-16"/>
  </r>
  <r>
    <x v="0"/>
    <x v="0"/>
    <x v="0"/>
    <s v="NORWAY"/>
    <x v="0"/>
    <s v="NOM1_A"/>
    <s v="GNR_WT_ONS-2050"/>
    <x v="2"/>
    <x v="0"/>
    <x v="3"/>
    <x v="0"/>
    <n v="8.0174948130841077"/>
  </r>
  <r>
    <x v="0"/>
    <x v="0"/>
    <x v="0"/>
    <s v="NORWAY"/>
    <x v="1"/>
    <s v="NO4_A1"/>
    <s v="GNR_RES_WTR_NOPMP_MC-01"/>
    <x v="0"/>
    <x v="0"/>
    <x v="0"/>
    <x v="0"/>
    <n v="2.9907576249029035"/>
  </r>
  <r>
    <x v="0"/>
    <x v="0"/>
    <x v="0"/>
    <s v="NORWAY"/>
    <x v="1"/>
    <s v="NO4_A1"/>
    <s v="GNR_RES_WTR_NOPMP_MC-02"/>
    <x v="0"/>
    <x v="0"/>
    <x v="0"/>
    <x v="0"/>
    <n v="2.5826210103758043"/>
  </r>
  <r>
    <x v="0"/>
    <x v="0"/>
    <x v="0"/>
    <s v="NORWAY"/>
    <x v="1"/>
    <s v="NO4_A1"/>
    <s v="GNR_RES_WTR_NOPMP_MC-03"/>
    <x v="0"/>
    <x v="0"/>
    <x v="0"/>
    <x v="0"/>
    <n v="2.5060536024869875"/>
  </r>
  <r>
    <x v="0"/>
    <x v="0"/>
    <x v="0"/>
    <s v="NORWAY"/>
    <x v="1"/>
    <s v="NO4_A1"/>
    <s v="GNR_RES_WTR_NOPMP_MC-04"/>
    <x v="0"/>
    <x v="0"/>
    <x v="0"/>
    <x v="0"/>
    <n v="2.2590748993504568"/>
  </r>
  <r>
    <x v="0"/>
    <x v="0"/>
    <x v="0"/>
    <s v="NORWAY"/>
    <x v="1"/>
    <s v="NO4_A1"/>
    <s v="GNR_RES_WTR_NOPMP_MC-05"/>
    <x v="0"/>
    <x v="0"/>
    <x v="0"/>
    <x v="0"/>
    <n v="1.8299301063259816"/>
  </r>
  <r>
    <x v="0"/>
    <x v="0"/>
    <x v="0"/>
    <s v="NORWAY"/>
    <x v="1"/>
    <s v="NO4_A1"/>
    <s v="GNR_RES_WTR_NOPMP_MC-06"/>
    <x v="0"/>
    <x v="0"/>
    <x v="0"/>
    <x v="0"/>
    <n v="1.8225844381723537"/>
  </r>
  <r>
    <x v="0"/>
    <x v="0"/>
    <x v="0"/>
    <s v="NORWAY"/>
    <x v="1"/>
    <s v="NO4_A1"/>
    <s v="GNR_RES_WTR_NOPMP_MC-07"/>
    <x v="0"/>
    <x v="0"/>
    <x v="0"/>
    <x v="0"/>
    <n v="1.8225844381723537"/>
  </r>
  <r>
    <x v="0"/>
    <x v="0"/>
    <x v="0"/>
    <s v="NORWAY"/>
    <x v="1"/>
    <s v="NO4_A1"/>
    <s v="GNR_RES_WTR_NOPMP_MC-08"/>
    <x v="0"/>
    <x v="0"/>
    <x v="0"/>
    <x v="0"/>
    <n v="1.8225844381723537"/>
  </r>
  <r>
    <x v="0"/>
    <x v="0"/>
    <x v="0"/>
    <s v="NORWAY"/>
    <x v="1"/>
    <s v="NO4_A1"/>
    <s v="GNR_RES_WTR_NOPMP_MC-09"/>
    <x v="0"/>
    <x v="0"/>
    <x v="0"/>
    <x v="0"/>
    <n v="1.7466434199151724"/>
  </r>
  <r>
    <x v="0"/>
    <x v="0"/>
    <x v="0"/>
    <s v="NORWAY"/>
    <x v="1"/>
    <s v="NO4_A1"/>
    <s v="GNR_RES_WTR_NOPMP_MC-10"/>
    <x v="0"/>
    <x v="0"/>
    <x v="0"/>
    <x v="0"/>
    <n v="1.7466434199151724"/>
  </r>
  <r>
    <x v="0"/>
    <x v="0"/>
    <x v="0"/>
    <s v="NORWAY"/>
    <x v="1"/>
    <s v="NO4_A1"/>
    <s v="GNR_ROR_WTR"/>
    <x v="0"/>
    <x v="0"/>
    <x v="1"/>
    <x v="0"/>
    <n v="4.1044643710532513"/>
  </r>
  <r>
    <x v="0"/>
    <x v="0"/>
    <x v="0"/>
    <s v="NORWAY"/>
    <x v="1"/>
    <s v="NO4_A2"/>
    <s v="GNR_ELYS_ELEC_AEC_Y-2050"/>
    <x v="1"/>
    <x v="1"/>
    <x v="2"/>
    <x v="0"/>
    <n v="14.926711351661899"/>
  </r>
  <r>
    <x v="0"/>
    <x v="0"/>
    <x v="0"/>
    <s v="NORWAY"/>
    <x v="1"/>
    <s v="NON1_A"/>
    <s v="GNR_WT_WIND_ONS_RG2"/>
    <x v="2"/>
    <x v="0"/>
    <x v="3"/>
    <x v="0"/>
    <n v="6.2243543652584779E-17"/>
  </r>
  <r>
    <x v="0"/>
    <x v="0"/>
    <x v="0"/>
    <s v="NORWAY"/>
    <x v="1"/>
    <s v="NON1_A"/>
    <s v="GNR_WT_ONS-2050"/>
    <x v="2"/>
    <x v="0"/>
    <x v="3"/>
    <x v="0"/>
    <n v="25.353299018691594"/>
  </r>
  <r>
    <x v="0"/>
    <x v="0"/>
    <x v="0"/>
    <s v="NORWAY"/>
    <x v="2"/>
    <s v="NO1_A1"/>
    <s v="GNR_RES_WTR_NOPMP_MC-01"/>
    <x v="0"/>
    <x v="0"/>
    <x v="0"/>
    <x v="0"/>
    <n v="0.69503999999999999"/>
  </r>
  <r>
    <x v="0"/>
    <x v="0"/>
    <x v="0"/>
    <s v="NORWAY"/>
    <x v="2"/>
    <s v="NO1_A1"/>
    <s v="GNR_RES_WTR_NOPMP_MC-02"/>
    <x v="0"/>
    <x v="0"/>
    <x v="0"/>
    <x v="0"/>
    <n v="0.66608000000000001"/>
  </r>
  <r>
    <x v="0"/>
    <x v="0"/>
    <x v="0"/>
    <s v="NORWAY"/>
    <x v="2"/>
    <s v="NO1_A1"/>
    <s v="GNR_RES_WTR_NOPMP_MC-03"/>
    <x v="0"/>
    <x v="0"/>
    <x v="0"/>
    <x v="0"/>
    <n v="0.65319527036992053"/>
  </r>
  <r>
    <x v="0"/>
    <x v="0"/>
    <x v="0"/>
    <s v="NORWAY"/>
    <x v="2"/>
    <s v="NO1_A1"/>
    <s v="GNR_RES_WTR_NOPMP_MC-04"/>
    <x v="0"/>
    <x v="0"/>
    <x v="0"/>
    <x v="0"/>
    <n v="0.63712000000000002"/>
  </r>
  <r>
    <x v="0"/>
    <x v="0"/>
    <x v="0"/>
    <s v="NORWAY"/>
    <x v="2"/>
    <s v="NO1_A1"/>
    <s v="GNR_RES_WTR_NOPMP_MC-05"/>
    <x v="0"/>
    <x v="0"/>
    <x v="0"/>
    <x v="0"/>
    <n v="0.62644735871611668"/>
  </r>
  <r>
    <x v="0"/>
    <x v="0"/>
    <x v="0"/>
    <s v="NORWAY"/>
    <x v="2"/>
    <s v="NO1_A1"/>
    <s v="GNR_RES_WTR_NOPMP_MC-06"/>
    <x v="0"/>
    <x v="0"/>
    <x v="0"/>
    <x v="0"/>
    <n v="0.43439999999999995"/>
  </r>
  <r>
    <x v="0"/>
    <x v="0"/>
    <x v="0"/>
    <s v="NORWAY"/>
    <x v="2"/>
    <s v="NO1_A1"/>
    <s v="GNR_RES_WTR_NOPMP_MC-07"/>
    <x v="0"/>
    <x v="0"/>
    <x v="0"/>
    <x v="0"/>
    <n v="0.37647999999999998"/>
  </r>
  <r>
    <x v="0"/>
    <x v="0"/>
    <x v="0"/>
    <s v="NORWAY"/>
    <x v="2"/>
    <s v="NO1_A1"/>
    <s v="GNR_RES_WTR_NOPMP_MC-08"/>
    <x v="0"/>
    <x v="0"/>
    <x v="0"/>
    <x v="0"/>
    <n v="0.37647999999999998"/>
  </r>
  <r>
    <x v="0"/>
    <x v="0"/>
    <x v="0"/>
    <s v="NORWAY"/>
    <x v="2"/>
    <s v="NO1_A1"/>
    <s v="GNR_RES_WTR_NOPMP_MC-09"/>
    <x v="0"/>
    <x v="0"/>
    <x v="0"/>
    <x v="0"/>
    <n v="0.26063999999999998"/>
  </r>
  <r>
    <x v="0"/>
    <x v="0"/>
    <x v="0"/>
    <s v="NORWAY"/>
    <x v="2"/>
    <s v="NO1_A1"/>
    <s v="GNR_RES_WTR_NOPMP_MC-10"/>
    <x v="0"/>
    <x v="0"/>
    <x v="0"/>
    <x v="0"/>
    <n v="0.11584"/>
  </r>
  <r>
    <x v="0"/>
    <x v="0"/>
    <x v="0"/>
    <s v="NORWAY"/>
    <x v="2"/>
    <s v="NO1_A1"/>
    <s v="GNR_ROR_WTR"/>
    <x v="0"/>
    <x v="0"/>
    <x v="1"/>
    <x v="0"/>
    <n v="8.7128712294922526"/>
  </r>
  <r>
    <x v="0"/>
    <x v="0"/>
    <x v="0"/>
    <s v="NORWAY"/>
    <x v="2"/>
    <s v="NO2_A1"/>
    <s v="GNR_RES_WTR_NOPMP_MC-01"/>
    <x v="0"/>
    <x v="0"/>
    <x v="0"/>
    <x v="0"/>
    <n v="2.3253134428296267"/>
  </r>
  <r>
    <x v="0"/>
    <x v="0"/>
    <x v="0"/>
    <s v="NORWAY"/>
    <x v="2"/>
    <s v="NO2_A1"/>
    <s v="GNR_RES_WTR_NOPMP_MC-02"/>
    <x v="0"/>
    <x v="0"/>
    <x v="0"/>
    <x v="0"/>
    <n v="4.8174528627462072"/>
  </r>
  <r>
    <x v="0"/>
    <x v="0"/>
    <x v="0"/>
    <s v="NORWAY"/>
    <x v="2"/>
    <s v="NO2_A1"/>
    <s v="GNR_RES_WTR_NOPMP_MC-03"/>
    <x v="0"/>
    <x v="0"/>
    <x v="0"/>
    <x v="0"/>
    <n v="4.721754387070404"/>
  </r>
  <r>
    <x v="0"/>
    <x v="0"/>
    <x v="0"/>
    <s v="NORWAY"/>
    <x v="2"/>
    <s v="NO2_A1"/>
    <s v="GNR_RES_WTR_NOPMP_MC-04"/>
    <x v="0"/>
    <x v="0"/>
    <x v="0"/>
    <x v="0"/>
    <n v="4.4162252264508322"/>
  </r>
  <r>
    <x v="0"/>
    <x v="0"/>
    <x v="0"/>
    <s v="NORWAY"/>
    <x v="2"/>
    <s v="NO2_A1"/>
    <s v="GNR_RES_WTR_NOPMP_MC-05"/>
    <x v="0"/>
    <x v="0"/>
    <x v="0"/>
    <x v="0"/>
    <n v="3.7956305753517663"/>
  </r>
  <r>
    <x v="0"/>
    <x v="0"/>
    <x v="0"/>
    <s v="NORWAY"/>
    <x v="2"/>
    <s v="NO2_A1"/>
    <s v="GNR_RES_WTR_NOPMP_MC-06"/>
    <x v="0"/>
    <x v="0"/>
    <x v="0"/>
    <x v="0"/>
    <n v="3.5327987660138858"/>
  </r>
  <r>
    <x v="0"/>
    <x v="0"/>
    <x v="0"/>
    <s v="NORWAY"/>
    <x v="2"/>
    <s v="NO2_A1"/>
    <s v="GNR_RES_WTR_NOPMP_MC-07"/>
    <x v="0"/>
    <x v="0"/>
    <x v="0"/>
    <x v="0"/>
    <n v="3.5327987660138858"/>
  </r>
  <r>
    <x v="0"/>
    <x v="0"/>
    <x v="0"/>
    <s v="NORWAY"/>
    <x v="2"/>
    <s v="NO2_A1"/>
    <s v="GNR_RES_WTR_NOPMP_MC-08"/>
    <x v="0"/>
    <x v="0"/>
    <x v="0"/>
    <x v="0"/>
    <n v="2.9891258265518958"/>
  </r>
  <r>
    <x v="0"/>
    <x v="0"/>
    <x v="0"/>
    <s v="NORWAY"/>
    <x v="2"/>
    <s v="NO2_A1"/>
    <s v="GNR_RES_WTR_NOPMP_MC-09"/>
    <x v="0"/>
    <x v="0"/>
    <x v="0"/>
    <x v="0"/>
    <n v="2.2481446692815634"/>
  </r>
  <r>
    <x v="0"/>
    <x v="0"/>
    <x v="0"/>
    <s v="NORWAY"/>
    <x v="2"/>
    <s v="NO2_A1"/>
    <s v="GNR_RES_WTR_NOPMP_MC-10"/>
    <x v="0"/>
    <x v="0"/>
    <x v="0"/>
    <x v="0"/>
    <n v="2.0875629071900232"/>
  </r>
  <r>
    <x v="0"/>
    <x v="0"/>
    <x v="0"/>
    <s v="NORWAY"/>
    <x v="2"/>
    <s v="NO2_A1"/>
    <s v="GNR_RES_WTR_PMP_MC-01"/>
    <x v="0"/>
    <x v="0"/>
    <x v="0"/>
    <x v="0"/>
    <n v="3.1183849056019559"/>
  </r>
  <r>
    <x v="0"/>
    <x v="0"/>
    <x v="0"/>
    <s v="NORWAY"/>
    <x v="2"/>
    <s v="NO2_A1"/>
    <s v="GNR_ROR_WTR"/>
    <x v="0"/>
    <x v="0"/>
    <x v="1"/>
    <x v="0"/>
    <n v="10.677481750275051"/>
  </r>
  <r>
    <x v="0"/>
    <x v="0"/>
    <x v="0"/>
    <s v="NORWAY"/>
    <x v="2"/>
    <s v="NO5_A1"/>
    <s v="GNR_RES_WTR_NOPMP_MC-01"/>
    <x v="0"/>
    <x v="0"/>
    <x v="0"/>
    <x v="0"/>
    <n v="1.0605411176913302"/>
  </r>
  <r>
    <x v="0"/>
    <x v="0"/>
    <x v="0"/>
    <s v="NORWAY"/>
    <x v="2"/>
    <s v="NO5_A1"/>
    <s v="GNR_RES_WTR_NOPMP_MC-02"/>
    <x v="0"/>
    <x v="0"/>
    <x v="0"/>
    <x v="0"/>
    <n v="3.8978271641286324"/>
  </r>
  <r>
    <x v="0"/>
    <x v="0"/>
    <x v="0"/>
    <s v="NORWAY"/>
    <x v="2"/>
    <s v="NO5_A1"/>
    <s v="GNR_RES_WTR_NOPMP_MC-03"/>
    <x v="0"/>
    <x v="0"/>
    <x v="0"/>
    <x v="0"/>
    <n v="3.7533341331670411"/>
  </r>
  <r>
    <x v="0"/>
    <x v="0"/>
    <x v="0"/>
    <s v="NORWAY"/>
    <x v="2"/>
    <s v="NO5_A1"/>
    <s v="GNR_RES_WTR_NOPMP_MC-04"/>
    <x v="0"/>
    <x v="0"/>
    <x v="0"/>
    <x v="0"/>
    <n v="3.6299469594972686"/>
  </r>
  <r>
    <x v="0"/>
    <x v="0"/>
    <x v="0"/>
    <s v="NORWAY"/>
    <x v="2"/>
    <s v="NO5_A1"/>
    <s v="GNR_RES_WTR_NOPMP_MC-05"/>
    <x v="0"/>
    <x v="0"/>
    <x v="0"/>
    <x v="0"/>
    <n v="2.9233703730964735"/>
  </r>
  <r>
    <x v="0"/>
    <x v="0"/>
    <x v="0"/>
    <s v="NORWAY"/>
    <x v="2"/>
    <s v="NO5_A1"/>
    <s v="GNR_RES_WTR_NOPMP_MC-06"/>
    <x v="0"/>
    <x v="0"/>
    <x v="0"/>
    <x v="0"/>
    <n v="2.2398256278919844"/>
  </r>
  <r>
    <x v="0"/>
    <x v="0"/>
    <x v="0"/>
    <s v="NORWAY"/>
    <x v="2"/>
    <s v="NO5_A1"/>
    <s v="GNR_RES_WTR_NOPMP_MC-07"/>
    <x v="0"/>
    <x v="0"/>
    <x v="0"/>
    <x v="0"/>
    <n v="2.057186558845665"/>
  </r>
  <r>
    <x v="0"/>
    <x v="0"/>
    <x v="0"/>
    <s v="NORWAY"/>
    <x v="2"/>
    <s v="NO5_A1"/>
    <s v="GNR_RES_WTR_NOPMP_MC-08"/>
    <x v="0"/>
    <x v="0"/>
    <x v="0"/>
    <x v="0"/>
    <n v="1.665342758228727"/>
  </r>
  <r>
    <x v="0"/>
    <x v="0"/>
    <x v="0"/>
    <s v="NORWAY"/>
    <x v="2"/>
    <s v="NO5_A1"/>
    <s v="GNR_RES_WTR_NOPMP_MC-09"/>
    <x v="0"/>
    <x v="0"/>
    <x v="0"/>
    <x v="0"/>
    <n v="0.75791083746945564"/>
  </r>
  <r>
    <x v="0"/>
    <x v="0"/>
    <x v="0"/>
    <s v="NORWAY"/>
    <x v="2"/>
    <s v="NO5_A1"/>
    <s v="GNR_RES_WTR_NOPMP_MC-10"/>
    <x v="0"/>
    <x v="0"/>
    <x v="0"/>
    <x v="0"/>
    <n v="0.43309190712540319"/>
  </r>
  <r>
    <x v="0"/>
    <x v="0"/>
    <x v="0"/>
    <s v="NORWAY"/>
    <x v="2"/>
    <s v="NO5_A1"/>
    <s v="GNR_RES_WTR_PMP_MC-01"/>
    <x v="0"/>
    <x v="0"/>
    <x v="0"/>
    <x v="0"/>
    <n v="3.0538319999999999"/>
  </r>
  <r>
    <x v="0"/>
    <x v="0"/>
    <x v="0"/>
    <s v="NORWAY"/>
    <x v="2"/>
    <s v="NO5_A1"/>
    <s v="GNR_ROR_WTR"/>
    <x v="0"/>
    <x v="0"/>
    <x v="1"/>
    <x v="0"/>
    <n v="9.8497535111950789"/>
  </r>
  <r>
    <x v="0"/>
    <x v="0"/>
    <x v="0"/>
    <s v="NORWAY"/>
    <x v="2"/>
    <s v="NOS0_A"/>
    <s v="GNR_WT_WIND_ONS_RG2"/>
    <x v="2"/>
    <x v="0"/>
    <x v="3"/>
    <x v="0"/>
    <n v="4.1495695768389851E-16"/>
  </r>
  <r>
    <x v="0"/>
    <x v="0"/>
    <x v="0"/>
    <s v="NORWAY"/>
    <x v="2"/>
    <s v="NOS0_A"/>
    <s v="GNR_WT_ONS-2050"/>
    <x v="2"/>
    <x v="0"/>
    <x v="3"/>
    <x v="0"/>
    <n v="24.874074766355132"/>
  </r>
  <r>
    <x v="0"/>
    <x v="0"/>
    <x v="0"/>
    <s v="DENMARK"/>
    <x v="3"/>
    <s v="DK1_Large"/>
    <s v="GNR_ELYS_ELEC_AEC_Y-2020"/>
    <x v="1"/>
    <x v="1"/>
    <x v="2"/>
    <x v="0"/>
    <n v="4.0030650759627298"/>
  </r>
  <r>
    <x v="0"/>
    <x v="0"/>
    <x v="0"/>
    <s v="DENMARK"/>
    <x v="3"/>
    <s v="DK1_Large"/>
    <s v="GNR_H2S_H2-CAVERN_Y-2050"/>
    <x v="3"/>
    <x v="1"/>
    <x v="4"/>
    <x v="0"/>
    <n v="6.5037654597358037"/>
  </r>
  <r>
    <x v="0"/>
    <x v="0"/>
    <x v="0"/>
    <s v="DENMARK"/>
    <x v="3"/>
    <s v="DK1_NoDH"/>
    <s v="GNR_ROR_WTR"/>
    <x v="0"/>
    <x v="0"/>
    <x v="1"/>
    <x v="0"/>
    <n v="3.2348306234087611E-2"/>
  </r>
  <r>
    <x v="0"/>
    <x v="0"/>
    <x v="0"/>
    <s v="DENMARK"/>
    <x v="3"/>
    <s v="DKW1_A"/>
    <s v="GNR_WT_WIND_OFF"/>
    <x v="2"/>
    <x v="0"/>
    <x v="5"/>
    <x v="0"/>
    <n v="-8.2991391536779698E-17"/>
  </r>
  <r>
    <x v="0"/>
    <x v="0"/>
    <x v="0"/>
    <s v="DENMARK"/>
    <x v="3"/>
    <s v="DKW1_A"/>
    <s v="GNR_WT_WIND_ONS_RG2"/>
    <x v="2"/>
    <x v="0"/>
    <x v="3"/>
    <x v="0"/>
    <n v="-1.659827830735594E-15"/>
  </r>
  <r>
    <x v="0"/>
    <x v="0"/>
    <x v="0"/>
    <s v="DENMARK"/>
    <x v="3"/>
    <s v="DKW1_A"/>
    <s v="GNR_WT_WIND_ONS_RG3"/>
    <x v="2"/>
    <x v="0"/>
    <x v="3"/>
    <x v="0"/>
    <n v="-4.7720050133648327E-16"/>
  </r>
  <r>
    <x v="0"/>
    <x v="0"/>
    <x v="0"/>
    <s v="DENMARK"/>
    <x v="3"/>
    <s v="DKW1_A"/>
    <s v="GNR_WT_ONS-2050"/>
    <x v="2"/>
    <x v="0"/>
    <x v="3"/>
    <x v="0"/>
    <n v="41.973427975778534"/>
  </r>
  <r>
    <x v="0"/>
    <x v="0"/>
    <x v="0"/>
    <s v="DENMARK"/>
    <x v="4"/>
    <s v="DK2_Large"/>
    <s v="GNR_ELYS_ELEC_AEC_Y-2020"/>
    <x v="1"/>
    <x v="1"/>
    <x v="2"/>
    <x v="0"/>
    <n v="2.9557095500051327"/>
  </r>
  <r>
    <x v="0"/>
    <x v="0"/>
    <x v="0"/>
    <s v="DENMARK"/>
    <x v="4"/>
    <s v="DK2_NoDH"/>
    <s v="GNR_ROR_WTR"/>
    <x v="0"/>
    <x v="0"/>
    <x v="1"/>
    <x v="0"/>
    <n v="6.9917088402206564E-5"/>
  </r>
  <r>
    <x v="0"/>
    <x v="0"/>
    <x v="0"/>
    <s v="DENMARK"/>
    <x v="4"/>
    <s v="DKE1_A"/>
    <s v="GNR_WT_WIND_OFF"/>
    <x v="2"/>
    <x v="0"/>
    <x v="5"/>
    <x v="0"/>
    <n v="1.4523493518936448E-16"/>
  </r>
  <r>
    <x v="0"/>
    <x v="0"/>
    <x v="0"/>
    <s v="DENMARK"/>
    <x v="4"/>
    <s v="DKE1_A"/>
    <s v="GNR_WT_ONS-2050"/>
    <x v="2"/>
    <x v="0"/>
    <x v="3"/>
    <x v="0"/>
    <n v="16.442131141868526"/>
  </r>
  <r>
    <x v="0"/>
    <x v="0"/>
    <x v="0"/>
    <s v="FINLAND"/>
    <x v="5"/>
    <s v="FinA"/>
    <s v="GNR_RES_WTR_NOPMP_MC-01"/>
    <x v="0"/>
    <x v="0"/>
    <x v="0"/>
    <x v="0"/>
    <n v="1.1799735207419724"/>
  </r>
  <r>
    <x v="0"/>
    <x v="0"/>
    <x v="0"/>
    <s v="FINLAND"/>
    <x v="5"/>
    <s v="FinA"/>
    <s v="GNR_RES_WTR_NOPMP_MC-02"/>
    <x v="0"/>
    <x v="0"/>
    <x v="0"/>
    <x v="0"/>
    <n v="1.1497893736933142"/>
  </r>
  <r>
    <x v="0"/>
    <x v="0"/>
    <x v="0"/>
    <s v="FINLAND"/>
    <x v="5"/>
    <s v="FinA"/>
    <s v="GNR_RES_WTR_NOPMP_MC-03"/>
    <x v="0"/>
    <x v="0"/>
    <x v="0"/>
    <x v="0"/>
    <n v="1.1363179999999993"/>
  </r>
  <r>
    <x v="0"/>
    <x v="0"/>
    <x v="0"/>
    <s v="FINLAND"/>
    <x v="5"/>
    <s v="FinA"/>
    <s v="GNR_RES_WTR_NOPMP_MC-04"/>
    <x v="0"/>
    <x v="0"/>
    <x v="0"/>
    <x v="0"/>
    <n v="1.0422901649457943"/>
  </r>
  <r>
    <x v="0"/>
    <x v="0"/>
    <x v="0"/>
    <s v="FINLAND"/>
    <x v="5"/>
    <s v="FinA"/>
    <s v="GNR_RES_WTR_NOPMP_MC-05"/>
    <x v="0"/>
    <x v="0"/>
    <x v="0"/>
    <x v="0"/>
    <n v="0.9658702999999994"/>
  </r>
  <r>
    <x v="0"/>
    <x v="0"/>
    <x v="0"/>
    <s v="FINLAND"/>
    <x v="5"/>
    <s v="FinA"/>
    <s v="GNR_RES_WTR_NOPMP_MC-06"/>
    <x v="0"/>
    <x v="0"/>
    <x v="0"/>
    <x v="0"/>
    <n v="0.90905439999999949"/>
  </r>
  <r>
    <x v="0"/>
    <x v="0"/>
    <x v="0"/>
    <s v="FINLAND"/>
    <x v="5"/>
    <s v="FinA"/>
    <s v="GNR_RES_WTR_NOPMP_MC-07"/>
    <x v="0"/>
    <x v="0"/>
    <x v="0"/>
    <x v="0"/>
    <n v="0.6997391898309383"/>
  </r>
  <r>
    <x v="0"/>
    <x v="0"/>
    <x v="0"/>
    <s v="FINLAND"/>
    <x v="5"/>
    <s v="FinA"/>
    <s v="GNR_RES_WTR_NOPMP_MC-08"/>
    <x v="0"/>
    <x v="0"/>
    <x v="0"/>
    <x v="0"/>
    <n v="0.68179079999999992"/>
  </r>
  <r>
    <x v="0"/>
    <x v="0"/>
    <x v="0"/>
    <s v="FINLAND"/>
    <x v="5"/>
    <s v="FinA"/>
    <s v="GNR_RES_WTR_NOPMP_MC-09"/>
    <x v="0"/>
    <x v="0"/>
    <x v="0"/>
    <x v="0"/>
    <n v="0.68179079999999992"/>
  </r>
  <r>
    <x v="0"/>
    <x v="0"/>
    <x v="0"/>
    <s v="FINLAND"/>
    <x v="5"/>
    <s v="FinA"/>
    <s v="GNR_RES_WTR_NOPMP_MC-10"/>
    <x v="0"/>
    <x v="0"/>
    <x v="0"/>
    <x v="0"/>
    <n v="0.68149196727148187"/>
  </r>
  <r>
    <x v="0"/>
    <x v="0"/>
    <x v="0"/>
    <s v="FINLAND"/>
    <x v="5"/>
    <s v="FinA"/>
    <s v="GNR_ROR_WTR"/>
    <x v="0"/>
    <x v="0"/>
    <x v="1"/>
    <x v="0"/>
    <n v="8.8743941342837811"/>
  </r>
  <r>
    <x v="0"/>
    <x v="0"/>
    <x v="0"/>
    <s v="FINLAND"/>
    <x v="5"/>
    <s v="FinA"/>
    <s v="GNR_ST_NUCL_CND_E-33"/>
    <x v="4"/>
    <x v="0"/>
    <x v="6"/>
    <x v="0"/>
    <n v="1.0536855651700989"/>
  </r>
  <r>
    <x v="0"/>
    <x v="0"/>
    <x v="0"/>
    <s v="FINLAND"/>
    <x v="5"/>
    <s v="FI_large"/>
    <s v="GNR_ELYS_ELEC_AEC_Y-2050"/>
    <x v="1"/>
    <x v="1"/>
    <x v="2"/>
    <x v="0"/>
    <n v="1.0723548930232358"/>
  </r>
  <r>
    <x v="0"/>
    <x v="0"/>
    <x v="0"/>
    <s v="FINLAND"/>
    <x v="5"/>
    <s v="FI_large"/>
    <s v="GNR_H2S_H2-TNKC_Y-2050"/>
    <x v="3"/>
    <x v="1"/>
    <x v="4"/>
    <x v="0"/>
    <n v="-5.1967134595543032E-15"/>
  </r>
  <r>
    <x v="0"/>
    <x v="0"/>
    <x v="0"/>
    <s v="FINLAND"/>
    <x v="5"/>
    <s v="FI00_A"/>
    <s v="GNR_WT_WIND_ONS_RG2"/>
    <x v="2"/>
    <x v="0"/>
    <x v="3"/>
    <x v="0"/>
    <n v="-8.2991391536779698E-17"/>
  </r>
  <r>
    <x v="0"/>
    <x v="0"/>
    <x v="0"/>
    <s v="FINLAND"/>
    <x v="5"/>
    <s v="FI00_A"/>
    <s v="GNR_WT_WIND_ONS_RG3"/>
    <x v="2"/>
    <x v="0"/>
    <x v="3"/>
    <x v="0"/>
    <n v="-2.6972202249453404E-16"/>
  </r>
  <r>
    <x v="0"/>
    <x v="0"/>
    <x v="0"/>
    <s v="FINLAND"/>
    <x v="5"/>
    <s v="FI00_A"/>
    <s v="GNR_WT_ONS-2050"/>
    <x v="2"/>
    <x v="0"/>
    <x v="3"/>
    <x v="0"/>
    <n v="58.860353222758178"/>
  </r>
  <r>
    <x v="0"/>
    <x v="0"/>
    <x v="0"/>
    <s v="GERMANY"/>
    <x v="6"/>
    <s v="DE4-E_A"/>
    <s v="GNR_ROR_WTR"/>
    <x v="0"/>
    <x v="0"/>
    <x v="1"/>
    <x v="0"/>
    <n v="1.1103964436146827"/>
  </r>
  <r>
    <x v="0"/>
    <x v="0"/>
    <x v="0"/>
    <s v="GERMANY"/>
    <x v="6"/>
    <s v="DE4-E_A"/>
    <s v="GNR_ELYS_ELEC_AEC_Y-2020"/>
    <x v="1"/>
    <x v="1"/>
    <x v="2"/>
    <x v="0"/>
    <n v="3.9770279999999958"/>
  </r>
  <r>
    <x v="0"/>
    <x v="0"/>
    <x v="0"/>
    <s v="GERMANY"/>
    <x v="6"/>
    <s v="DE4-E_A"/>
    <s v="GNR_H2S_H2-CAVERN_Y-2050"/>
    <x v="3"/>
    <x v="1"/>
    <x v="4"/>
    <x v="0"/>
    <n v="5.1713973433701721"/>
  </r>
  <r>
    <x v="0"/>
    <x v="0"/>
    <x v="0"/>
    <s v="GERMANY"/>
    <x v="6"/>
    <s v="DE4-N_A"/>
    <s v="GNR_ROR_WTR"/>
    <x v="0"/>
    <x v="0"/>
    <x v="1"/>
    <x v="0"/>
    <n v="9.7702452180541705E-3"/>
  </r>
  <r>
    <x v="0"/>
    <x v="0"/>
    <x v="0"/>
    <s v="GERMANY"/>
    <x v="6"/>
    <s v="DE4-N_A"/>
    <s v="GNR_ELYS_ELEC_AEC_Y-2020"/>
    <x v="1"/>
    <x v="1"/>
    <x v="2"/>
    <x v="0"/>
    <n v="0.32851500000000056"/>
  </r>
  <r>
    <x v="0"/>
    <x v="0"/>
    <x v="0"/>
    <s v="GERMANY"/>
    <x v="6"/>
    <s v="DE4-N_A"/>
    <s v="GNR_H2S_H2-CAVERN_Y-2050"/>
    <x v="3"/>
    <x v="1"/>
    <x v="4"/>
    <x v="0"/>
    <n v="6.3368881534447974"/>
  </r>
  <r>
    <x v="0"/>
    <x v="0"/>
    <x v="0"/>
    <s v="GERMANY"/>
    <x v="6"/>
    <s v="DE4-S_A"/>
    <s v="GNR_RES_WTR_NOPMP"/>
    <x v="0"/>
    <x v="0"/>
    <x v="0"/>
    <x v="0"/>
    <n v="0.59930464999494959"/>
  </r>
  <r>
    <x v="0"/>
    <x v="0"/>
    <x v="0"/>
    <s v="GERMANY"/>
    <x v="6"/>
    <s v="DE4-S_A"/>
    <s v="GNR_ROR_WTR"/>
    <x v="0"/>
    <x v="0"/>
    <x v="1"/>
    <x v="0"/>
    <n v="16.002066937064839"/>
  </r>
  <r>
    <x v="0"/>
    <x v="0"/>
    <x v="0"/>
    <s v="GERMANY"/>
    <x v="6"/>
    <s v="DE4-S_A"/>
    <s v="GNR_ELYS_ELEC_AEC_Y-2020"/>
    <x v="1"/>
    <x v="1"/>
    <x v="2"/>
    <x v="0"/>
    <n v="2.3522168657071032"/>
  </r>
  <r>
    <x v="0"/>
    <x v="0"/>
    <x v="0"/>
    <s v="GERMANY"/>
    <x v="6"/>
    <s v="DE4-W_A"/>
    <s v="GNR_ENG_BGAS_CND_E-42"/>
    <x v="5"/>
    <x v="0"/>
    <x v="6"/>
    <x v="0"/>
    <n v="3.3196556614711879E-16"/>
  </r>
  <r>
    <x v="0"/>
    <x v="0"/>
    <x v="0"/>
    <s v="GERMANY"/>
    <x v="6"/>
    <s v="DE4-W_A"/>
    <s v="GNR_ROR_WTR"/>
    <x v="0"/>
    <x v="0"/>
    <x v="1"/>
    <x v="0"/>
    <n v="0.72751991251791859"/>
  </r>
  <r>
    <x v="0"/>
    <x v="0"/>
    <x v="0"/>
    <s v="GERMANY"/>
    <x v="6"/>
    <s v="DE4-W_A"/>
    <s v="GNR_ELYS_ELEC_AEC_Y-2020"/>
    <x v="1"/>
    <x v="1"/>
    <x v="2"/>
    <x v="0"/>
    <n v="6.6053295953256255"/>
  </r>
  <r>
    <x v="0"/>
    <x v="0"/>
    <x v="0"/>
    <s v="GERMANY"/>
    <x v="6"/>
    <s v="DE4-W_A"/>
    <s v="GNR_H2S_H2-CAVERN_Y-2050"/>
    <x v="3"/>
    <x v="1"/>
    <x v="4"/>
    <x v="0"/>
    <n v="5.4043862837292274"/>
  </r>
  <r>
    <x v="0"/>
    <x v="0"/>
    <x v="0"/>
    <s v="GERMANY"/>
    <x v="6"/>
    <s v="DE00_A"/>
    <s v="GNR_PV_SUN"/>
    <x v="6"/>
    <x v="0"/>
    <x v="7"/>
    <x v="0"/>
    <n v="1.1618794815149158E-15"/>
  </r>
  <r>
    <x v="0"/>
    <x v="0"/>
    <x v="0"/>
    <s v="GERMANY"/>
    <x v="6"/>
    <s v="DE00_A"/>
    <s v="GNR_WT_WIND_OFF"/>
    <x v="2"/>
    <x v="0"/>
    <x v="5"/>
    <x v="0"/>
    <n v="-8.7140961113618686E-16"/>
  </r>
  <r>
    <x v="0"/>
    <x v="0"/>
    <x v="0"/>
    <s v="GERMANY"/>
    <x v="6"/>
    <s v="DE00_A"/>
    <s v="GNR_WT_WIND_ONS_RG1"/>
    <x v="2"/>
    <x v="0"/>
    <x v="3"/>
    <x v="0"/>
    <n v="4.8549964049016125E-15"/>
  </r>
  <r>
    <x v="0"/>
    <x v="0"/>
    <x v="0"/>
    <s v="GERMANY"/>
    <x v="6"/>
    <s v="DE00_A"/>
    <s v="GNR_WT_WIND_ONS_RG2"/>
    <x v="2"/>
    <x v="0"/>
    <x v="3"/>
    <x v="0"/>
    <n v="1.3278622645884752E-15"/>
  </r>
  <r>
    <x v="0"/>
    <x v="0"/>
    <x v="0"/>
    <s v="GERMANY"/>
    <x v="6"/>
    <s v="DE00_A"/>
    <s v="GNR_WT_WIND_ONS_RG3"/>
    <x v="2"/>
    <x v="0"/>
    <x v="3"/>
    <x v="0"/>
    <n v="9.5440100267296653E-15"/>
  </r>
  <r>
    <x v="0"/>
    <x v="0"/>
    <x v="0"/>
    <s v="GERMANY"/>
    <x v="6"/>
    <s v="DE00_A"/>
    <s v="GNR_WT_ONS-2050"/>
    <x v="2"/>
    <x v="0"/>
    <x v="3"/>
    <x v="0"/>
    <n v="400.31436899999977"/>
  </r>
  <r>
    <x v="0"/>
    <x v="0"/>
    <x v="0"/>
    <s v="GERMANY"/>
    <x v="6"/>
    <s v="DE00_A"/>
    <s v="GNR_PV-2050"/>
    <x v="6"/>
    <x v="0"/>
    <x v="7"/>
    <x v="0"/>
    <n v="9.9510832438421843"/>
  </r>
  <r>
    <x v="0"/>
    <x v="0"/>
    <x v="0"/>
    <s v="NETHERLANDS"/>
    <x v="7"/>
    <s v="NL_A"/>
    <s v="GNR_ROR_WTR"/>
    <x v="0"/>
    <x v="0"/>
    <x v="1"/>
    <x v="0"/>
    <n v="0.15828821917808222"/>
  </r>
  <r>
    <x v="0"/>
    <x v="0"/>
    <x v="0"/>
    <s v="NETHERLANDS"/>
    <x v="7"/>
    <s v="NL_A"/>
    <s v="GNR_ELYS_ELEC_AEC_Y-2020"/>
    <x v="1"/>
    <x v="1"/>
    <x v="2"/>
    <x v="0"/>
    <n v="10.733699691251163"/>
  </r>
  <r>
    <x v="0"/>
    <x v="0"/>
    <x v="0"/>
    <s v="NETHERLANDS"/>
    <x v="7"/>
    <s v="NL_A"/>
    <s v="GNR_H2S_H2-CAVERN_Y-2050"/>
    <x v="3"/>
    <x v="1"/>
    <x v="4"/>
    <x v="0"/>
    <n v="11.946962907471413"/>
  </r>
  <r>
    <x v="0"/>
    <x v="0"/>
    <x v="0"/>
    <s v="NETHERLANDS"/>
    <x v="7"/>
    <s v="NL00_A"/>
    <s v="GNR_PV_SUN"/>
    <x v="6"/>
    <x v="0"/>
    <x v="7"/>
    <x v="0"/>
    <n v="1.0373923942097463E-16"/>
  </r>
  <r>
    <x v="0"/>
    <x v="0"/>
    <x v="0"/>
    <s v="NETHERLANDS"/>
    <x v="7"/>
    <s v="NL00_A"/>
    <s v="GNR_WT_WIND_OFF"/>
    <x v="2"/>
    <x v="0"/>
    <x v="5"/>
    <x v="0"/>
    <n v="1.2055164947550736"/>
  </r>
  <r>
    <x v="0"/>
    <x v="0"/>
    <x v="0"/>
    <s v="NETHERLANDS"/>
    <x v="7"/>
    <s v="NL00_A"/>
    <s v="GNR_WT_WIND_ONS_RG1"/>
    <x v="2"/>
    <x v="0"/>
    <x v="3"/>
    <x v="0"/>
    <n v="-4.1495695768389849E-17"/>
  </r>
  <r>
    <x v="0"/>
    <x v="0"/>
    <x v="0"/>
    <s v="NETHERLANDS"/>
    <x v="7"/>
    <s v="NL00_A"/>
    <s v="GNR_WT_WIND_ONS_RG2"/>
    <x v="2"/>
    <x v="0"/>
    <x v="3"/>
    <x v="0"/>
    <n v="-8.9215745902038183E-16"/>
  </r>
  <r>
    <x v="0"/>
    <x v="0"/>
    <x v="0"/>
    <s v="NETHERLANDS"/>
    <x v="7"/>
    <s v="NL00_A"/>
    <s v="GNR_WT_ONS-2050"/>
    <x v="2"/>
    <x v="0"/>
    <x v="3"/>
    <x v="0"/>
    <n v="41.424230999999978"/>
  </r>
  <r>
    <x v="0"/>
    <x v="0"/>
    <x v="0"/>
    <s v="NETHERLANDS"/>
    <x v="7"/>
    <s v="NL00_A"/>
    <s v="GNR_PV-2050"/>
    <x v="6"/>
    <x v="0"/>
    <x v="7"/>
    <x v="0"/>
    <n v="41.097236079691605"/>
  </r>
  <r>
    <x v="0"/>
    <x v="0"/>
    <x v="0"/>
    <s v="SWEDEN"/>
    <x v="8"/>
    <s v="SE1A"/>
    <s v="GNR_RES_WTR_NOPMP_MC-01"/>
    <x v="0"/>
    <x v="0"/>
    <x v="0"/>
    <x v="0"/>
    <n v="1.7614919999999998"/>
  </r>
  <r>
    <x v="0"/>
    <x v="0"/>
    <x v="0"/>
    <s v="SWEDEN"/>
    <x v="8"/>
    <s v="SE1A"/>
    <s v="GNR_RES_WTR_NOPMP_MC-02"/>
    <x v="0"/>
    <x v="0"/>
    <x v="0"/>
    <x v="0"/>
    <n v="1.7614919999999998"/>
  </r>
  <r>
    <x v="0"/>
    <x v="0"/>
    <x v="0"/>
    <s v="SWEDEN"/>
    <x v="8"/>
    <s v="SE1A"/>
    <s v="GNR_RES_WTR_NOPMP_MC-03"/>
    <x v="0"/>
    <x v="0"/>
    <x v="0"/>
    <x v="0"/>
    <n v="1.6147009999999999"/>
  </r>
  <r>
    <x v="0"/>
    <x v="0"/>
    <x v="0"/>
    <s v="SWEDEN"/>
    <x v="8"/>
    <s v="SE1A"/>
    <s v="GNR_RES_WTR_NOPMP_MC-04"/>
    <x v="0"/>
    <x v="0"/>
    <x v="0"/>
    <x v="0"/>
    <n v="1.5814073485633804"/>
  </r>
  <r>
    <x v="0"/>
    <x v="0"/>
    <x v="0"/>
    <s v="SWEDEN"/>
    <x v="8"/>
    <s v="SE1A"/>
    <s v="GNR_RES_WTR_NOPMP_MC-05"/>
    <x v="0"/>
    <x v="0"/>
    <x v="0"/>
    <x v="0"/>
    <n v="1.5413055"/>
  </r>
  <r>
    <x v="0"/>
    <x v="0"/>
    <x v="0"/>
    <s v="SWEDEN"/>
    <x v="8"/>
    <s v="SE1A"/>
    <s v="GNR_RES_WTR_NOPMP_MC-06"/>
    <x v="0"/>
    <x v="0"/>
    <x v="0"/>
    <x v="0"/>
    <n v="1.4759631713180701"/>
  </r>
  <r>
    <x v="0"/>
    <x v="0"/>
    <x v="0"/>
    <s v="SWEDEN"/>
    <x v="8"/>
    <s v="SE1A"/>
    <s v="GNR_RES_WTR_NOPMP_MC-07"/>
    <x v="0"/>
    <x v="0"/>
    <x v="0"/>
    <x v="0"/>
    <n v="1.1009324999999999"/>
  </r>
  <r>
    <x v="0"/>
    <x v="0"/>
    <x v="0"/>
    <s v="SWEDEN"/>
    <x v="8"/>
    <s v="SE1A"/>
    <s v="GNR_RES_WTR_NOPMP_MC-08"/>
    <x v="0"/>
    <x v="0"/>
    <x v="0"/>
    <x v="0"/>
    <n v="0.95414149999999998"/>
  </r>
  <r>
    <x v="0"/>
    <x v="0"/>
    <x v="0"/>
    <s v="SWEDEN"/>
    <x v="8"/>
    <s v="SE1A"/>
    <s v="GNR_RES_WTR_NOPMP_MC-09"/>
    <x v="0"/>
    <x v="0"/>
    <x v="0"/>
    <x v="0"/>
    <n v="0.93731774686711389"/>
  </r>
  <r>
    <x v="0"/>
    <x v="0"/>
    <x v="0"/>
    <s v="SWEDEN"/>
    <x v="8"/>
    <s v="SE1A"/>
    <s v="GNR_RES_WTR_NOPMP_MC-10"/>
    <x v="0"/>
    <x v="0"/>
    <x v="0"/>
    <x v="0"/>
    <n v="0.61016542819109398"/>
  </r>
  <r>
    <x v="0"/>
    <x v="0"/>
    <x v="0"/>
    <s v="SWEDEN"/>
    <x v="8"/>
    <s v="SE1A"/>
    <s v="GNR_ROR_WTR"/>
    <x v="0"/>
    <x v="0"/>
    <x v="1"/>
    <x v="0"/>
    <n v="5.0158181249413092"/>
  </r>
  <r>
    <x v="0"/>
    <x v="0"/>
    <x v="0"/>
    <s v="SWEDEN"/>
    <x v="8"/>
    <s v="SE1_medium"/>
    <s v="GNR_ELYS_ELEC_AEC_Y-2020"/>
    <x v="1"/>
    <x v="1"/>
    <x v="2"/>
    <x v="0"/>
    <n v="1.839626458435119"/>
  </r>
  <r>
    <x v="0"/>
    <x v="0"/>
    <x v="0"/>
    <s v="SWEDEN"/>
    <x v="8"/>
    <s v="SE01_A"/>
    <s v="GNR_WT_WIND_ONS_RG2"/>
    <x v="2"/>
    <x v="0"/>
    <x v="3"/>
    <x v="0"/>
    <n v="-1.2552447969937929E-15"/>
  </r>
  <r>
    <x v="0"/>
    <x v="0"/>
    <x v="0"/>
    <s v="SWEDEN"/>
    <x v="8"/>
    <s v="SE01_A"/>
    <s v="GNR_WT_WIND_ONS_RG3"/>
    <x v="2"/>
    <x v="0"/>
    <x v="3"/>
    <x v="0"/>
    <n v="-8.2991391536779698E-17"/>
  </r>
  <r>
    <x v="0"/>
    <x v="0"/>
    <x v="0"/>
    <s v="SWEDEN"/>
    <x v="9"/>
    <s v="SE2A"/>
    <s v="GNR_RES_WTR_NOPMP_MC-01"/>
    <x v="0"/>
    <x v="0"/>
    <x v="0"/>
    <x v="0"/>
    <n v="2.9501930060910988"/>
  </r>
  <r>
    <x v="0"/>
    <x v="0"/>
    <x v="0"/>
    <s v="SWEDEN"/>
    <x v="9"/>
    <s v="SE2A"/>
    <s v="GNR_RES_WTR_NOPMP_MC-02"/>
    <x v="0"/>
    <x v="0"/>
    <x v="0"/>
    <x v="0"/>
    <n v="3.7119394918828856"/>
  </r>
  <r>
    <x v="0"/>
    <x v="0"/>
    <x v="0"/>
    <s v="SWEDEN"/>
    <x v="9"/>
    <s v="SE2A"/>
    <s v="GNR_RES_WTR_NOPMP_MC-03"/>
    <x v="0"/>
    <x v="0"/>
    <x v="0"/>
    <x v="0"/>
    <n v="3.2513573799258668"/>
  </r>
  <r>
    <x v="0"/>
    <x v="0"/>
    <x v="0"/>
    <s v="SWEDEN"/>
    <x v="9"/>
    <s v="SE2A"/>
    <s v="GNR_RES_WTR_NOPMP_MC-04"/>
    <x v="0"/>
    <x v="0"/>
    <x v="0"/>
    <x v="0"/>
    <n v="3.0175575083188186"/>
  </r>
  <r>
    <x v="0"/>
    <x v="0"/>
    <x v="0"/>
    <s v="SWEDEN"/>
    <x v="9"/>
    <s v="SE2A"/>
    <s v="GNR_RES_WTR_NOPMP_MC-05"/>
    <x v="0"/>
    <x v="0"/>
    <x v="0"/>
    <x v="0"/>
    <n v="2.5191762791114916"/>
  </r>
  <r>
    <x v="0"/>
    <x v="0"/>
    <x v="0"/>
    <s v="SWEDEN"/>
    <x v="9"/>
    <s v="SE2A"/>
    <s v="GNR_RES_WTR_NOPMP_MC-06"/>
    <x v="0"/>
    <x v="0"/>
    <x v="0"/>
    <x v="0"/>
    <n v="2.0183193358389118"/>
  </r>
  <r>
    <x v="0"/>
    <x v="0"/>
    <x v="0"/>
    <s v="SWEDEN"/>
    <x v="9"/>
    <s v="SE2A"/>
    <s v="GNR_RES_WTR_NOPMP_MC-07"/>
    <x v="0"/>
    <x v="0"/>
    <x v="0"/>
    <x v="0"/>
    <n v="1.6484372931717033"/>
  </r>
  <r>
    <x v="0"/>
    <x v="0"/>
    <x v="0"/>
    <s v="SWEDEN"/>
    <x v="9"/>
    <s v="SE2A"/>
    <s v="GNR_RES_WTR_NOPMP_MC-08"/>
    <x v="0"/>
    <x v="0"/>
    <x v="0"/>
    <x v="0"/>
    <n v="1.2787621991317191"/>
  </r>
  <r>
    <x v="0"/>
    <x v="0"/>
    <x v="0"/>
    <s v="SWEDEN"/>
    <x v="9"/>
    <s v="SE2A"/>
    <s v="GNR_RES_WTR_NOPMP_MC-09"/>
    <x v="0"/>
    <x v="0"/>
    <x v="0"/>
    <x v="0"/>
    <n v="1.1196339018273296"/>
  </r>
  <r>
    <x v="0"/>
    <x v="0"/>
    <x v="0"/>
    <s v="SWEDEN"/>
    <x v="9"/>
    <s v="SE2A"/>
    <s v="GNR_RES_WTR_NOPMP_MC-10"/>
    <x v="0"/>
    <x v="0"/>
    <x v="0"/>
    <x v="0"/>
    <n v="0.66028617181482818"/>
  </r>
  <r>
    <x v="0"/>
    <x v="0"/>
    <x v="0"/>
    <s v="SWEDEN"/>
    <x v="9"/>
    <s v="SE2A"/>
    <s v="GNR_RES_WTR_PMP_MC-01"/>
    <x v="0"/>
    <x v="0"/>
    <x v="0"/>
    <x v="0"/>
    <n v="0.78191999999999995"/>
  </r>
  <r>
    <x v="0"/>
    <x v="0"/>
    <x v="0"/>
    <s v="SWEDEN"/>
    <x v="9"/>
    <s v="SE2A"/>
    <s v="GNR_ROR_WTR"/>
    <x v="0"/>
    <x v="0"/>
    <x v="1"/>
    <x v="0"/>
    <n v="14.833839720854661"/>
  </r>
  <r>
    <x v="0"/>
    <x v="0"/>
    <x v="0"/>
    <s v="SWEDEN"/>
    <x v="9"/>
    <s v="SE2_medium"/>
    <s v="GNR_ELYS_ELEC_AEC_Y-2020"/>
    <x v="1"/>
    <x v="1"/>
    <x v="2"/>
    <x v="0"/>
    <n v="1.1750452905190254"/>
  </r>
  <r>
    <x v="0"/>
    <x v="0"/>
    <x v="0"/>
    <s v="SWEDEN"/>
    <x v="9"/>
    <s v="SE2_medium"/>
    <s v="GNR_ELYS_ELEC_AEC_Y-2050"/>
    <x v="1"/>
    <x v="1"/>
    <x v="2"/>
    <x v="0"/>
    <n v="6.5882742404644397"/>
  </r>
  <r>
    <x v="0"/>
    <x v="0"/>
    <x v="0"/>
    <s v="SWEDEN"/>
    <x v="9"/>
    <s v="SE02_A"/>
    <s v="GNR_WT_WIND_ONS_RG2"/>
    <x v="2"/>
    <x v="0"/>
    <x v="3"/>
    <x v="0"/>
    <n v="1.950297701114323E-15"/>
  </r>
  <r>
    <x v="0"/>
    <x v="0"/>
    <x v="0"/>
    <s v="SWEDEN"/>
    <x v="9"/>
    <s v="SE02_A"/>
    <s v="GNR_WT_WIND_ONS_RG3"/>
    <x v="2"/>
    <x v="0"/>
    <x v="3"/>
    <x v="0"/>
    <n v="2.0747847884194924E-17"/>
  </r>
  <r>
    <x v="0"/>
    <x v="0"/>
    <x v="0"/>
    <s v="SWEDEN"/>
    <x v="9"/>
    <s v="SE02_A"/>
    <s v="GNR_WT_ONS-2050"/>
    <x v="2"/>
    <x v="0"/>
    <x v="3"/>
    <x v="0"/>
    <n v="41.564699634520494"/>
  </r>
  <r>
    <x v="0"/>
    <x v="0"/>
    <x v="0"/>
    <s v="SWEDEN"/>
    <x v="10"/>
    <s v="SE3A"/>
    <s v="GNR_RES_WTR_NOPMP_MC-01"/>
    <x v="0"/>
    <x v="0"/>
    <x v="0"/>
    <x v="0"/>
    <n v="0.88132519999999948"/>
  </r>
  <r>
    <x v="0"/>
    <x v="0"/>
    <x v="0"/>
    <s v="SWEDEN"/>
    <x v="10"/>
    <s v="SE3A"/>
    <s v="GNR_RES_WTR_NOPMP_MC-02"/>
    <x v="0"/>
    <x v="0"/>
    <x v="0"/>
    <x v="0"/>
    <n v="0.83368599999999948"/>
  </r>
  <r>
    <x v="0"/>
    <x v="0"/>
    <x v="0"/>
    <s v="SWEDEN"/>
    <x v="10"/>
    <s v="SE3A"/>
    <s v="GNR_RES_WTR_NOPMP_MC-03"/>
    <x v="0"/>
    <x v="0"/>
    <x v="0"/>
    <x v="0"/>
    <n v="0.76222719999999955"/>
  </r>
  <r>
    <x v="0"/>
    <x v="0"/>
    <x v="0"/>
    <s v="SWEDEN"/>
    <x v="10"/>
    <s v="SE3A"/>
    <s v="GNR_RES_WTR_NOPMP_MC-04"/>
    <x v="0"/>
    <x v="0"/>
    <x v="0"/>
    <x v="0"/>
    <n v="0.63801127828964621"/>
  </r>
  <r>
    <x v="0"/>
    <x v="0"/>
    <x v="0"/>
    <s v="SWEDEN"/>
    <x v="10"/>
    <s v="SE3A"/>
    <s v="GNR_RES_WTR_NOPMP_MC-05"/>
    <x v="0"/>
    <x v="0"/>
    <x v="0"/>
    <x v="0"/>
    <n v="0.5716703999999998"/>
  </r>
  <r>
    <x v="0"/>
    <x v="0"/>
    <x v="0"/>
    <s v="SWEDEN"/>
    <x v="10"/>
    <s v="SE3A"/>
    <s v="GNR_RES_WTR_NOPMP_MC-06"/>
    <x v="0"/>
    <x v="0"/>
    <x v="0"/>
    <x v="0"/>
    <n v="0.52403119999999981"/>
  </r>
  <r>
    <x v="0"/>
    <x v="0"/>
    <x v="0"/>
    <s v="SWEDEN"/>
    <x v="10"/>
    <s v="SE3A"/>
    <s v="GNR_RES_WTR_NOPMP_MC-07"/>
    <x v="0"/>
    <x v="0"/>
    <x v="0"/>
    <x v="0"/>
    <n v="0.42875279999999988"/>
  </r>
  <r>
    <x v="0"/>
    <x v="0"/>
    <x v="0"/>
    <s v="SWEDEN"/>
    <x v="10"/>
    <s v="SE3A"/>
    <s v="GNR_RES_WTR_NOPMP_MC-08"/>
    <x v="0"/>
    <x v="0"/>
    <x v="0"/>
    <x v="0"/>
    <n v="0.38111359999999989"/>
  </r>
  <r>
    <x v="0"/>
    <x v="0"/>
    <x v="0"/>
    <s v="SWEDEN"/>
    <x v="10"/>
    <s v="SE3A"/>
    <s v="GNR_RES_WTR_NOPMP_MC-09"/>
    <x v="0"/>
    <x v="0"/>
    <x v="0"/>
    <x v="0"/>
    <n v="0.2414855614965537"/>
  </r>
  <r>
    <x v="0"/>
    <x v="0"/>
    <x v="0"/>
    <s v="SWEDEN"/>
    <x v="10"/>
    <s v="SE3A"/>
    <s v="GNR_RES_WTR_NOPMP_MC-10"/>
    <x v="0"/>
    <x v="0"/>
    <x v="0"/>
    <x v="0"/>
    <n v="0.119098"/>
  </r>
  <r>
    <x v="0"/>
    <x v="0"/>
    <x v="0"/>
    <s v="SWEDEN"/>
    <x v="10"/>
    <s v="SE3A"/>
    <s v="GNR_ROR_WTR"/>
    <x v="0"/>
    <x v="0"/>
    <x v="1"/>
    <x v="0"/>
    <n v="5.412535485191075"/>
  </r>
  <r>
    <x v="0"/>
    <x v="0"/>
    <x v="0"/>
    <s v="SWEDEN"/>
    <x v="10"/>
    <s v="SE3_large"/>
    <s v="GNR_ELYS_ELEC_AEC_Y-2020"/>
    <x v="1"/>
    <x v="1"/>
    <x v="2"/>
    <x v="0"/>
    <n v="12.629991849311761"/>
  </r>
  <r>
    <x v="0"/>
    <x v="0"/>
    <x v="0"/>
    <s v="SWEDEN"/>
    <x v="10"/>
    <s v="SE03_A"/>
    <s v="GNR_WT_WIND_ONS_RG2"/>
    <x v="2"/>
    <x v="0"/>
    <x v="3"/>
    <x v="0"/>
    <n v="-1.6390799828513991E-15"/>
  </r>
  <r>
    <x v="0"/>
    <x v="0"/>
    <x v="0"/>
    <s v="SWEDEN"/>
    <x v="10"/>
    <s v="SE03_A"/>
    <s v="GNR_WT_WIND_ONS_RG3"/>
    <x v="2"/>
    <x v="0"/>
    <x v="3"/>
    <x v="0"/>
    <n v="2.0747847884194924E-17"/>
  </r>
  <r>
    <x v="0"/>
    <x v="0"/>
    <x v="0"/>
    <s v="SWEDEN"/>
    <x v="10"/>
    <s v="SE03_A"/>
    <s v="GNR_WT_ONS-2050"/>
    <x v="2"/>
    <x v="0"/>
    <x v="3"/>
    <x v="0"/>
    <n v="43.710471283783683"/>
  </r>
  <r>
    <x v="0"/>
    <x v="0"/>
    <x v="0"/>
    <s v="SWEDEN"/>
    <x v="10"/>
    <s v="SE03_A"/>
    <s v="GNR_PV-2050"/>
    <x v="6"/>
    <x v="0"/>
    <x v="7"/>
    <x v="0"/>
    <n v="10.432331419883043"/>
  </r>
  <r>
    <x v="0"/>
    <x v="0"/>
    <x v="0"/>
    <s v="SWEDEN"/>
    <x v="11"/>
    <s v="SE4A"/>
    <s v="GNR_RES_WTR_NOPMP_MC-01"/>
    <x v="0"/>
    <x v="0"/>
    <x v="0"/>
    <x v="0"/>
    <n v="0.11068005680285743"/>
  </r>
  <r>
    <x v="0"/>
    <x v="0"/>
    <x v="0"/>
    <s v="SWEDEN"/>
    <x v="11"/>
    <s v="SE4A"/>
    <s v="GNR_RES_WTR_NOPMP_MC-02"/>
    <x v="0"/>
    <x v="0"/>
    <x v="0"/>
    <x v="0"/>
    <n v="0.10514605396271456"/>
  </r>
  <r>
    <x v="0"/>
    <x v="0"/>
    <x v="0"/>
    <s v="SWEDEN"/>
    <x v="11"/>
    <s v="SE4A"/>
    <s v="GNR_RES_WTR_NOPMP_MC-03"/>
    <x v="0"/>
    <x v="0"/>
    <x v="0"/>
    <x v="0"/>
    <n v="9.9612051122571682E-2"/>
  </r>
  <r>
    <x v="0"/>
    <x v="0"/>
    <x v="0"/>
    <s v="SWEDEN"/>
    <x v="11"/>
    <s v="SE4A"/>
    <s v="GNR_RES_WTR_NOPMP_MC-04"/>
    <x v="0"/>
    <x v="0"/>
    <x v="0"/>
    <x v="0"/>
    <n v="9.6845049702500255E-2"/>
  </r>
  <r>
    <x v="0"/>
    <x v="0"/>
    <x v="0"/>
    <s v="SWEDEN"/>
    <x v="11"/>
    <s v="SE4A"/>
    <s v="GNR_RES_WTR_NOPMP_MC-05"/>
    <x v="0"/>
    <x v="0"/>
    <x v="0"/>
    <x v="0"/>
    <n v="7.8311129559777384E-2"/>
  </r>
  <r>
    <x v="0"/>
    <x v="0"/>
    <x v="0"/>
    <s v="SWEDEN"/>
    <x v="11"/>
    <s v="SE4A"/>
    <s v="GNR_RES_WTR_NOPMP_MC-06"/>
    <x v="0"/>
    <x v="0"/>
    <x v="0"/>
    <x v="0"/>
    <n v="6.0874031241571584E-2"/>
  </r>
  <r>
    <x v="0"/>
    <x v="0"/>
    <x v="0"/>
    <s v="SWEDEN"/>
    <x v="11"/>
    <s v="SE4A"/>
    <s v="GNR_RES_WTR_NOPMP_MC-07"/>
    <x v="0"/>
    <x v="0"/>
    <x v="0"/>
    <x v="0"/>
    <n v="4.9806025561285841E-2"/>
  </r>
  <r>
    <x v="0"/>
    <x v="0"/>
    <x v="0"/>
    <s v="SWEDEN"/>
    <x v="11"/>
    <s v="SE4A"/>
    <s v="GNR_RES_WTR_NOPMP_MC-08"/>
    <x v="0"/>
    <x v="0"/>
    <x v="0"/>
    <x v="0"/>
    <n v="4.4272022721142973E-2"/>
  </r>
  <r>
    <x v="0"/>
    <x v="0"/>
    <x v="0"/>
    <s v="SWEDEN"/>
    <x v="11"/>
    <s v="SE4A"/>
    <s v="GNR_RES_WTR_NOPMP_MC-09"/>
    <x v="0"/>
    <x v="0"/>
    <x v="0"/>
    <x v="0"/>
    <n v="3.0437015620785792E-2"/>
  </r>
  <r>
    <x v="0"/>
    <x v="0"/>
    <x v="0"/>
    <s v="SWEDEN"/>
    <x v="11"/>
    <s v="SE4A"/>
    <s v="GNR_RES_WTR_NOPMP_MC-10"/>
    <x v="0"/>
    <x v="0"/>
    <x v="0"/>
    <x v="0"/>
    <n v="1.3835007100357179E-2"/>
  </r>
  <r>
    <x v="0"/>
    <x v="0"/>
    <x v="0"/>
    <s v="SWEDEN"/>
    <x v="11"/>
    <s v="SE4A"/>
    <s v="GNR_ROR_WTR"/>
    <x v="0"/>
    <x v="0"/>
    <x v="1"/>
    <x v="0"/>
    <n v="0.89625482612910146"/>
  </r>
  <r>
    <x v="0"/>
    <x v="0"/>
    <x v="0"/>
    <s v="SWEDEN"/>
    <x v="11"/>
    <s v="SE4_large"/>
    <s v="GNR_ELYS_ELEC_AEC_Y-2020"/>
    <x v="1"/>
    <x v="1"/>
    <x v="2"/>
    <x v="0"/>
    <n v="4.1123439391861485"/>
  </r>
  <r>
    <x v="0"/>
    <x v="0"/>
    <x v="0"/>
    <s v="SWEDEN"/>
    <x v="11"/>
    <s v="SE04_A"/>
    <s v="GNR_WT_WIND_ONS_RG2"/>
    <x v="2"/>
    <x v="0"/>
    <x v="3"/>
    <x v="0"/>
    <n v="3.5271341403131371E-16"/>
  </r>
  <r>
    <x v="0"/>
    <x v="0"/>
    <x v="0"/>
    <s v="SWEDEN"/>
    <x v="11"/>
    <s v="SE04_A"/>
    <s v="GNR_WT_ONS-2050"/>
    <x v="2"/>
    <x v="0"/>
    <x v="3"/>
    <x v="0"/>
    <n v="16.697181456456416"/>
  </r>
  <r>
    <x v="0"/>
    <x v="0"/>
    <x v="0"/>
    <s v="UNITED_KINGDOM"/>
    <x v="12"/>
    <s v="UK_A"/>
    <s v="GNR_PV_SUN"/>
    <x v="6"/>
    <x v="0"/>
    <x v="7"/>
    <x v="0"/>
    <n v="-1.950297701114323E-15"/>
  </r>
  <r>
    <x v="0"/>
    <x v="0"/>
    <x v="0"/>
    <s v="UNITED_KINGDOM"/>
    <x v="12"/>
    <s v="UK_A"/>
    <s v="GNR_ROR_WTR"/>
    <x v="0"/>
    <x v="0"/>
    <x v="1"/>
    <x v="0"/>
    <n v="5.2383324054794542"/>
  </r>
  <r>
    <x v="0"/>
    <x v="0"/>
    <x v="0"/>
    <s v="UNITED_KINGDOM"/>
    <x v="12"/>
    <s v="UK_A"/>
    <s v="GNR_ST_MSW_CND_E-33"/>
    <x v="7"/>
    <x v="0"/>
    <x v="6"/>
    <x v="0"/>
    <n v="3.0318068400000016"/>
  </r>
  <r>
    <x v="0"/>
    <x v="0"/>
    <x v="0"/>
    <s v="UNITED_KINGDOM"/>
    <x v="12"/>
    <s v="UK_A"/>
    <s v="GNR_ST_NUCL_CND_E-33"/>
    <x v="4"/>
    <x v="0"/>
    <x v="6"/>
    <x v="0"/>
    <n v="20.915200000000002"/>
  </r>
  <r>
    <x v="0"/>
    <x v="0"/>
    <x v="0"/>
    <s v="UNITED_KINGDOM"/>
    <x v="12"/>
    <s v="UK_A"/>
    <s v="GNR_WT_WIND_ONS_RG1"/>
    <x v="2"/>
    <x v="0"/>
    <x v="3"/>
    <x v="0"/>
    <n v="4.1495695768389849E-17"/>
  </r>
  <r>
    <x v="0"/>
    <x v="0"/>
    <x v="0"/>
    <s v="UNITED_KINGDOM"/>
    <x v="12"/>
    <s v="UK_A"/>
    <s v="GNR_WT_WIND_ONS_RG2"/>
    <x v="2"/>
    <x v="0"/>
    <x v="3"/>
    <x v="0"/>
    <n v="3.4026470530079676E-15"/>
  </r>
  <r>
    <x v="0"/>
    <x v="0"/>
    <x v="0"/>
    <s v="UNITED_KINGDOM"/>
    <x v="12"/>
    <s v="UK_A"/>
    <s v="GNR_WT_WIND_ONS_RG3"/>
    <x v="2"/>
    <x v="0"/>
    <x v="3"/>
    <x v="0"/>
    <n v="-2.6349766812927556E-15"/>
  </r>
  <r>
    <x v="0"/>
    <x v="0"/>
    <x v="0"/>
    <s v="UNITED_KINGDOM"/>
    <x v="12"/>
    <s v="UK_A"/>
    <s v="GNR_ELYS_ELEC_AEC_Y-2050"/>
    <x v="1"/>
    <x v="1"/>
    <x v="2"/>
    <x v="0"/>
    <n v="172.35438435061275"/>
  </r>
  <r>
    <x v="0"/>
    <x v="0"/>
    <x v="0"/>
    <s v="UNITED_KINGDOM"/>
    <x v="12"/>
    <s v="UK_A"/>
    <s v="GNR_FC_H2_SOFCC_Y-2050"/>
    <x v="3"/>
    <x v="0"/>
    <x v="8"/>
    <x v="0"/>
    <n v="0.86951130492177842"/>
  </r>
  <r>
    <x v="0"/>
    <x v="0"/>
    <x v="0"/>
    <s v="UNITED_KINGDOM"/>
    <x v="12"/>
    <s v="UK_A"/>
    <s v="GNR_H2S_H2-CAVERN_Y-2050"/>
    <x v="3"/>
    <x v="1"/>
    <x v="4"/>
    <x v="0"/>
    <n v="48.030532755442884"/>
  </r>
  <r>
    <x v="0"/>
    <x v="0"/>
    <x v="0"/>
    <s v="UNITED_KINGDOM"/>
    <x v="12"/>
    <s v="UK_Offshore"/>
    <s v="GNR_WT_WIND_OFF"/>
    <x v="2"/>
    <x v="0"/>
    <x v="5"/>
    <x v="0"/>
    <n v="-9.3365315478877157E-16"/>
  </r>
  <r>
    <x v="0"/>
    <x v="0"/>
    <x v="0"/>
    <s v="UNITED_KINGDOM"/>
    <x v="12"/>
    <s v="UK00_A"/>
    <s v="GNR_WT_ONS-2050"/>
    <x v="2"/>
    <x v="0"/>
    <x v="3"/>
    <x v="0"/>
    <n v="478.19995977640116"/>
  </r>
  <r>
    <x v="0"/>
    <x v="0"/>
    <x v="0"/>
    <s v="UNITED_KINGDOM"/>
    <x v="12"/>
    <s v="UK00_A"/>
    <s v="GNR_PV-2050"/>
    <x v="6"/>
    <x v="0"/>
    <x v="7"/>
    <x v="0"/>
    <n v="77.464474751307009"/>
  </r>
  <r>
    <x v="0"/>
    <x v="0"/>
    <x v="0"/>
    <s v="UNITED_KINGDOM"/>
    <x v="13"/>
    <s v="UKNI_A"/>
    <s v="GNR_ELYS_ELEC_AEC_Y-2050"/>
    <x v="1"/>
    <x v="1"/>
    <x v="2"/>
    <x v="0"/>
    <n v="2.210915351942971E-2"/>
  </r>
  <r>
    <x v="0"/>
    <x v="0"/>
    <x v="0"/>
    <s v="UNITED_KINGDOM"/>
    <x v="13"/>
    <s v="UKNI_A"/>
    <s v="GNR_FC_H2_SOFCC_Y-2050"/>
    <x v="3"/>
    <x v="0"/>
    <x v="8"/>
    <x v="0"/>
    <n v="1.3789479050068304E-2"/>
  </r>
  <r>
    <x v="0"/>
    <x v="0"/>
    <x v="0"/>
    <s v="UNITED_KINGDOM"/>
    <x v="13"/>
    <s v="UKNI_A"/>
    <s v="GNR_H2S_H2-CAVERN_Y-2050"/>
    <x v="3"/>
    <x v="1"/>
    <x v="4"/>
    <x v="0"/>
    <n v="2.1888061984235405E-2"/>
  </r>
  <r>
    <x v="0"/>
    <x v="0"/>
    <x v="0"/>
    <s v="ESTONIA"/>
    <x v="14"/>
    <s v="EE_Enefit"/>
    <s v="ENEFIT_RETORT_DUMMY"/>
    <x v="8"/>
    <x v="0"/>
    <x v="6"/>
    <x v="0"/>
    <n v="1.7432399999999999"/>
  </r>
  <r>
    <x v="0"/>
    <x v="0"/>
    <x v="0"/>
    <s v="LATVIA"/>
    <x v="15"/>
    <s v="LV_Other_DH"/>
    <s v="GNR_RES_WTR_NOPMP"/>
    <x v="0"/>
    <x v="0"/>
    <x v="0"/>
    <x v="0"/>
    <n v="3.6736570448190329"/>
  </r>
  <r>
    <x v="0"/>
    <x v="0"/>
    <x v="0"/>
    <s v="LATVIA"/>
    <x v="15"/>
    <s v="LV_RigaR"/>
    <s v="GNR_ROR_WTR"/>
    <x v="0"/>
    <x v="0"/>
    <x v="1"/>
    <x v="0"/>
    <n v="3.0730378356164381"/>
  </r>
  <r>
    <x v="0"/>
    <x v="0"/>
    <x v="0"/>
    <s v="LITHUANIA"/>
    <x v="16"/>
    <s v="LT_KauU"/>
    <s v="GNR_ROR_WTR"/>
    <x v="0"/>
    <x v="0"/>
    <x v="1"/>
    <x v="0"/>
    <n v="0.60839802739726045"/>
  </r>
  <r>
    <x v="0"/>
    <x v="0"/>
    <x v="0"/>
    <s v="LITHUANIA"/>
    <x v="16"/>
    <s v="LT_Other_DH"/>
    <s v="GNR_ELYS_ELEC_AEC_Y-2050"/>
    <x v="1"/>
    <x v="1"/>
    <x v="2"/>
    <x v="0"/>
    <n v="39.005734717403058"/>
  </r>
  <r>
    <x v="0"/>
    <x v="0"/>
    <x v="0"/>
    <s v="LITHUANIA"/>
    <x v="16"/>
    <s v="LT_Other_DH"/>
    <s v="GNR_ELYS_ELEC_AEC_DH_Y-2050"/>
    <x v="1"/>
    <x v="2"/>
    <x v="2"/>
    <x v="0"/>
    <n v="1.4209052450811997E-16"/>
  </r>
  <r>
    <x v="0"/>
    <x v="0"/>
    <x v="0"/>
    <s v="LITHUANIA"/>
    <x v="16"/>
    <s v="LT_Other_DH"/>
    <s v="GNR_ELYS_ELEC_AEC_DH_Y-2050"/>
    <x v="1"/>
    <x v="1"/>
    <x v="2"/>
    <x v="0"/>
    <n v="1.6616692022353166E-15"/>
  </r>
  <r>
    <x v="0"/>
    <x v="0"/>
    <x v="0"/>
    <s v="LITHUANIA"/>
    <x v="16"/>
    <s v="LT00_A"/>
    <s v="GNR_PV_SUN"/>
    <x v="6"/>
    <x v="0"/>
    <x v="7"/>
    <x v="0"/>
    <n v="9.3845600000000001E-2"/>
  </r>
  <r>
    <x v="0"/>
    <x v="0"/>
    <x v="0"/>
    <s v="LITHUANIA"/>
    <x v="16"/>
    <s v="LT00_A"/>
    <s v="GNR_WT_ONS-2050"/>
    <x v="2"/>
    <x v="0"/>
    <x v="3"/>
    <x v="0"/>
    <n v="83.775282392158473"/>
  </r>
  <r>
    <x v="0"/>
    <x v="0"/>
    <x v="0"/>
    <s v="POLAND"/>
    <x v="17"/>
    <s v="PL_A"/>
    <s v="GNR_ELYS_ELEC_AEC_Y-2020"/>
    <x v="1"/>
    <x v="1"/>
    <x v="2"/>
    <x v="0"/>
    <n v="3.629999999999999"/>
  </r>
  <r>
    <x v="0"/>
    <x v="0"/>
    <x v="0"/>
    <s v="POLAND"/>
    <x v="17"/>
    <s v="PL_A"/>
    <s v="GNR_ELYS_ELEC_AEC_Y-2050"/>
    <x v="1"/>
    <x v="1"/>
    <x v="2"/>
    <x v="0"/>
    <n v="262.14540303901344"/>
  </r>
  <r>
    <x v="0"/>
    <x v="0"/>
    <x v="0"/>
    <s v="POLAND"/>
    <x v="17"/>
    <s v="PL_A"/>
    <s v="GNR_H2S_H2-CAVERN_Y-2050"/>
    <x v="3"/>
    <x v="1"/>
    <x v="4"/>
    <x v="0"/>
    <n v="46.86670162734012"/>
  </r>
  <r>
    <x v="0"/>
    <x v="0"/>
    <x v="0"/>
    <s v="POLAND"/>
    <x v="17"/>
    <s v="PL_Rural"/>
    <s v="GNR_ROR_WTR"/>
    <x v="0"/>
    <x v="0"/>
    <x v="1"/>
    <x v="0"/>
    <n v="2.2920302739726024"/>
  </r>
  <r>
    <x v="0"/>
    <x v="0"/>
    <x v="0"/>
    <s v="POLAND"/>
    <x v="17"/>
    <s v="PL00_A"/>
    <s v="GNR_PV_SUN"/>
    <x v="6"/>
    <x v="0"/>
    <x v="7"/>
    <x v="0"/>
    <n v="2.6217875999999993"/>
  </r>
  <r>
    <x v="0"/>
    <x v="0"/>
    <x v="0"/>
    <s v="POLAND"/>
    <x v="17"/>
    <s v="PL00_A"/>
    <s v="GNR_WT_WIND_OFF"/>
    <x v="2"/>
    <x v="0"/>
    <x v="5"/>
    <x v="0"/>
    <n v="3.1898586253239452"/>
  </r>
  <r>
    <x v="0"/>
    <x v="0"/>
    <x v="0"/>
    <s v="POLAND"/>
    <x v="17"/>
    <s v="PL00_A"/>
    <s v="GNR_WT_WIND_ONS_RG1"/>
    <x v="2"/>
    <x v="0"/>
    <x v="3"/>
    <x v="0"/>
    <n v="2.4897417461033912E-16"/>
  </r>
  <r>
    <x v="0"/>
    <x v="0"/>
    <x v="0"/>
    <s v="POLAND"/>
    <x v="17"/>
    <s v="PL00_A"/>
    <s v="GNR_WT_WIND_ONS_RG2"/>
    <x v="2"/>
    <x v="0"/>
    <x v="3"/>
    <x v="0"/>
    <n v="6.2243543652584774E-16"/>
  </r>
  <r>
    <x v="0"/>
    <x v="0"/>
    <x v="0"/>
    <s v="POLAND"/>
    <x v="17"/>
    <s v="PL00_A"/>
    <s v="GNR_WT_WIND_ONS_RG3"/>
    <x v="2"/>
    <x v="0"/>
    <x v="3"/>
    <x v="0"/>
    <n v="-5.186961971048731E-16"/>
  </r>
  <r>
    <x v="0"/>
    <x v="0"/>
    <x v="0"/>
    <s v="POLAND"/>
    <x v="17"/>
    <s v="PL00_A"/>
    <s v="GNR_WT_ONS-2050"/>
    <x v="2"/>
    <x v="0"/>
    <x v="3"/>
    <x v="0"/>
    <n v="526.41337919695582"/>
  </r>
  <r>
    <x v="0"/>
    <x v="0"/>
    <x v="0"/>
    <s v="BELGIUM"/>
    <x v="18"/>
    <s v="BE_A"/>
    <s v="GNR_ROR_WTR"/>
    <x v="0"/>
    <x v="0"/>
    <x v="1"/>
    <x v="0"/>
    <n v="0.53853698206904199"/>
  </r>
  <r>
    <x v="0"/>
    <x v="0"/>
    <x v="0"/>
    <s v="BELGIUM"/>
    <x v="18"/>
    <s v="BE_A"/>
    <s v="GNR_H2S_H2-CAVERN_Y-2050"/>
    <x v="3"/>
    <x v="1"/>
    <x v="4"/>
    <x v="0"/>
    <n v="-1.8274066021079382E-15"/>
  </r>
  <r>
    <x v="0"/>
    <x v="0"/>
    <x v="0"/>
    <s v="BELGIUM"/>
    <x v="18"/>
    <s v="BE00_A"/>
    <s v="GNR_PV_SUN"/>
    <x v="6"/>
    <x v="0"/>
    <x v="7"/>
    <x v="0"/>
    <n v="4.7720050133648327E-16"/>
  </r>
  <r>
    <x v="0"/>
    <x v="0"/>
    <x v="0"/>
    <s v="BELGIUM"/>
    <x v="18"/>
    <s v="BE00_A"/>
    <s v="GNR_WT_WIND_OFF"/>
    <x v="2"/>
    <x v="0"/>
    <x v="5"/>
    <x v="0"/>
    <n v="-3.9420910979970354E-16"/>
  </r>
  <r>
    <x v="0"/>
    <x v="0"/>
    <x v="0"/>
    <s v="BELGIUM"/>
    <x v="18"/>
    <s v="BE00_A"/>
    <s v="GNR_WT_WIND_ONS_RG2"/>
    <x v="2"/>
    <x v="0"/>
    <x v="3"/>
    <x v="0"/>
    <n v="8.2991391536779698E-17"/>
  </r>
  <r>
    <x v="0"/>
    <x v="0"/>
    <x v="0"/>
    <s v="BELGIUM"/>
    <x v="18"/>
    <s v="BE00_A"/>
    <s v="GNR_WT_WIND_ONS_RG3"/>
    <x v="2"/>
    <x v="0"/>
    <x v="3"/>
    <x v="0"/>
    <n v="-6.2243543652584779E-17"/>
  </r>
  <r>
    <x v="0"/>
    <x v="0"/>
    <x v="0"/>
    <s v="BELGIUM"/>
    <x v="18"/>
    <s v="BE00_A"/>
    <s v="GNR_WT_ONS-2050"/>
    <x v="2"/>
    <x v="0"/>
    <x v="3"/>
    <x v="0"/>
    <n v="35.320540000000001"/>
  </r>
  <r>
    <x v="0"/>
    <x v="0"/>
    <x v="0"/>
    <s v="BELGIUM"/>
    <x v="18"/>
    <s v="BE00_A"/>
    <s v="GNR_PV-2050"/>
    <x v="6"/>
    <x v="0"/>
    <x v="7"/>
    <x v="0"/>
    <n v="14.417560466770826"/>
  </r>
  <r>
    <x v="0"/>
    <x v="0"/>
    <x v="0"/>
    <s v="FRANCE"/>
    <x v="19"/>
    <s v="FR_A"/>
    <s v="GNR_PV_SUN"/>
    <x v="6"/>
    <x v="0"/>
    <x v="7"/>
    <x v="0"/>
    <n v="-7.4692252383101725E-16"/>
  </r>
  <r>
    <x v="0"/>
    <x v="0"/>
    <x v="0"/>
    <s v="FRANCE"/>
    <x v="19"/>
    <s v="FR_A"/>
    <s v="GNR_RES_WTR_NOPMP"/>
    <x v="0"/>
    <x v="0"/>
    <x v="0"/>
    <x v="0"/>
    <n v="36.098900810145018"/>
  </r>
  <r>
    <x v="0"/>
    <x v="0"/>
    <x v="0"/>
    <s v="FRANCE"/>
    <x v="19"/>
    <s v="FR_A"/>
    <s v="GNR_ROR_WTR"/>
    <x v="0"/>
    <x v="0"/>
    <x v="1"/>
    <x v="0"/>
    <n v="25.385621770848967"/>
  </r>
  <r>
    <x v="0"/>
    <x v="0"/>
    <x v="0"/>
    <s v="FRANCE"/>
    <x v="19"/>
    <s v="FR_A"/>
    <s v="GNR_ST_NUCL_CND_E-33"/>
    <x v="4"/>
    <x v="0"/>
    <x v="6"/>
    <x v="0"/>
    <n v="149.27677093345633"/>
  </r>
  <r>
    <x v="0"/>
    <x v="0"/>
    <x v="0"/>
    <s v="FRANCE"/>
    <x v="19"/>
    <s v="FR_A"/>
    <s v="GNR_WT_WIND_ONS_RG1"/>
    <x v="2"/>
    <x v="0"/>
    <x v="3"/>
    <x v="0"/>
    <n v="1.5560885913146194E-15"/>
  </r>
  <r>
    <x v="0"/>
    <x v="0"/>
    <x v="0"/>
    <s v="FRANCE"/>
    <x v="19"/>
    <s v="FR_A"/>
    <s v="GNR_WT_WIND_ONS_RG2"/>
    <x v="2"/>
    <x v="0"/>
    <x v="3"/>
    <x v="0"/>
    <n v="6.2243543652584774E-16"/>
  </r>
  <r>
    <x v="0"/>
    <x v="0"/>
    <x v="0"/>
    <s v="FRANCE"/>
    <x v="19"/>
    <s v="FR_A"/>
    <s v="GNR_ELYS_ELEC_AEC_Y-2020"/>
    <x v="1"/>
    <x v="1"/>
    <x v="2"/>
    <x v="0"/>
    <n v="18.608237091386432"/>
  </r>
  <r>
    <x v="0"/>
    <x v="0"/>
    <x v="0"/>
    <s v="FRANCE"/>
    <x v="19"/>
    <s v="FR_A"/>
    <s v="GNR_ELYS_ELEC_AEC_Y-2050"/>
    <x v="1"/>
    <x v="1"/>
    <x v="2"/>
    <x v="0"/>
    <n v="163.70483706581146"/>
  </r>
  <r>
    <x v="0"/>
    <x v="0"/>
    <x v="0"/>
    <s v="FRANCE"/>
    <x v="19"/>
    <s v="FR_A"/>
    <s v="GNR_H2S_H2-CAVERN_Y-2050"/>
    <x v="3"/>
    <x v="1"/>
    <x v="4"/>
    <x v="0"/>
    <n v="61.841474149696232"/>
  </r>
  <r>
    <x v="0"/>
    <x v="0"/>
    <x v="0"/>
    <s v="FRANCE"/>
    <x v="19"/>
    <s v="FR_Offshore"/>
    <s v="GNR_WT_WIND_OFF"/>
    <x v="2"/>
    <x v="0"/>
    <x v="5"/>
    <x v="0"/>
    <n v="9.0434850939872913"/>
  </r>
  <r>
    <x v="0"/>
    <x v="0"/>
    <x v="0"/>
    <s v="FRANCE"/>
    <x v="19"/>
    <s v="FR00_A"/>
    <s v="GNR_WT_ONS-2050"/>
    <x v="2"/>
    <x v="0"/>
    <x v="3"/>
    <x v="0"/>
    <n v="338.32501131703719"/>
  </r>
  <r>
    <x v="0"/>
    <x v="0"/>
    <x v="0"/>
    <s v="FRANCE"/>
    <x v="19"/>
    <s v="FR00_A"/>
    <s v="GNR_PV-2050"/>
    <x v="6"/>
    <x v="0"/>
    <x v="7"/>
    <x v="0"/>
    <n v="185.017958283317"/>
  </r>
  <r>
    <x v="0"/>
    <x v="0"/>
    <x v="0"/>
    <s v="FRANCE"/>
    <x v="20"/>
    <s v="FR15_A"/>
    <s v="GNR_ST_MSW_CND_E-25_LS-220-MW-FEED_Y-2050"/>
    <x v="7"/>
    <x v="0"/>
    <x v="6"/>
    <x v="0"/>
    <n v="7.0667219932844888E-2"/>
  </r>
  <r>
    <x v="0"/>
    <x v="0"/>
    <x v="0"/>
    <s v="FRANCE"/>
    <x v="20"/>
    <s v="FR15_A"/>
    <s v="GNR_ELYS_ELEC_AEC_Y-2050"/>
    <x v="1"/>
    <x v="1"/>
    <x v="2"/>
    <x v="0"/>
    <n v="1.650338837137665"/>
  </r>
  <r>
    <x v="0"/>
    <x v="0"/>
    <x v="0"/>
    <s v="FRANCE"/>
    <x v="20"/>
    <s v="FR15_A"/>
    <s v="GNR_FC_H2_SOFCC_Y-2050"/>
    <x v="3"/>
    <x v="0"/>
    <x v="8"/>
    <x v="0"/>
    <n v="1.0293163327227621"/>
  </r>
  <r>
    <x v="0"/>
    <x v="0"/>
    <x v="0"/>
    <s v="FRANCE"/>
    <x v="20"/>
    <s v="FR15_A"/>
    <s v="GNR_H2S_H2-CAVERN_Y-2050"/>
    <x v="3"/>
    <x v="1"/>
    <x v="4"/>
    <x v="0"/>
    <n v="1.6338354487662892"/>
  </r>
  <r>
    <x v="0"/>
    <x v="0"/>
    <x v="0"/>
    <s v="FRANCE"/>
    <x v="20"/>
    <s v="FR15_A"/>
    <s v="GNR_WT_ONS-2050"/>
    <x v="2"/>
    <x v="0"/>
    <x v="3"/>
    <x v="0"/>
    <n v="1.3390296195555431"/>
  </r>
  <r>
    <x v="0"/>
    <x v="0"/>
    <x v="0"/>
    <s v="FRANCE"/>
    <x v="20"/>
    <s v="FR15_A"/>
    <s v="GNR_PV-2050"/>
    <x v="6"/>
    <x v="0"/>
    <x v="7"/>
    <x v="0"/>
    <n v="3.7157695660064038"/>
  </r>
  <r>
    <x v="0"/>
    <x v="0"/>
    <x v="0"/>
    <s v="ITALY"/>
    <x v="21"/>
    <s v="ITCA_A"/>
    <s v="GNR_CC_NGAS_CND_E-56"/>
    <x v="9"/>
    <x v="0"/>
    <x v="6"/>
    <x v="0"/>
    <n v="-1.659827830735594E-16"/>
  </r>
  <r>
    <x v="0"/>
    <x v="0"/>
    <x v="0"/>
    <s v="ITALY"/>
    <x v="21"/>
    <s v="ITCA_A"/>
    <s v="GNR_PV_SUN"/>
    <x v="6"/>
    <x v="0"/>
    <x v="7"/>
    <x v="0"/>
    <n v="-6.4318328441004261E-16"/>
  </r>
  <r>
    <x v="0"/>
    <x v="0"/>
    <x v="0"/>
    <s v="ITALY"/>
    <x v="21"/>
    <s v="ITCA_A"/>
    <s v="GNR_RES_WTR_NOPMP"/>
    <x v="0"/>
    <x v="0"/>
    <x v="0"/>
    <x v="0"/>
    <n v="0.83051241360493477"/>
  </r>
  <r>
    <x v="0"/>
    <x v="0"/>
    <x v="0"/>
    <s v="ITALY"/>
    <x v="21"/>
    <s v="ITCA_A"/>
    <s v="GNR_RES_WTR_PMP_MC-01"/>
    <x v="0"/>
    <x v="0"/>
    <x v="0"/>
    <x v="0"/>
    <n v="0.42820997318170501"/>
  </r>
  <r>
    <x v="0"/>
    <x v="0"/>
    <x v="0"/>
    <s v="ITALY"/>
    <x v="21"/>
    <s v="ITCA_A"/>
    <s v="GNR_ROR_WTR"/>
    <x v="0"/>
    <x v="0"/>
    <x v="1"/>
    <x v="0"/>
    <n v="2.7661081145595015"/>
  </r>
  <r>
    <x v="0"/>
    <x v="0"/>
    <x v="0"/>
    <s v="ITALY"/>
    <x v="21"/>
    <s v="ITCA_A"/>
    <s v="GNR_WT_WIND_ONS_RG2"/>
    <x v="2"/>
    <x v="0"/>
    <x v="3"/>
    <x v="0"/>
    <n v="7.0542682806262742E-16"/>
  </r>
  <r>
    <x v="0"/>
    <x v="0"/>
    <x v="0"/>
    <s v="ITALY"/>
    <x v="21"/>
    <s v="ITCA_A"/>
    <s v="GNR_ELYS_ELEC_AEC_Y-2020"/>
    <x v="1"/>
    <x v="1"/>
    <x v="2"/>
    <x v="0"/>
    <n v="0.77060300790000014"/>
  </r>
  <r>
    <x v="0"/>
    <x v="0"/>
    <x v="0"/>
    <s v="ITALY"/>
    <x v="21"/>
    <s v="ITCA_A"/>
    <s v="GNR_WT_ONS-2050"/>
    <x v="2"/>
    <x v="0"/>
    <x v="3"/>
    <x v="0"/>
    <n v="3.4963598572406072E-2"/>
  </r>
  <r>
    <x v="0"/>
    <x v="0"/>
    <x v="0"/>
    <s v="ITALY"/>
    <x v="21"/>
    <s v="ITCA_A"/>
    <s v="GNR_PV-2050"/>
    <x v="6"/>
    <x v="0"/>
    <x v="7"/>
    <x v="0"/>
    <n v="6.5700820453631996"/>
  </r>
  <r>
    <x v="0"/>
    <x v="0"/>
    <x v="0"/>
    <s v="ITALY"/>
    <x v="22"/>
    <s v="ITCN_A"/>
    <s v="GNR_GEO_HEAT_EO"/>
    <x v="10"/>
    <x v="0"/>
    <x v="6"/>
    <x v="0"/>
    <n v="-1.8673063095775431E-15"/>
  </r>
  <r>
    <x v="0"/>
    <x v="0"/>
    <x v="0"/>
    <s v="ITALY"/>
    <x v="22"/>
    <s v="ITCN_A"/>
    <s v="GNR_PV_SUN"/>
    <x v="6"/>
    <x v="0"/>
    <x v="7"/>
    <x v="0"/>
    <n v="-1.2448708730516956E-16"/>
  </r>
  <r>
    <x v="0"/>
    <x v="0"/>
    <x v="0"/>
    <s v="ITALY"/>
    <x v="22"/>
    <s v="ITCN_A"/>
    <s v="GNR_RES_WTR_NOPMP"/>
    <x v="0"/>
    <x v="0"/>
    <x v="0"/>
    <x v="0"/>
    <n v="0.4880657941961361"/>
  </r>
  <r>
    <x v="0"/>
    <x v="0"/>
    <x v="0"/>
    <s v="ITALY"/>
    <x v="22"/>
    <s v="ITCN_A"/>
    <s v="GNR_RES_WTR_PMP_MC-01"/>
    <x v="0"/>
    <x v="0"/>
    <x v="0"/>
    <x v="0"/>
    <n v="0.25164541458985507"/>
  </r>
  <r>
    <x v="0"/>
    <x v="0"/>
    <x v="0"/>
    <s v="ITALY"/>
    <x v="22"/>
    <s v="ITCN_A"/>
    <s v="GNR_ROR_WTR"/>
    <x v="0"/>
    <x v="0"/>
    <x v="1"/>
    <x v="0"/>
    <n v="1.6255539732450739"/>
  </r>
  <r>
    <x v="0"/>
    <x v="0"/>
    <x v="0"/>
    <s v="ITALY"/>
    <x v="22"/>
    <s v="ITCN_A"/>
    <s v="GNR_ELYS_ELEC_AEC_Y-2020"/>
    <x v="1"/>
    <x v="1"/>
    <x v="2"/>
    <x v="0"/>
    <n v="0.61634040303694548"/>
  </r>
  <r>
    <x v="0"/>
    <x v="0"/>
    <x v="0"/>
    <s v="ITALY"/>
    <x v="22"/>
    <s v="ITCN_A"/>
    <s v="GNR_PV-2050"/>
    <x v="6"/>
    <x v="0"/>
    <x v="7"/>
    <x v="0"/>
    <n v="4.9396620318155593"/>
  </r>
  <r>
    <x v="0"/>
    <x v="0"/>
    <x v="0"/>
    <s v="ITALY"/>
    <x v="23"/>
    <s v="ITCS_A"/>
    <s v="GNR_PV_SUN"/>
    <x v="6"/>
    <x v="0"/>
    <x v="7"/>
    <x v="0"/>
    <n v="5.3944404498906807E-16"/>
  </r>
  <r>
    <x v="0"/>
    <x v="0"/>
    <x v="0"/>
    <s v="ITALY"/>
    <x v="23"/>
    <s v="ITCS_A"/>
    <s v="GNR_RES_WTR_NOPMP"/>
    <x v="0"/>
    <x v="0"/>
    <x v="0"/>
    <x v="0"/>
    <n v="2.5213741115393224"/>
  </r>
  <r>
    <x v="0"/>
    <x v="0"/>
    <x v="0"/>
    <s v="ITALY"/>
    <x v="23"/>
    <s v="ITCS_A"/>
    <s v="GNR_RES_WTR_PMP_MC-01"/>
    <x v="0"/>
    <x v="0"/>
    <x v="0"/>
    <x v="0"/>
    <n v="1.4578344422965399"/>
  </r>
  <r>
    <x v="0"/>
    <x v="0"/>
    <x v="0"/>
    <s v="ITALY"/>
    <x v="23"/>
    <s v="ITCS_A"/>
    <s v="GNR_ROR_WTR"/>
    <x v="0"/>
    <x v="0"/>
    <x v="1"/>
    <x v="0"/>
    <n v="8.5860950317402693"/>
  </r>
  <r>
    <x v="0"/>
    <x v="0"/>
    <x v="0"/>
    <s v="ITALY"/>
    <x v="23"/>
    <s v="ITCS_A"/>
    <s v="GNR_WT_WIND_ONS_RG2"/>
    <x v="2"/>
    <x v="0"/>
    <x v="3"/>
    <x v="0"/>
    <n v="5.9131366469955539E-16"/>
  </r>
  <r>
    <x v="0"/>
    <x v="0"/>
    <x v="0"/>
    <s v="ITALY"/>
    <x v="23"/>
    <s v="ITCS_A"/>
    <s v="GNR_ELYS_ELEC_AEC_Y-2020"/>
    <x v="1"/>
    <x v="1"/>
    <x v="2"/>
    <x v="0"/>
    <n v="1.457178804195667"/>
  </r>
  <r>
    <x v="0"/>
    <x v="0"/>
    <x v="0"/>
    <s v="ITALY"/>
    <x v="23"/>
    <s v="ITCS_A"/>
    <s v="GNR_PV-2050"/>
    <x v="6"/>
    <x v="0"/>
    <x v="7"/>
    <x v="0"/>
    <n v="23.847923927493493"/>
  </r>
  <r>
    <x v="0"/>
    <x v="0"/>
    <x v="0"/>
    <s v="ITALY"/>
    <x v="24"/>
    <s v="ITN1_A"/>
    <s v="GNR_CC_NGAS_CND_E-56"/>
    <x v="9"/>
    <x v="0"/>
    <x v="6"/>
    <x v="0"/>
    <n v="2.6557245291769503E-15"/>
  </r>
  <r>
    <x v="0"/>
    <x v="0"/>
    <x v="0"/>
    <s v="ITALY"/>
    <x v="24"/>
    <s v="ITN1_A"/>
    <s v="GNR_PV_SUN"/>
    <x v="6"/>
    <x v="0"/>
    <x v="7"/>
    <x v="0"/>
    <n v="6.4007110722741342E-15"/>
  </r>
  <r>
    <x v="0"/>
    <x v="0"/>
    <x v="0"/>
    <s v="ITALY"/>
    <x v="24"/>
    <s v="ITN1_A"/>
    <s v="GNR_RES_WTR_NOPMP"/>
    <x v="0"/>
    <x v="0"/>
    <x v="0"/>
    <x v="0"/>
    <n v="13.695031332904435"/>
  </r>
  <r>
    <x v="0"/>
    <x v="0"/>
    <x v="0"/>
    <s v="ITALY"/>
    <x v="24"/>
    <s v="ITN1_A"/>
    <s v="GNR_RES_WTR_PMP_MC-01"/>
    <x v="0"/>
    <x v="0"/>
    <x v="0"/>
    <x v="0"/>
    <n v="7.1789512925859329"/>
  </r>
  <r>
    <x v="0"/>
    <x v="0"/>
    <x v="0"/>
    <s v="ITALY"/>
    <x v="24"/>
    <s v="ITN1_A"/>
    <s v="GNR_ROR_WTR"/>
    <x v="0"/>
    <x v="0"/>
    <x v="1"/>
    <x v="0"/>
    <n v="44.828031032202986"/>
  </r>
  <r>
    <x v="0"/>
    <x v="0"/>
    <x v="0"/>
    <s v="ITALY"/>
    <x v="24"/>
    <s v="ITN1_A"/>
    <s v="GNR_ST_WOOD_CND_E-50"/>
    <x v="11"/>
    <x v="0"/>
    <x v="6"/>
    <x v="0"/>
    <n v="4.1495695768389849E-17"/>
  </r>
  <r>
    <x v="0"/>
    <x v="0"/>
    <x v="0"/>
    <s v="ITALY"/>
    <x v="24"/>
    <s v="ITN1_A"/>
    <s v="GNR_ELYS_ELEC_AEC_Y-2020"/>
    <x v="1"/>
    <x v="1"/>
    <x v="2"/>
    <x v="0"/>
    <n v="6.5845204428918063"/>
  </r>
  <r>
    <x v="0"/>
    <x v="0"/>
    <x v="0"/>
    <s v="ITALY"/>
    <x v="24"/>
    <s v="ITN1_A"/>
    <s v="GNR_ELYS_ELEC_AEC_Y-2050"/>
    <x v="1"/>
    <x v="1"/>
    <x v="2"/>
    <x v="0"/>
    <n v="2.0232774771417361"/>
  </r>
  <r>
    <x v="0"/>
    <x v="0"/>
    <x v="0"/>
    <s v="ITALY"/>
    <x v="24"/>
    <s v="ITN1_A"/>
    <s v="GNR_PV-2050"/>
    <x v="6"/>
    <x v="0"/>
    <x v="7"/>
    <x v="0"/>
    <n v="88.048869158092359"/>
  </r>
  <r>
    <x v="0"/>
    <x v="0"/>
    <x v="0"/>
    <s v="ITALY"/>
    <x v="25"/>
    <s v="ITS1_A"/>
    <s v="GNR_CC_NGAS_CND_E-56"/>
    <x v="9"/>
    <x v="0"/>
    <x v="6"/>
    <x v="0"/>
    <n v="-1.659827830735594E-16"/>
  </r>
  <r>
    <x v="0"/>
    <x v="0"/>
    <x v="0"/>
    <s v="ITALY"/>
    <x v="25"/>
    <s v="ITS1_A"/>
    <s v="GNR_PV_SUN"/>
    <x v="6"/>
    <x v="0"/>
    <x v="7"/>
    <x v="0"/>
    <n v="-7.8841821959940709E-16"/>
  </r>
  <r>
    <x v="0"/>
    <x v="0"/>
    <x v="0"/>
    <s v="ITALY"/>
    <x v="25"/>
    <s v="ITS1_A"/>
    <s v="GNR_RES_WTR_NOPMP"/>
    <x v="0"/>
    <x v="0"/>
    <x v="0"/>
    <x v="0"/>
    <n v="0.20532738876183304"/>
  </r>
  <r>
    <x v="0"/>
    <x v="0"/>
    <x v="0"/>
    <s v="ITALY"/>
    <x v="25"/>
    <s v="ITS1_A"/>
    <s v="GNR_RES_WTR_PMP_MC-01"/>
    <x v="0"/>
    <x v="0"/>
    <x v="0"/>
    <x v="0"/>
    <n v="0.13267771650704999"/>
  </r>
  <r>
    <x v="0"/>
    <x v="0"/>
    <x v="0"/>
    <s v="ITALY"/>
    <x v="25"/>
    <s v="ITS1_A"/>
    <s v="GNR_ROR_WTR"/>
    <x v="0"/>
    <x v="0"/>
    <x v="1"/>
    <x v="0"/>
    <n v="0.74278385310491535"/>
  </r>
  <r>
    <x v="0"/>
    <x v="0"/>
    <x v="0"/>
    <s v="ITALY"/>
    <x v="25"/>
    <s v="ITS1_A"/>
    <s v="GNR_WT_WIND_ONS_RG2"/>
    <x v="2"/>
    <x v="0"/>
    <x v="3"/>
    <x v="0"/>
    <n v="9.751488505571615E-16"/>
  </r>
  <r>
    <x v="0"/>
    <x v="0"/>
    <x v="0"/>
    <s v="ITALY"/>
    <x v="25"/>
    <s v="ITS1_A"/>
    <s v="GNR_ELYS_ELEC_AEC_Y-2020"/>
    <x v="1"/>
    <x v="1"/>
    <x v="2"/>
    <x v="0"/>
    <n v="0.69354270711000021"/>
  </r>
  <r>
    <x v="0"/>
    <x v="0"/>
    <x v="0"/>
    <s v="ITALY"/>
    <x v="25"/>
    <s v="ITS1_A"/>
    <s v="GNR_ELYS_ELEC_AEC_Y-2050"/>
    <x v="1"/>
    <x v="1"/>
    <x v="2"/>
    <x v="0"/>
    <n v="60.860310172859506"/>
  </r>
  <r>
    <x v="0"/>
    <x v="0"/>
    <x v="0"/>
    <s v="ITALY"/>
    <x v="25"/>
    <s v="ITS1_A"/>
    <s v="GNR_WT_ONS-2050"/>
    <x v="2"/>
    <x v="0"/>
    <x v="3"/>
    <x v="0"/>
    <n v="105.29103783922908"/>
  </r>
  <r>
    <x v="0"/>
    <x v="0"/>
    <x v="0"/>
    <s v="ITALY"/>
    <x v="25"/>
    <s v="ITS1_A"/>
    <s v="GNR_PV-2050"/>
    <x v="6"/>
    <x v="0"/>
    <x v="7"/>
    <x v="0"/>
    <n v="21.087124112135026"/>
  </r>
  <r>
    <x v="0"/>
    <x v="0"/>
    <x v="0"/>
    <s v="ITALY"/>
    <x v="26"/>
    <s v="ITSA_A"/>
    <s v="GNR_CC_NGAS_CND_E-56"/>
    <x v="9"/>
    <x v="0"/>
    <x v="6"/>
    <x v="0"/>
    <n v="8.2991391536779698E-17"/>
  </r>
  <r>
    <x v="0"/>
    <x v="0"/>
    <x v="0"/>
    <s v="ITALY"/>
    <x v="26"/>
    <s v="ITSA_A"/>
    <s v="GNR_PV_SUN"/>
    <x v="6"/>
    <x v="0"/>
    <x v="7"/>
    <x v="0"/>
    <n v="2.4897417461033912E-16"/>
  </r>
  <r>
    <x v="0"/>
    <x v="0"/>
    <x v="0"/>
    <s v="ITALY"/>
    <x v="26"/>
    <s v="ITSA_A"/>
    <s v="GNR_RES_WTR_NOPMP"/>
    <x v="0"/>
    <x v="0"/>
    <x v="0"/>
    <x v="0"/>
    <n v="0.15788362228628947"/>
  </r>
  <r>
    <x v="0"/>
    <x v="0"/>
    <x v="0"/>
    <s v="ITALY"/>
    <x v="26"/>
    <s v="ITSA_A"/>
    <s v="GNR_RES_WTR_PMP_MC-01"/>
    <x v="0"/>
    <x v="0"/>
    <x v="0"/>
    <x v="0"/>
    <n v="9.1286803251490009E-2"/>
  </r>
  <r>
    <x v="0"/>
    <x v="0"/>
    <x v="0"/>
    <s v="ITALY"/>
    <x v="26"/>
    <s v="ITSA_A"/>
    <s v="GNR_ROR_WTR"/>
    <x v="0"/>
    <x v="0"/>
    <x v="1"/>
    <x v="0"/>
    <n v="0.50382494153537949"/>
  </r>
  <r>
    <x v="0"/>
    <x v="0"/>
    <x v="0"/>
    <s v="ITALY"/>
    <x v="26"/>
    <s v="ITSA_A"/>
    <s v="GNR_WT_WIND_ONS_RG1"/>
    <x v="2"/>
    <x v="0"/>
    <x v="3"/>
    <x v="0"/>
    <n v="1.4523493518936448E-16"/>
  </r>
  <r>
    <x v="0"/>
    <x v="0"/>
    <x v="0"/>
    <s v="ITALY"/>
    <x v="26"/>
    <s v="ITSA_A"/>
    <s v="GNR_WT_WIND_ONS_RG2"/>
    <x v="2"/>
    <x v="0"/>
    <x v="3"/>
    <x v="0"/>
    <n v="-1.4523493518936448E-16"/>
  </r>
  <r>
    <x v="0"/>
    <x v="0"/>
    <x v="0"/>
    <s v="ITALY"/>
    <x v="26"/>
    <s v="ITSA_A"/>
    <s v="GNR_WT_ONS-2050"/>
    <x v="2"/>
    <x v="0"/>
    <x v="3"/>
    <x v="0"/>
    <n v="4.7771252202900145"/>
  </r>
  <r>
    <x v="0"/>
    <x v="0"/>
    <x v="0"/>
    <s v="ITALY"/>
    <x v="26"/>
    <s v="ITSA_A"/>
    <s v="GNR_PV-2050"/>
    <x v="6"/>
    <x v="0"/>
    <x v="7"/>
    <x v="0"/>
    <n v="3.098689917082035"/>
  </r>
  <r>
    <x v="0"/>
    <x v="0"/>
    <x v="0"/>
    <s v="ITALY"/>
    <x v="27"/>
    <s v="ITSI_A"/>
    <s v="GNR_CC_NGAS_CND_E-56"/>
    <x v="9"/>
    <x v="0"/>
    <x v="6"/>
    <x v="0"/>
    <n v="-1.659827830735594E-16"/>
  </r>
  <r>
    <x v="0"/>
    <x v="0"/>
    <x v="0"/>
    <s v="ITALY"/>
    <x v="27"/>
    <s v="ITSI_A"/>
    <s v="GNR_PV_SUN"/>
    <x v="6"/>
    <x v="0"/>
    <x v="7"/>
    <x v="0"/>
    <n v="-2.0747847884194924E-17"/>
  </r>
  <r>
    <x v="0"/>
    <x v="0"/>
    <x v="0"/>
    <s v="ITALY"/>
    <x v="27"/>
    <s v="ITSI_A"/>
    <s v="GNR_RES_WTR_NOPMP"/>
    <x v="0"/>
    <x v="0"/>
    <x v="0"/>
    <x v="0"/>
    <n v="0.21872895722114785"/>
  </r>
  <r>
    <x v="0"/>
    <x v="0"/>
    <x v="0"/>
    <s v="ITALY"/>
    <x v="27"/>
    <s v="ITSI_A"/>
    <s v="GNR_RES_WTR_PMP_MC-01"/>
    <x v="0"/>
    <x v="0"/>
    <x v="0"/>
    <x v="0"/>
    <n v="0.11277606375463997"/>
  </r>
  <r>
    <x v="0"/>
    <x v="0"/>
    <x v="0"/>
    <s v="ITALY"/>
    <x v="27"/>
    <s v="ITSI_A"/>
    <s v="GNR_ROR_WTR"/>
    <x v="0"/>
    <x v="0"/>
    <x v="1"/>
    <x v="0"/>
    <n v="0.57556786760004641"/>
  </r>
  <r>
    <x v="0"/>
    <x v="0"/>
    <x v="0"/>
    <s v="ITALY"/>
    <x v="27"/>
    <s v="ITSI_A"/>
    <s v="GNR_WT_WIND_ONS_RG1"/>
    <x v="2"/>
    <x v="0"/>
    <x v="3"/>
    <x v="0"/>
    <n v="-2.3860025066824163E-16"/>
  </r>
  <r>
    <x v="0"/>
    <x v="0"/>
    <x v="0"/>
    <s v="ITALY"/>
    <x v="27"/>
    <s v="ITSI_A"/>
    <s v="GNR_WT_WIND_ONS_RG2"/>
    <x v="2"/>
    <x v="0"/>
    <x v="3"/>
    <x v="0"/>
    <n v="-3.9420910979970354E-16"/>
  </r>
  <r>
    <x v="0"/>
    <x v="0"/>
    <x v="0"/>
    <s v="ITALY"/>
    <x v="27"/>
    <s v="ITSI_A"/>
    <s v="GNR_ELYS_ELEC_AEC_Y-2020"/>
    <x v="1"/>
    <x v="1"/>
    <x v="2"/>
    <x v="0"/>
    <n v="1.04149852785"/>
  </r>
  <r>
    <x v="0"/>
    <x v="0"/>
    <x v="0"/>
    <s v="ITALY"/>
    <x v="27"/>
    <s v="ITSI_A"/>
    <s v="GNR_ELYS_ELEC_AEC_Y-2050"/>
    <x v="1"/>
    <x v="1"/>
    <x v="2"/>
    <x v="0"/>
    <n v="22.289662650775472"/>
  </r>
  <r>
    <x v="0"/>
    <x v="0"/>
    <x v="0"/>
    <s v="ITALY"/>
    <x v="27"/>
    <s v="ITSI_A"/>
    <s v="GNR_PV-2050"/>
    <x v="6"/>
    <x v="0"/>
    <x v="7"/>
    <x v="0"/>
    <n v="43.362714101555348"/>
  </r>
  <r>
    <x v="0"/>
    <x v="0"/>
    <x v="0"/>
    <s v="SWITZERLAND"/>
    <x v="28"/>
    <s v="CH_A"/>
    <s v="GNR_RES_WTR_NOPMP"/>
    <x v="0"/>
    <x v="0"/>
    <x v="0"/>
    <x v="0"/>
    <n v="32.697582417582424"/>
  </r>
  <r>
    <x v="0"/>
    <x v="0"/>
    <x v="0"/>
    <s v="SWITZERLAND"/>
    <x v="28"/>
    <s v="CH_A"/>
    <s v="GNR_ROR_WTR"/>
    <x v="0"/>
    <x v="0"/>
    <x v="1"/>
    <x v="0"/>
    <n v="15.971626130592528"/>
  </r>
  <r>
    <x v="0"/>
    <x v="0"/>
    <x v="0"/>
    <s v="SWITZERLAND"/>
    <x v="28"/>
    <s v="CH_A"/>
    <s v="GNR_ST_MSW_CND_E-20"/>
    <x v="7"/>
    <x v="0"/>
    <x v="6"/>
    <x v="0"/>
    <n v="-9.9589669844135647E-16"/>
  </r>
  <r>
    <x v="0"/>
    <x v="0"/>
    <x v="0"/>
    <s v="SWITZERLAND"/>
    <x v="28"/>
    <s v="CH_A"/>
    <s v="GNR_ST_NUCL_CND_E-33"/>
    <x v="4"/>
    <x v="0"/>
    <x v="6"/>
    <x v="0"/>
    <n v="23.544445371701897"/>
  </r>
  <r>
    <x v="0"/>
    <x v="0"/>
    <x v="0"/>
    <s v="SWITZERLAND"/>
    <x v="28"/>
    <s v="CH_A"/>
    <s v="GNR_ELYS_ELEC_AEC_Y-2050"/>
    <x v="1"/>
    <x v="1"/>
    <x v="2"/>
    <x v="0"/>
    <n v="37.371350856949398"/>
  </r>
  <r>
    <x v="0"/>
    <x v="0"/>
    <x v="0"/>
    <s v="SWITZERLAND"/>
    <x v="28"/>
    <s v="CH_A"/>
    <s v="GNR_ELYS_ELEC_AEC_DH_Y-2050"/>
    <x v="1"/>
    <x v="2"/>
    <x v="2"/>
    <x v="0"/>
    <n v="6.3151344225831104E-17"/>
  </r>
  <r>
    <x v="0"/>
    <x v="0"/>
    <x v="0"/>
    <s v="SWITZERLAND"/>
    <x v="28"/>
    <s v="CH_A"/>
    <s v="GNR_ELYS_ELEC_AEC_DH_Y-2050"/>
    <x v="1"/>
    <x v="1"/>
    <x v="2"/>
    <x v="0"/>
    <n v="7.3851964543791827E-16"/>
  </r>
  <r>
    <x v="0"/>
    <x v="0"/>
    <x v="0"/>
    <s v="SWITZERLAND"/>
    <x v="28"/>
    <s v="CH00_A"/>
    <s v="GNR_PV_SUN"/>
    <x v="6"/>
    <x v="0"/>
    <x v="7"/>
    <x v="0"/>
    <n v="4.1495695768389849E-17"/>
  </r>
  <r>
    <x v="0"/>
    <x v="0"/>
    <x v="0"/>
    <s v="SWITZERLAND"/>
    <x v="28"/>
    <s v="CH00_A"/>
    <s v="GNR_PV-2050"/>
    <x v="6"/>
    <x v="0"/>
    <x v="7"/>
    <x v="0"/>
    <n v="77.927986297092062"/>
  </r>
  <r>
    <x v="0"/>
    <x v="0"/>
    <x v="0"/>
    <s v="AUSTRIA"/>
    <x v="29"/>
    <s v="AT_A"/>
    <s v="GNR_RES_WTR_PMP_MC-01"/>
    <x v="0"/>
    <x v="0"/>
    <x v="0"/>
    <x v="0"/>
    <n v="33.836703296703291"/>
  </r>
  <r>
    <x v="0"/>
    <x v="0"/>
    <x v="0"/>
    <s v="AUSTRIA"/>
    <x v="29"/>
    <s v="AT_A"/>
    <s v="GNR_ROR_WTR"/>
    <x v="0"/>
    <x v="0"/>
    <x v="1"/>
    <x v="0"/>
    <n v="22.668142465753412"/>
  </r>
  <r>
    <x v="0"/>
    <x v="0"/>
    <x v="0"/>
    <s v="AUSTRIA"/>
    <x v="29"/>
    <s v="AT_A"/>
    <s v="GNR_ELYS_ELEC_AEC_Y-2020"/>
    <x v="1"/>
    <x v="1"/>
    <x v="2"/>
    <x v="0"/>
    <n v="2.9122683102209108"/>
  </r>
  <r>
    <x v="0"/>
    <x v="0"/>
    <x v="0"/>
    <s v="AUSTRIA"/>
    <x v="29"/>
    <s v="AT00_A"/>
    <s v="GNR_PV_SUN"/>
    <x v="6"/>
    <x v="0"/>
    <x v="7"/>
    <x v="0"/>
    <n v="3.6308733797341119E-16"/>
  </r>
  <r>
    <x v="0"/>
    <x v="0"/>
    <x v="0"/>
    <s v="AUSTRIA"/>
    <x v="29"/>
    <s v="AT00_A"/>
    <s v="GNR_WT_WIND_ONS_RG1"/>
    <x v="2"/>
    <x v="0"/>
    <x v="3"/>
    <x v="0"/>
    <n v="-4.1495695768389849E-17"/>
  </r>
  <r>
    <x v="0"/>
    <x v="0"/>
    <x v="0"/>
    <s v="AUSTRIA"/>
    <x v="29"/>
    <s v="AT00_A"/>
    <s v="GNR_WT_WIND_ONS_RG2"/>
    <x v="2"/>
    <x v="0"/>
    <x v="3"/>
    <x v="0"/>
    <n v="1.3278622645884752E-15"/>
  </r>
  <r>
    <x v="0"/>
    <x v="0"/>
    <x v="0"/>
    <s v="AUSTRIA"/>
    <x v="29"/>
    <s v="AT00_A"/>
    <s v="GNR_WT_ONS-2050"/>
    <x v="2"/>
    <x v="0"/>
    <x v="3"/>
    <x v="0"/>
    <n v="30.734960639999986"/>
  </r>
  <r>
    <x v="0"/>
    <x v="0"/>
    <x v="0"/>
    <s v="CZECH_REPUBLIC"/>
    <x v="30"/>
    <s v="CZ_A"/>
    <s v="GNR_RES_WTR_NOPMP"/>
    <x v="0"/>
    <x v="0"/>
    <x v="0"/>
    <x v="0"/>
    <n v="2.2652060439560442"/>
  </r>
  <r>
    <x v="0"/>
    <x v="0"/>
    <x v="0"/>
    <s v="CZECH_REPUBLIC"/>
    <x v="30"/>
    <s v="CZ_A"/>
    <s v="GNR_ROR_WTR"/>
    <x v="0"/>
    <x v="0"/>
    <x v="1"/>
    <x v="0"/>
    <n v="0.94208863016261735"/>
  </r>
  <r>
    <x v="0"/>
    <x v="0"/>
    <x v="0"/>
    <s v="CZECH_REPUBLIC"/>
    <x v="30"/>
    <s v="CZ_A"/>
    <s v="GNR_ELYS_ELEC_AEC_Y-2050"/>
    <x v="1"/>
    <x v="1"/>
    <x v="2"/>
    <x v="0"/>
    <n v="8.463447678736328"/>
  </r>
  <r>
    <x v="0"/>
    <x v="0"/>
    <x v="0"/>
    <s v="CZECH_REPUBLIC"/>
    <x v="30"/>
    <s v="CZ00_A"/>
    <s v="GNR_PV_SUN"/>
    <x v="6"/>
    <x v="0"/>
    <x v="7"/>
    <x v="0"/>
    <n v="-4.3570480556809343E-16"/>
  </r>
  <r>
    <x v="0"/>
    <x v="0"/>
    <x v="0"/>
    <s v="CZECH_REPUBLIC"/>
    <x v="30"/>
    <s v="CZ00_A"/>
    <s v="GNR_WT_WIND_ONS_RG2"/>
    <x v="2"/>
    <x v="0"/>
    <x v="3"/>
    <x v="0"/>
    <n v="-4.1495695768389849E-17"/>
  </r>
  <r>
    <x v="0"/>
    <x v="0"/>
    <x v="0"/>
    <s v="CZECH_REPUBLIC"/>
    <x v="30"/>
    <s v="CZ00_A"/>
    <s v="GNR_WT_ONS-2050"/>
    <x v="2"/>
    <x v="0"/>
    <x v="3"/>
    <x v="0"/>
    <n v="60.937176162997169"/>
  </r>
  <r>
    <x v="0"/>
    <x v="0"/>
    <x v="0"/>
    <s v="CZECH_REPUBLIC"/>
    <x v="30"/>
    <s v="CZ00_A"/>
    <s v="GNR_PV-2050"/>
    <x v="6"/>
    <x v="0"/>
    <x v="7"/>
    <x v="0"/>
    <n v="13.9020903975591"/>
  </r>
  <r>
    <x v="0"/>
    <x v="0"/>
    <x v="0"/>
    <s v="SPAIN"/>
    <x v="31"/>
    <s v="ES_A"/>
    <s v="GNR_RES_WTR_NOPMP"/>
    <x v="0"/>
    <x v="0"/>
    <x v="0"/>
    <x v="0"/>
    <n v="33.000411823940908"/>
  </r>
  <r>
    <x v="0"/>
    <x v="0"/>
    <x v="0"/>
    <s v="SPAIN"/>
    <x v="31"/>
    <s v="ES_A"/>
    <s v="GNR_ROR_WTR"/>
    <x v="0"/>
    <x v="0"/>
    <x v="1"/>
    <x v="0"/>
    <n v="8.3225700397810503"/>
  </r>
  <r>
    <x v="0"/>
    <x v="0"/>
    <x v="0"/>
    <s v="SPAIN"/>
    <x v="31"/>
    <s v="ES_A"/>
    <s v="GNR_ST_MSW_CND_E-20"/>
    <x v="7"/>
    <x v="0"/>
    <x v="6"/>
    <x v="0"/>
    <n v="4.3751639999987664E-2"/>
  </r>
  <r>
    <x v="0"/>
    <x v="0"/>
    <x v="0"/>
    <s v="SPAIN"/>
    <x v="31"/>
    <s v="ES_A"/>
    <s v="GNR_ELYS_ELEC_AEC_Y-2020"/>
    <x v="1"/>
    <x v="1"/>
    <x v="2"/>
    <x v="0"/>
    <n v="6.533999999999998"/>
  </r>
  <r>
    <x v="0"/>
    <x v="0"/>
    <x v="0"/>
    <s v="SPAIN"/>
    <x v="31"/>
    <s v="ES_A"/>
    <s v="GNR_ELYS_ELEC_AEC_Y-2050"/>
    <x v="1"/>
    <x v="1"/>
    <x v="2"/>
    <x v="0"/>
    <n v="302.49213342354966"/>
  </r>
  <r>
    <x v="0"/>
    <x v="0"/>
    <x v="0"/>
    <s v="SPAIN"/>
    <x v="31"/>
    <s v="ES_A"/>
    <s v="GNR_H2S_H2-CAVERN_Y-2050"/>
    <x v="3"/>
    <x v="1"/>
    <x v="4"/>
    <x v="0"/>
    <n v="172.19184960431738"/>
  </r>
  <r>
    <x v="0"/>
    <x v="0"/>
    <x v="0"/>
    <s v="SPAIN"/>
    <x v="31"/>
    <s v="ES00_A"/>
    <s v="GNR_PV_SUN"/>
    <x v="6"/>
    <x v="0"/>
    <x v="7"/>
    <x v="0"/>
    <n v="2.4897417461033912E-16"/>
  </r>
  <r>
    <x v="0"/>
    <x v="0"/>
    <x v="0"/>
    <s v="SPAIN"/>
    <x v="31"/>
    <s v="ES00_A"/>
    <s v="GNR_WT_WIND_ONS_RG1"/>
    <x v="2"/>
    <x v="0"/>
    <x v="3"/>
    <x v="0"/>
    <n v="-2.3030111151456365E-15"/>
  </r>
  <r>
    <x v="0"/>
    <x v="0"/>
    <x v="0"/>
    <s v="SPAIN"/>
    <x v="31"/>
    <s v="ES00_A"/>
    <s v="GNR_WT_WIND_ONS_RG2"/>
    <x v="2"/>
    <x v="0"/>
    <x v="3"/>
    <x v="0"/>
    <n v="1.6183321349672041E-15"/>
  </r>
  <r>
    <x v="0"/>
    <x v="0"/>
    <x v="0"/>
    <s v="SPAIN"/>
    <x v="31"/>
    <s v="ES00_A"/>
    <s v="GNR_WT_WIND_ONS_RG3"/>
    <x v="2"/>
    <x v="0"/>
    <x v="3"/>
    <x v="0"/>
    <n v="1.659827830735594E-16"/>
  </r>
  <r>
    <x v="0"/>
    <x v="0"/>
    <x v="0"/>
    <s v="SPAIN"/>
    <x v="31"/>
    <s v="ES00_A"/>
    <s v="GNR_WT_ONS-2050"/>
    <x v="2"/>
    <x v="0"/>
    <x v="3"/>
    <x v="0"/>
    <n v="140.16846195089448"/>
  </r>
  <r>
    <x v="0"/>
    <x v="0"/>
    <x v="0"/>
    <s v="SPAIN"/>
    <x v="31"/>
    <s v="ES00_A"/>
    <s v="GNR_PV-2050"/>
    <x v="6"/>
    <x v="0"/>
    <x v="7"/>
    <x v="0"/>
    <n v="504.32013937548464"/>
  </r>
  <r>
    <x v="0"/>
    <x v="0"/>
    <x v="0"/>
    <s v="PORTUGAL"/>
    <x v="32"/>
    <s v="PT_A"/>
    <s v="GNR_CC_NGAS_CND_E-56"/>
    <x v="9"/>
    <x v="0"/>
    <x v="6"/>
    <x v="0"/>
    <n v="3.3196556614711879E-16"/>
  </r>
  <r>
    <x v="0"/>
    <x v="0"/>
    <x v="0"/>
    <s v="PORTUGAL"/>
    <x v="32"/>
    <s v="PT_A"/>
    <s v="GNR_ES_WTR_PMP"/>
    <x v="1"/>
    <x v="0"/>
    <x v="9"/>
    <x v="0"/>
    <n v="0.11236577142857143"/>
  </r>
  <r>
    <x v="0"/>
    <x v="0"/>
    <x v="0"/>
    <s v="PORTUGAL"/>
    <x v="32"/>
    <s v="PT_A"/>
    <s v="GNR_RES_WTR_NOPMP"/>
    <x v="0"/>
    <x v="0"/>
    <x v="0"/>
    <x v="0"/>
    <n v="10.504780135752203"/>
  </r>
  <r>
    <x v="0"/>
    <x v="0"/>
    <x v="0"/>
    <s v="PORTUGAL"/>
    <x v="32"/>
    <s v="PT_A"/>
    <s v="GNR_ROR_WTR"/>
    <x v="0"/>
    <x v="0"/>
    <x v="1"/>
    <x v="0"/>
    <n v="1.8653288870062885"/>
  </r>
  <r>
    <x v="0"/>
    <x v="0"/>
    <x v="0"/>
    <s v="PORTUGAL"/>
    <x v="32"/>
    <s v="PT_A"/>
    <s v="GNR_ST_MSW_CND_E-20"/>
    <x v="7"/>
    <x v="0"/>
    <x v="6"/>
    <x v="0"/>
    <n v="1.9917933968827129E-15"/>
  </r>
  <r>
    <x v="0"/>
    <x v="0"/>
    <x v="0"/>
    <s v="PORTUGAL"/>
    <x v="32"/>
    <s v="PT_A"/>
    <s v="GNR_ST_WOOD_CND_E-50"/>
    <x v="11"/>
    <x v="0"/>
    <x v="6"/>
    <x v="0"/>
    <n v="2.0747847884194924E-17"/>
  </r>
  <r>
    <x v="0"/>
    <x v="0"/>
    <x v="0"/>
    <s v="PORTUGAL"/>
    <x v="32"/>
    <s v="PT_A"/>
    <s v="GNR_ELYS_ELEC_AEC_Y-2020"/>
    <x v="1"/>
    <x v="1"/>
    <x v="2"/>
    <x v="0"/>
    <n v="3.9306778336970249"/>
  </r>
  <r>
    <x v="0"/>
    <x v="0"/>
    <x v="0"/>
    <s v="PORTUGAL"/>
    <x v="32"/>
    <s v="PT_A"/>
    <s v="GNR_ELYS_ELEC_AEC_Y-2050"/>
    <x v="1"/>
    <x v="1"/>
    <x v="2"/>
    <x v="0"/>
    <n v="10.853506028641238"/>
  </r>
  <r>
    <x v="0"/>
    <x v="0"/>
    <x v="0"/>
    <s v="PORTUGAL"/>
    <x v="32"/>
    <s v="PT_A"/>
    <s v="GNR_H2S_H2-CAVERN_Y-2050"/>
    <x v="3"/>
    <x v="1"/>
    <x v="4"/>
    <x v="0"/>
    <n v="9.3923885089383887"/>
  </r>
  <r>
    <x v="0"/>
    <x v="0"/>
    <x v="0"/>
    <s v="PORTUGAL"/>
    <x v="32"/>
    <s v="PT00_A"/>
    <s v="GNR_PV_SUN"/>
    <x v="6"/>
    <x v="0"/>
    <x v="7"/>
    <x v="0"/>
    <n v="-2.0747847884194924E-17"/>
  </r>
  <r>
    <x v="0"/>
    <x v="0"/>
    <x v="0"/>
    <s v="PORTUGAL"/>
    <x v="32"/>
    <s v="PT00_A"/>
    <s v="GNR_WT_WIND_ONS_RG1"/>
    <x v="2"/>
    <x v="0"/>
    <x v="3"/>
    <x v="0"/>
    <n v="2.9046987037872895E-16"/>
  </r>
  <r>
    <x v="0"/>
    <x v="0"/>
    <x v="0"/>
    <s v="PORTUGAL"/>
    <x v="32"/>
    <s v="PT00_A"/>
    <s v="GNR_WT_WIND_ONS_RG2"/>
    <x v="2"/>
    <x v="0"/>
    <x v="3"/>
    <x v="0"/>
    <n v="5.4307491836880213E-15"/>
  </r>
  <r>
    <x v="0"/>
    <x v="0"/>
    <x v="0"/>
    <s v="PORTUGAL"/>
    <x v="32"/>
    <s v="PT00_A"/>
    <s v="GNR_PV-2050"/>
    <x v="6"/>
    <x v="0"/>
    <x v="7"/>
    <x v="0"/>
    <n v="41.058791354432479"/>
  </r>
  <r>
    <x v="0"/>
    <x v="0"/>
    <x v="0"/>
    <s v="SLOVAKIA"/>
    <x v="33"/>
    <s v="SK_A"/>
    <s v="GNR_CC_NGAS_CND_E-56"/>
    <x v="9"/>
    <x v="0"/>
    <x v="6"/>
    <x v="0"/>
    <n v="-4.1495695768389849E-17"/>
  </r>
  <r>
    <x v="0"/>
    <x v="0"/>
    <x v="0"/>
    <s v="SLOVAKIA"/>
    <x v="33"/>
    <s v="SK_A"/>
    <s v="GNR_ES_WTR_PMP"/>
    <x v="1"/>
    <x v="0"/>
    <x v="9"/>
    <x v="0"/>
    <n v="4.3583607142857146E-2"/>
  </r>
  <r>
    <x v="0"/>
    <x v="0"/>
    <x v="0"/>
    <s v="SLOVAKIA"/>
    <x v="33"/>
    <s v="SK_A"/>
    <s v="GNR_RES_WTR_NOPMP"/>
    <x v="0"/>
    <x v="0"/>
    <x v="0"/>
    <x v="0"/>
    <n v="1.2574450448867183"/>
  </r>
  <r>
    <x v="0"/>
    <x v="0"/>
    <x v="0"/>
    <s v="SLOVAKIA"/>
    <x v="33"/>
    <s v="SK_A"/>
    <s v="GNR_ROR_WTR"/>
    <x v="0"/>
    <x v="0"/>
    <x v="1"/>
    <x v="0"/>
    <n v="3.4129558158585809"/>
  </r>
  <r>
    <x v="0"/>
    <x v="0"/>
    <x v="0"/>
    <s v="SLOVAKIA"/>
    <x v="33"/>
    <s v="SK00_A"/>
    <s v="GNR_PV-2050"/>
    <x v="6"/>
    <x v="0"/>
    <x v="7"/>
    <x v="0"/>
    <n v="10.2334447401494"/>
  </r>
  <r>
    <x v="0"/>
    <x v="0"/>
    <x v="0"/>
    <s v="HUNGARY"/>
    <x v="34"/>
    <s v="HU_A"/>
    <s v="GNR_RES_WTR_NOPMP"/>
    <x v="0"/>
    <x v="0"/>
    <x v="0"/>
    <x v="0"/>
    <n v="8.4230768557005065E-2"/>
  </r>
  <r>
    <x v="0"/>
    <x v="0"/>
    <x v="0"/>
    <s v="HUNGARY"/>
    <x v="34"/>
    <s v="HU_A"/>
    <s v="GNR_ROR_WTR"/>
    <x v="0"/>
    <x v="0"/>
    <x v="1"/>
    <x v="0"/>
    <n v="5.5566305431747127E-2"/>
  </r>
  <r>
    <x v="0"/>
    <x v="0"/>
    <x v="0"/>
    <s v="HUNGARY"/>
    <x v="34"/>
    <s v="HU_A"/>
    <s v="GNR_ST_NUCL_CND_E-33"/>
    <x v="4"/>
    <x v="0"/>
    <x v="6"/>
    <x v="0"/>
    <n v="1.2241103396921806"/>
  </r>
  <r>
    <x v="0"/>
    <x v="0"/>
    <x v="0"/>
    <s v="HUNGARY"/>
    <x v="34"/>
    <s v="HU_A"/>
    <s v="GNR_ST_WOOD_CND_E-50"/>
    <x v="11"/>
    <x v="0"/>
    <x v="6"/>
    <x v="0"/>
    <n v="-2.0747847884194924E-17"/>
  </r>
  <r>
    <x v="0"/>
    <x v="0"/>
    <x v="0"/>
    <s v="HUNGARY"/>
    <x v="34"/>
    <s v="HU00_A"/>
    <s v="GNR_PV_SUN"/>
    <x v="6"/>
    <x v="0"/>
    <x v="7"/>
    <x v="0"/>
    <n v="1.4523493518936448E-16"/>
  </r>
  <r>
    <x v="0"/>
    <x v="0"/>
    <x v="0"/>
    <s v="HUNGARY"/>
    <x v="34"/>
    <s v="HU00_A"/>
    <s v="GNR_WT_ONS-2050"/>
    <x v="2"/>
    <x v="0"/>
    <x v="3"/>
    <x v="0"/>
    <n v="2.3610899999999995"/>
  </r>
  <r>
    <x v="0"/>
    <x v="0"/>
    <x v="0"/>
    <s v="SLOVENIA"/>
    <x v="35"/>
    <s v="SI_A"/>
    <s v="GNR_ROR_WTR"/>
    <x v="0"/>
    <x v="0"/>
    <x v="1"/>
    <x v="0"/>
    <n v="3.1337139763792439"/>
  </r>
  <r>
    <x v="0"/>
    <x v="0"/>
    <x v="0"/>
    <s v="SLOVENIA"/>
    <x v="35"/>
    <s v="SI_A"/>
    <s v="GNR_ST_NUCL_CND_E-33"/>
    <x v="4"/>
    <x v="0"/>
    <x v="6"/>
    <x v="0"/>
    <n v="4.9081919999999988"/>
  </r>
  <r>
    <x v="0"/>
    <x v="0"/>
    <x v="0"/>
    <s v="SLOVENIA"/>
    <x v="35"/>
    <s v="SI00_A"/>
    <s v="GNR_PV-2050"/>
    <x v="6"/>
    <x v="0"/>
    <x v="7"/>
    <x v="0"/>
    <n v="11.636786922790854"/>
  </r>
  <r>
    <x v="0"/>
    <x v="0"/>
    <x v="0"/>
    <s v="CROATIA"/>
    <x v="36"/>
    <s v="HR_A"/>
    <s v="GNR_CC_NGAS_CND_E-56"/>
    <x v="9"/>
    <x v="0"/>
    <x v="6"/>
    <x v="0"/>
    <n v="2.0747847884194924E-17"/>
  </r>
  <r>
    <x v="0"/>
    <x v="0"/>
    <x v="0"/>
    <s v="CROATIA"/>
    <x v="36"/>
    <s v="HR_A"/>
    <s v="GNR_ES_WTR_PMP"/>
    <x v="1"/>
    <x v="0"/>
    <x v="9"/>
    <x v="0"/>
    <n v="1.3370080357142858E-2"/>
  </r>
  <r>
    <x v="0"/>
    <x v="0"/>
    <x v="0"/>
    <s v="CROATIA"/>
    <x v="36"/>
    <s v="HR_A"/>
    <s v="GNR_RES_WTR_NOPMP"/>
    <x v="0"/>
    <x v="0"/>
    <x v="0"/>
    <x v="0"/>
    <n v="4.3439010641541183"/>
  </r>
  <r>
    <x v="0"/>
    <x v="0"/>
    <x v="0"/>
    <s v="CROATIA"/>
    <x v="36"/>
    <s v="HR_A"/>
    <s v="GNR_ROR_WTR"/>
    <x v="0"/>
    <x v="0"/>
    <x v="1"/>
    <x v="0"/>
    <n v="1.1874829739474906"/>
  </r>
  <r>
    <x v="0"/>
    <x v="0"/>
    <x v="0"/>
    <s v="CROATIA"/>
    <x v="36"/>
    <s v="HR00_A"/>
    <s v="GNR_WT_WIND_ONS_RG2"/>
    <x v="2"/>
    <x v="0"/>
    <x v="3"/>
    <x v="0"/>
    <n v="8.2991391536779698E-17"/>
  </r>
  <r>
    <x v="0"/>
    <x v="0"/>
    <x v="0"/>
    <s v="CROATIA"/>
    <x v="36"/>
    <s v="HR00_A"/>
    <s v="GNR_WT_ONS-2050"/>
    <x v="2"/>
    <x v="0"/>
    <x v="3"/>
    <x v="0"/>
    <n v="20.375638445007695"/>
  </r>
  <r>
    <x v="0"/>
    <x v="0"/>
    <x v="0"/>
    <s v="ROMANIA"/>
    <x v="37"/>
    <s v="RO_A"/>
    <s v="GNR_RES_WTR_NOPMP"/>
    <x v="0"/>
    <x v="0"/>
    <x v="0"/>
    <x v="0"/>
    <n v="10.197939478865969"/>
  </r>
  <r>
    <x v="0"/>
    <x v="0"/>
    <x v="0"/>
    <s v="ROMANIA"/>
    <x v="37"/>
    <s v="RO_A"/>
    <s v="GNR_ROR_WTR"/>
    <x v="0"/>
    <x v="0"/>
    <x v="1"/>
    <x v="0"/>
    <n v="7.7567177633149536"/>
  </r>
  <r>
    <x v="0"/>
    <x v="0"/>
    <x v="0"/>
    <s v="ROMANIA"/>
    <x v="37"/>
    <s v="RO_A"/>
    <s v="GNR_ELYS_ELEC_AEC_Y-2050"/>
    <x v="1"/>
    <x v="1"/>
    <x v="2"/>
    <x v="0"/>
    <n v="8.5869156453494639"/>
  </r>
  <r>
    <x v="0"/>
    <x v="0"/>
    <x v="0"/>
    <s v="ROMANIA"/>
    <x v="37"/>
    <s v="RO_A"/>
    <s v="GNR_H2S_H2-CAVERN_Y-2050"/>
    <x v="3"/>
    <x v="1"/>
    <x v="4"/>
    <x v="0"/>
    <n v="6.1056838086125778"/>
  </r>
  <r>
    <x v="0"/>
    <x v="0"/>
    <x v="0"/>
    <s v="ROMANIA"/>
    <x v="37"/>
    <s v="RO00_A"/>
    <s v="GNR_PV_SUN"/>
    <x v="6"/>
    <x v="0"/>
    <x v="7"/>
    <x v="0"/>
    <n v="4.1495695768389851E-16"/>
  </r>
  <r>
    <x v="0"/>
    <x v="0"/>
    <x v="0"/>
    <s v="ROMANIA"/>
    <x v="37"/>
    <s v="RO00_A"/>
    <s v="GNR_WT_WIND_ONS_RG1"/>
    <x v="2"/>
    <x v="0"/>
    <x v="3"/>
    <x v="0"/>
    <n v="4.1495695768389851E-16"/>
  </r>
  <r>
    <x v="0"/>
    <x v="0"/>
    <x v="0"/>
    <s v="ROMANIA"/>
    <x v="37"/>
    <s v="RO00_A"/>
    <s v="GNR_WT_WIND_ONS_RG2"/>
    <x v="2"/>
    <x v="0"/>
    <x v="3"/>
    <x v="0"/>
    <n v="2.0747847884194924E-17"/>
  </r>
  <r>
    <x v="0"/>
    <x v="0"/>
    <x v="0"/>
    <s v="ROMANIA"/>
    <x v="37"/>
    <s v="RO00_A"/>
    <s v="GNR_WT_ONS-2050"/>
    <x v="2"/>
    <x v="0"/>
    <x v="3"/>
    <x v="0"/>
    <n v="62.108395798640196"/>
  </r>
  <r>
    <x v="0"/>
    <x v="0"/>
    <x v="0"/>
    <s v="ROMANIA"/>
    <x v="37"/>
    <s v="RO00_A"/>
    <s v="GNR_PV-2050"/>
    <x v="6"/>
    <x v="0"/>
    <x v="7"/>
    <x v="0"/>
    <n v="11.452587442148019"/>
  </r>
  <r>
    <x v="0"/>
    <x v="0"/>
    <x v="0"/>
    <s v="BULGARIA"/>
    <x v="38"/>
    <s v="BG_A"/>
    <s v="GNR_RES_WTR_NOPMP"/>
    <x v="0"/>
    <x v="0"/>
    <x v="0"/>
    <x v="0"/>
    <n v="5.4449175388635416"/>
  </r>
  <r>
    <x v="0"/>
    <x v="0"/>
    <x v="0"/>
    <s v="BULGARIA"/>
    <x v="38"/>
    <s v="BG_A"/>
    <s v="GNR_ROR_WTR"/>
    <x v="0"/>
    <x v="0"/>
    <x v="1"/>
    <x v="0"/>
    <n v="1.5146754323273215"/>
  </r>
  <r>
    <x v="0"/>
    <x v="0"/>
    <x v="0"/>
    <s v="BULGARIA"/>
    <x v="38"/>
    <s v="BG00_A"/>
    <s v="GNR_PV_SUN"/>
    <x v="6"/>
    <x v="0"/>
    <x v="7"/>
    <x v="0"/>
    <n v="-4.1495695768389851E-16"/>
  </r>
  <r>
    <x v="0"/>
    <x v="0"/>
    <x v="0"/>
    <s v="BULGARIA"/>
    <x v="38"/>
    <s v="BG00_A"/>
    <s v="GNR_WT_ONS-2050"/>
    <x v="2"/>
    <x v="0"/>
    <x v="3"/>
    <x v="0"/>
    <n v="10.278438"/>
  </r>
  <r>
    <x v="0"/>
    <x v="0"/>
    <x v="0"/>
    <s v="BULGARIA"/>
    <x v="38"/>
    <s v="BG00_A"/>
    <s v="GNR_PV-2050"/>
    <x v="6"/>
    <x v="0"/>
    <x v="7"/>
    <x v="0"/>
    <n v="4.3332242903136038"/>
  </r>
  <r>
    <x v="0"/>
    <x v="0"/>
    <x v="0"/>
    <s v="GREECE"/>
    <x v="39"/>
    <s v="GR_A"/>
    <s v="GNR_PV_SUN"/>
    <x v="6"/>
    <x v="0"/>
    <x v="7"/>
    <x v="0"/>
    <n v="-1.4108536561252548E-15"/>
  </r>
  <r>
    <x v="0"/>
    <x v="0"/>
    <x v="0"/>
    <s v="GREECE"/>
    <x v="39"/>
    <s v="GR_A"/>
    <s v="GNR_RES_WTR_NOPMP"/>
    <x v="0"/>
    <x v="0"/>
    <x v="0"/>
    <x v="0"/>
    <n v="7.2288048872315418"/>
  </r>
  <r>
    <x v="0"/>
    <x v="0"/>
    <x v="0"/>
    <s v="GREECE"/>
    <x v="39"/>
    <s v="GR_A"/>
    <s v="GNR_ROR_WTR"/>
    <x v="0"/>
    <x v="0"/>
    <x v="1"/>
    <x v="0"/>
    <n v="0.84336676772042618"/>
  </r>
  <r>
    <x v="0"/>
    <x v="0"/>
    <x v="0"/>
    <s v="GREECE"/>
    <x v="39"/>
    <s v="GR_A"/>
    <s v="GNR_WT_WIND_ONS_RG1"/>
    <x v="2"/>
    <x v="0"/>
    <x v="3"/>
    <x v="0"/>
    <n v="-1.8673063095775431E-16"/>
  </r>
  <r>
    <x v="0"/>
    <x v="0"/>
    <x v="0"/>
    <s v="GREECE"/>
    <x v="39"/>
    <s v="GR_A"/>
    <s v="GNR_WT_WIND_ONS_RG2"/>
    <x v="2"/>
    <x v="0"/>
    <x v="3"/>
    <x v="0"/>
    <n v="-4.3570480556809343E-16"/>
  </r>
  <r>
    <x v="0"/>
    <x v="0"/>
    <x v="0"/>
    <s v="GREECE"/>
    <x v="39"/>
    <s v="GR_A"/>
    <s v="GNR_H2S_H2-CAVERN_Y-2050"/>
    <x v="3"/>
    <x v="1"/>
    <x v="4"/>
    <x v="0"/>
    <n v="57.680310326120541"/>
  </r>
  <r>
    <x v="0"/>
    <x v="0"/>
    <x v="0"/>
    <s v="GREECE"/>
    <x v="39"/>
    <s v="GR00_A"/>
    <s v="GNR_PV-2050"/>
    <x v="6"/>
    <x v="0"/>
    <x v="7"/>
    <x v="0"/>
    <n v="9.9561317128228453"/>
  </r>
  <r>
    <x v="0"/>
    <x v="0"/>
    <x v="0"/>
    <s v="GREECE"/>
    <x v="40"/>
    <s v="GR03_A"/>
    <s v="GNR_WT_ONS-2050"/>
    <x v="2"/>
    <x v="0"/>
    <x v="3"/>
    <x v="0"/>
    <n v="47.598296314536661"/>
  </r>
  <r>
    <x v="0"/>
    <x v="0"/>
    <x v="0"/>
    <s v="IRELAND"/>
    <x v="41"/>
    <s v="IE_A"/>
    <s v="GNR_ROR_WTR"/>
    <x v="0"/>
    <x v="0"/>
    <x v="1"/>
    <x v="0"/>
    <n v="0.6092549225003745"/>
  </r>
  <r>
    <x v="0"/>
    <x v="0"/>
    <x v="0"/>
    <s v="IRELAND"/>
    <x v="41"/>
    <s v="IE_A"/>
    <s v="GNR_ELYS_ELEC_AEC_Y-2050"/>
    <x v="1"/>
    <x v="1"/>
    <x v="2"/>
    <x v="0"/>
    <n v="24.432084283079142"/>
  </r>
  <r>
    <x v="0"/>
    <x v="0"/>
    <x v="0"/>
    <s v="IRELAND"/>
    <x v="41"/>
    <s v="IE_A"/>
    <s v="GNR_ELYS_ELEC_AEC_DH_Y-2050"/>
    <x v="1"/>
    <x v="2"/>
    <x v="2"/>
    <x v="0"/>
    <n v="1.0525224037638517E-17"/>
  </r>
  <r>
    <x v="0"/>
    <x v="0"/>
    <x v="0"/>
    <s v="IRELAND"/>
    <x v="41"/>
    <s v="IE_A"/>
    <s v="GNR_ELYS_ELEC_AEC_DH_Y-2050"/>
    <x v="1"/>
    <x v="1"/>
    <x v="2"/>
    <x v="0"/>
    <n v="1.2308660757298641E-16"/>
  </r>
  <r>
    <x v="0"/>
    <x v="0"/>
    <x v="0"/>
    <s v="IRELAND"/>
    <x v="41"/>
    <s v="IE00_A"/>
    <s v="GNR_WT_WIND_ONS_RG1"/>
    <x v="2"/>
    <x v="0"/>
    <x v="3"/>
    <x v="0"/>
    <n v="2.9046987037872895E-16"/>
  </r>
  <r>
    <x v="0"/>
    <x v="0"/>
    <x v="0"/>
    <s v="IRELAND"/>
    <x v="41"/>
    <s v="IE00_A"/>
    <s v="GNR_WT_WIND_ONS_RG2"/>
    <x v="2"/>
    <x v="0"/>
    <x v="3"/>
    <x v="0"/>
    <n v="-2.0747847884194926E-16"/>
  </r>
  <r>
    <x v="0"/>
    <x v="0"/>
    <x v="0"/>
    <s v="IRELAND"/>
    <x v="41"/>
    <s v="IE00_A"/>
    <s v="GNR_WT_ONS-2050"/>
    <x v="2"/>
    <x v="0"/>
    <x v="3"/>
    <x v="0"/>
    <n v="58.982613743848198"/>
  </r>
  <r>
    <x v="0"/>
    <x v="0"/>
    <x v="0"/>
    <s v="LUXEMBOURG"/>
    <x v="42"/>
    <s v="LU_A"/>
    <s v="GNR_RES_WTR_NOPMP"/>
    <x v="0"/>
    <x v="0"/>
    <x v="0"/>
    <x v="0"/>
    <n v="3.3090659075966269E-2"/>
  </r>
  <r>
    <x v="0"/>
    <x v="0"/>
    <x v="0"/>
    <s v="LUXEMBOURG"/>
    <x v="42"/>
    <s v="LU_A"/>
    <s v="GNR_ROR_WTR"/>
    <x v="0"/>
    <x v="0"/>
    <x v="1"/>
    <x v="0"/>
    <n v="7.0515616030135966E-2"/>
  </r>
  <r>
    <x v="0"/>
    <x v="0"/>
    <x v="0"/>
    <s v="LUXEMBOURG"/>
    <x v="42"/>
    <s v="LU00_A"/>
    <s v="GNR_WT_ONS-2050"/>
    <x v="2"/>
    <x v="0"/>
    <x v="3"/>
    <x v="0"/>
    <n v="1.8065421848054248"/>
  </r>
  <r>
    <x v="0"/>
    <x v="0"/>
    <x v="0"/>
    <s v="LUXEMBOURG"/>
    <x v="42"/>
    <s v="LU00_A"/>
    <s v="GNR_PV-2050"/>
    <x v="6"/>
    <x v="0"/>
    <x v="7"/>
    <x v="0"/>
    <n v="1.2440599999999995"/>
  </r>
  <r>
    <x v="0"/>
    <x v="0"/>
    <x v="0"/>
    <s v="ALBANIA"/>
    <x v="43"/>
    <s v="AL_A"/>
    <s v="GNR_RES_WTR_NOPMP"/>
    <x v="0"/>
    <x v="0"/>
    <x v="0"/>
    <x v="0"/>
    <n v="5.0418131464835882"/>
  </r>
  <r>
    <x v="0"/>
    <x v="0"/>
    <x v="0"/>
    <s v="ALBANIA"/>
    <x v="43"/>
    <s v="AL_A"/>
    <s v="GNR_ROR_WTR"/>
    <x v="0"/>
    <x v="0"/>
    <x v="1"/>
    <x v="0"/>
    <n v="1.4864691859152643"/>
  </r>
  <r>
    <x v="0"/>
    <x v="0"/>
    <x v="0"/>
    <s v="ALBANIA"/>
    <x v="43"/>
    <s v="AL00_A"/>
    <s v="GNR_WT_ONS-2050"/>
    <x v="2"/>
    <x v="0"/>
    <x v="3"/>
    <x v="0"/>
    <n v="6.1801800000000018"/>
  </r>
  <r>
    <x v="0"/>
    <x v="0"/>
    <x v="0"/>
    <s v="MONTENEGRO"/>
    <x v="44"/>
    <s v="ME_A"/>
    <s v="GNR_RES_WTR_NOPMP"/>
    <x v="0"/>
    <x v="0"/>
    <x v="0"/>
    <x v="0"/>
    <n v="1.0288186730891331"/>
  </r>
  <r>
    <x v="0"/>
    <x v="0"/>
    <x v="0"/>
    <s v="MONTENEGRO"/>
    <x v="44"/>
    <s v="ME_A"/>
    <s v="GNR_ROR_WTR"/>
    <x v="0"/>
    <x v="0"/>
    <x v="1"/>
    <x v="0"/>
    <n v="0.86593176485006973"/>
  </r>
  <r>
    <x v="0"/>
    <x v="0"/>
    <x v="0"/>
    <s v="MONTENEGRO"/>
    <x v="44"/>
    <s v="ME00_A"/>
    <s v="GNR_WT_ONS-2050"/>
    <x v="2"/>
    <x v="0"/>
    <x v="3"/>
    <x v="0"/>
    <n v="0.99913199999999991"/>
  </r>
  <r>
    <x v="0"/>
    <x v="0"/>
    <x v="0"/>
    <s v="NORTH_MACEDONIA"/>
    <x v="45"/>
    <s v="MK_A"/>
    <s v="GNR_ROR_WTR"/>
    <x v="0"/>
    <x v="0"/>
    <x v="1"/>
    <x v="0"/>
    <n v="1.4272360684499523"/>
  </r>
  <r>
    <x v="0"/>
    <x v="0"/>
    <x v="0"/>
    <s v="NORTH_MACEDONIA"/>
    <x v="45"/>
    <s v="MK00_A"/>
    <s v="GNR_PV-2050"/>
    <x v="6"/>
    <x v="0"/>
    <x v="7"/>
    <x v="0"/>
    <n v="0.43335275477163582"/>
  </r>
  <r>
    <x v="0"/>
    <x v="0"/>
    <x v="0"/>
    <s v="BOSNIA_AND_HERZEGOVINA"/>
    <x v="46"/>
    <s v="BA_A"/>
    <s v="GNR_ES_WTR_PMP"/>
    <x v="1"/>
    <x v="0"/>
    <x v="9"/>
    <x v="0"/>
    <n v="1.6748285714285712E-2"/>
  </r>
  <r>
    <x v="0"/>
    <x v="0"/>
    <x v="0"/>
    <s v="BOSNIA_AND_HERZEGOVINA"/>
    <x v="46"/>
    <s v="BA_A"/>
    <s v="GNR_RES_WTR_NOPMP"/>
    <x v="0"/>
    <x v="0"/>
    <x v="0"/>
    <x v="0"/>
    <n v="2.1268269060643776"/>
  </r>
  <r>
    <x v="0"/>
    <x v="0"/>
    <x v="0"/>
    <s v="BOSNIA_AND_HERZEGOVINA"/>
    <x v="46"/>
    <s v="BA_A"/>
    <s v="GNR_ROR_WTR"/>
    <x v="0"/>
    <x v="0"/>
    <x v="1"/>
    <x v="0"/>
    <n v="3.0547364864254889"/>
  </r>
  <r>
    <x v="0"/>
    <x v="0"/>
    <x v="0"/>
    <s v="SERBIA"/>
    <x v="47"/>
    <s v="RS_A"/>
    <s v="GNR_RES_WTR_NOPMP"/>
    <x v="0"/>
    <x v="0"/>
    <x v="0"/>
    <x v="0"/>
    <n v="1.419890098532371"/>
  </r>
  <r>
    <x v="0"/>
    <x v="0"/>
    <x v="0"/>
    <s v="SERBIA"/>
    <x v="47"/>
    <s v="RS_A"/>
    <s v="GNR_ROR_WTR"/>
    <x v="0"/>
    <x v="0"/>
    <x v="1"/>
    <x v="0"/>
    <n v="5.655352405616906"/>
  </r>
  <r>
    <x v="0"/>
    <x v="0"/>
    <x v="0"/>
    <s v="SERBIA"/>
    <x v="47"/>
    <s v="RS_A"/>
    <s v="GNR_ELYS_ELEC_AEC_DH_Y-2050"/>
    <x v="1"/>
    <x v="2"/>
    <x v="2"/>
    <x v="0"/>
    <n v="-3.5483266877837394E-18"/>
  </r>
  <r>
    <x v="0"/>
    <x v="0"/>
    <x v="0"/>
    <s v="SERBIA"/>
    <x v="47"/>
    <s v="RS_A"/>
    <s v="GNR_ELYS_ELEC_AEC_DH_Y-2050"/>
    <x v="1"/>
    <x v="1"/>
    <x v="2"/>
    <x v="0"/>
    <n v="-4.1495695768389849E-17"/>
  </r>
  <r>
    <x v="0"/>
    <x v="0"/>
    <x v="0"/>
    <s v="SERBIA"/>
    <x v="47"/>
    <s v="RS00_A"/>
    <s v="GNR_WT_ONS-2050"/>
    <x v="2"/>
    <x v="0"/>
    <x v="3"/>
    <x v="0"/>
    <n v="1.1257959999999996"/>
  </r>
  <r>
    <x v="0"/>
    <x v="0"/>
    <x v="0"/>
    <s v="TURKEY"/>
    <x v="48"/>
    <s v="TR_A"/>
    <s v="GNR_RES_WTR_NOPMP"/>
    <x v="0"/>
    <x v="0"/>
    <x v="0"/>
    <x v="0"/>
    <n v="94.759614626630693"/>
  </r>
  <r>
    <x v="0"/>
    <x v="0"/>
    <x v="0"/>
    <s v="TURKEY"/>
    <x v="48"/>
    <s v="TR_A"/>
    <s v="GNR_ELYS_ELEC_AEC_Y-2050"/>
    <x v="1"/>
    <x v="1"/>
    <x v="2"/>
    <x v="0"/>
    <n v="153.39355885438889"/>
  </r>
  <r>
    <x v="0"/>
    <x v="0"/>
    <x v="0"/>
    <s v="TURKEY"/>
    <x v="48"/>
    <s v="TR00_A"/>
    <s v="GNR_PV_SUN"/>
    <x v="6"/>
    <x v="0"/>
    <x v="7"/>
    <x v="0"/>
    <n v="-1.3693579603568651E-15"/>
  </r>
  <r>
    <x v="0"/>
    <x v="0"/>
    <x v="0"/>
    <s v="TURKEY"/>
    <x v="48"/>
    <s v="TR00_A"/>
    <s v="GNR_WT_WIND_ONS"/>
    <x v="2"/>
    <x v="0"/>
    <x v="3"/>
    <x v="0"/>
    <n v="-2.0747847884194924E-15"/>
  </r>
  <r>
    <x v="0"/>
    <x v="0"/>
    <x v="0"/>
    <s v="TURKEY"/>
    <x v="48"/>
    <s v="TR00_A"/>
    <s v="GNR_WT_WIND_ONS_RG1"/>
    <x v="2"/>
    <x v="0"/>
    <x v="3"/>
    <x v="0"/>
    <n v="-6.0168758864165278E-16"/>
  </r>
  <r>
    <x v="0"/>
    <x v="0"/>
    <x v="0"/>
    <s v="TURKEY"/>
    <x v="48"/>
    <s v="TR00_A"/>
    <s v="GNR_WT_WIND_ONS_RG2"/>
    <x v="2"/>
    <x v="0"/>
    <x v="3"/>
    <x v="0"/>
    <n v="-1.9295498532301278E-15"/>
  </r>
  <r>
    <x v="0"/>
    <x v="0"/>
    <x v="0"/>
    <s v="TURKEY"/>
    <x v="48"/>
    <s v="TR00_A"/>
    <s v="GNR_WT_WIND_ONS_RG3"/>
    <x v="2"/>
    <x v="0"/>
    <x v="3"/>
    <x v="0"/>
    <n v="-4.1495695768389849E-17"/>
  </r>
  <r>
    <x v="0"/>
    <x v="0"/>
    <x v="0"/>
    <s v="TURKEY"/>
    <x v="48"/>
    <s v="TR00_A"/>
    <s v="GNR_WT_ONS-2050"/>
    <x v="2"/>
    <x v="0"/>
    <x v="3"/>
    <x v="0"/>
    <n v="130.17099026866575"/>
  </r>
  <r>
    <x v="0"/>
    <x v="0"/>
    <x v="0"/>
    <s v="TURKEY"/>
    <x v="48"/>
    <s v="TR00_A"/>
    <s v="GNR_PV-2050"/>
    <x v="6"/>
    <x v="0"/>
    <x v="7"/>
    <x v="0"/>
    <n v="206.78416173809143"/>
  </r>
  <r>
    <x v="0"/>
    <x v="0"/>
    <x v="0"/>
    <s v="MALTA"/>
    <x v="49"/>
    <s v="MT_A"/>
    <s v="GNR_CC_NGAS_CND_E-63_LS-100-MW_Y-2050"/>
    <x v="9"/>
    <x v="0"/>
    <x v="6"/>
    <x v="0"/>
    <n v="5.8286818517735907E-2"/>
  </r>
  <r>
    <x v="0"/>
    <x v="0"/>
    <x v="0"/>
    <s v="MALTA"/>
    <x v="49"/>
    <s v="MT_A"/>
    <s v="GNR_ST_MSW_CND_E-25_LS-220-MW-FEED_Y-2050"/>
    <x v="7"/>
    <x v="0"/>
    <x v="6"/>
    <x v="0"/>
    <n v="4.4811293408191157E-2"/>
  </r>
  <r>
    <x v="0"/>
    <x v="0"/>
    <x v="0"/>
    <s v="MALTA"/>
    <x v="49"/>
    <s v="MT_A"/>
    <s v="GNR_ELYS_ELEC_AEC_Y-2050"/>
    <x v="1"/>
    <x v="1"/>
    <x v="2"/>
    <x v="0"/>
    <n v="0.22120601235697088"/>
  </r>
  <r>
    <x v="0"/>
    <x v="0"/>
    <x v="0"/>
    <s v="MALTA"/>
    <x v="49"/>
    <s v="MT_A"/>
    <s v="GNR_FC_H2_SOFCC_Y-2050"/>
    <x v="3"/>
    <x v="0"/>
    <x v="8"/>
    <x v="0"/>
    <n v="0.13796618990704268"/>
  </r>
  <r>
    <x v="0"/>
    <x v="0"/>
    <x v="0"/>
    <s v="MALTA"/>
    <x v="49"/>
    <s v="MT_A"/>
    <s v="GNR_H2S_H2-TNKC_Y-2050"/>
    <x v="3"/>
    <x v="1"/>
    <x v="4"/>
    <x v="0"/>
    <n v="0.21899395223340107"/>
  </r>
  <r>
    <x v="0"/>
    <x v="0"/>
    <x v="0"/>
    <s v="MALTA"/>
    <x v="49"/>
    <s v="MT00_A"/>
    <s v="GNR_PV-2050"/>
    <x v="6"/>
    <x v="0"/>
    <x v="7"/>
    <x v="0"/>
    <n v="1.2689746558731614"/>
  </r>
  <r>
    <x v="0"/>
    <x v="0"/>
    <x v="0"/>
    <s v="CYPRUS"/>
    <x v="50"/>
    <s v="CY00_A"/>
    <s v="GNR_PV-2050"/>
    <x v="6"/>
    <x v="0"/>
    <x v="7"/>
    <x v="0"/>
    <n v="2.8527889495896184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7">
  <r>
    <x v="0"/>
    <x v="0"/>
    <x v="0"/>
    <s v="NORWAY"/>
    <x v="0"/>
    <x v="0"/>
    <x v="0"/>
    <n v="19.15197712434901"/>
  </r>
  <r>
    <x v="0"/>
    <x v="0"/>
    <x v="0"/>
    <s v="NORWAY"/>
    <x v="1"/>
    <x v="0"/>
    <x v="0"/>
    <n v="18.912430498031526"/>
  </r>
  <r>
    <x v="0"/>
    <x v="0"/>
    <x v="0"/>
    <s v="NORWAY"/>
    <x v="2"/>
    <x v="0"/>
    <x v="0"/>
    <n v="18.790645661671967"/>
  </r>
  <r>
    <x v="0"/>
    <x v="0"/>
    <x v="0"/>
    <s v="NORWAY"/>
    <x v="3"/>
    <x v="0"/>
    <x v="0"/>
    <n v="16.335295414468895"/>
  </r>
  <r>
    <x v="0"/>
    <x v="0"/>
    <x v="0"/>
    <s v="NORWAY"/>
    <x v="4"/>
    <x v="0"/>
    <x v="0"/>
    <n v="18.798027922164916"/>
  </r>
  <r>
    <x v="0"/>
    <x v="0"/>
    <x v="0"/>
    <s v="DENMARK"/>
    <x v="5"/>
    <x v="0"/>
    <x v="0"/>
    <n v="46.625640776042893"/>
  </r>
  <r>
    <x v="0"/>
    <x v="0"/>
    <x v="0"/>
    <s v="DENMARK"/>
    <x v="6"/>
    <x v="0"/>
    <x v="0"/>
    <n v="46.88215245588097"/>
  </r>
  <r>
    <x v="0"/>
    <x v="0"/>
    <x v="0"/>
    <s v="FINLAND"/>
    <x v="7"/>
    <x v="0"/>
    <x v="0"/>
    <n v="45.861738818076489"/>
  </r>
  <r>
    <x v="0"/>
    <x v="0"/>
    <x v="0"/>
    <s v="GERMANY"/>
    <x v="8"/>
    <x v="0"/>
    <x v="0"/>
    <n v="55.338971004168336"/>
  </r>
  <r>
    <x v="0"/>
    <x v="0"/>
    <x v="0"/>
    <s v="GERMANY"/>
    <x v="9"/>
    <x v="0"/>
    <x v="0"/>
    <n v="54.885609838284921"/>
  </r>
  <r>
    <x v="0"/>
    <x v="0"/>
    <x v="0"/>
    <s v="GERMANY"/>
    <x v="10"/>
    <x v="0"/>
    <x v="0"/>
    <n v="55.216496546734049"/>
  </r>
  <r>
    <x v="0"/>
    <x v="0"/>
    <x v="0"/>
    <s v="GERMANY"/>
    <x v="11"/>
    <x v="0"/>
    <x v="0"/>
    <n v="55.75373145129489"/>
  </r>
  <r>
    <x v="0"/>
    <x v="0"/>
    <x v="0"/>
    <s v="NETHERLANDS"/>
    <x v="12"/>
    <x v="0"/>
    <x v="0"/>
    <n v="54.377010444752777"/>
  </r>
  <r>
    <x v="0"/>
    <x v="0"/>
    <x v="0"/>
    <s v="SWEDEN"/>
    <x v="13"/>
    <x v="0"/>
    <x v="0"/>
    <n v="19.439672260055211"/>
  </r>
  <r>
    <x v="0"/>
    <x v="0"/>
    <x v="0"/>
    <s v="SWEDEN"/>
    <x v="14"/>
    <x v="0"/>
    <x v="0"/>
    <n v="19.850617463531396"/>
  </r>
  <r>
    <x v="0"/>
    <x v="0"/>
    <x v="0"/>
    <s v="SWEDEN"/>
    <x v="15"/>
    <x v="0"/>
    <x v="0"/>
    <n v="27.845415547626974"/>
  </r>
  <r>
    <x v="0"/>
    <x v="0"/>
    <x v="0"/>
    <s v="SWEDEN"/>
    <x v="16"/>
    <x v="0"/>
    <x v="0"/>
    <n v="28.355236551226362"/>
  </r>
  <r>
    <x v="0"/>
    <x v="0"/>
    <x v="0"/>
    <s v="UNITED_KINGDOM"/>
    <x v="17"/>
    <x v="0"/>
    <x v="0"/>
    <n v="41.831448751378041"/>
  </r>
  <r>
    <x v="0"/>
    <x v="0"/>
    <x v="0"/>
    <s v="ESTONIA"/>
    <x v="18"/>
    <x v="0"/>
    <x v="0"/>
    <n v="45.613352805839163"/>
  </r>
  <r>
    <x v="0"/>
    <x v="0"/>
    <x v="0"/>
    <s v="LATVIA"/>
    <x v="19"/>
    <x v="0"/>
    <x v="0"/>
    <n v="41.00783220166818"/>
  </r>
  <r>
    <x v="0"/>
    <x v="0"/>
    <x v="0"/>
    <s v="LITHUANIA"/>
    <x v="20"/>
    <x v="0"/>
    <x v="0"/>
    <n v="40.94082598670871"/>
  </r>
  <r>
    <x v="0"/>
    <x v="0"/>
    <x v="0"/>
    <s v="POLAND"/>
    <x v="21"/>
    <x v="0"/>
    <x v="0"/>
    <n v="60.203028491545339"/>
  </r>
  <r>
    <x v="0"/>
    <x v="0"/>
    <x v="0"/>
    <s v="BELGIUM"/>
    <x v="22"/>
    <x v="0"/>
    <x v="0"/>
    <n v="47.133334765320477"/>
  </r>
  <r>
    <x v="0"/>
    <x v="0"/>
    <x v="0"/>
    <s v="FRANCE"/>
    <x v="23"/>
    <x v="0"/>
    <x v="0"/>
    <n v="28.242890633839025"/>
  </r>
  <r>
    <x v="0"/>
    <x v="0"/>
    <x v="0"/>
    <s v="ITALY"/>
    <x v="24"/>
    <x v="0"/>
    <x v="0"/>
    <n v="61.189437077857946"/>
  </r>
  <r>
    <x v="0"/>
    <x v="0"/>
    <x v="0"/>
    <s v="SWITZERLAND"/>
    <x v="25"/>
    <x v="0"/>
    <x v="0"/>
    <n v="28.662824648460838"/>
  </r>
  <r>
    <x v="0"/>
    <x v="0"/>
    <x v="0"/>
    <s v="AUSTRIA"/>
    <x v="26"/>
    <x v="0"/>
    <x v="0"/>
    <n v="50.048084517341202"/>
  </r>
  <r>
    <x v="0"/>
    <x v="0"/>
    <x v="0"/>
    <s v="CZECH_REPUBLIC"/>
    <x v="27"/>
    <x v="0"/>
    <x v="0"/>
    <n v="54.366108642660564"/>
  </r>
  <r>
    <x v="0"/>
    <x v="0"/>
    <x v="0"/>
    <s v="SPAIN"/>
    <x v="28"/>
    <x v="0"/>
    <x v="0"/>
    <n v="45.700849738945202"/>
  </r>
  <r>
    <x v="0"/>
    <x v="0"/>
    <x v="0"/>
    <s v="PORTUGAL"/>
    <x v="29"/>
    <x v="0"/>
    <x v="0"/>
    <n v="46.815523633451306"/>
  </r>
  <r>
    <x v="0"/>
    <x v="0"/>
    <x v="0"/>
    <s v="SLOVAKIA"/>
    <x v="30"/>
    <x v="0"/>
    <x v="0"/>
    <n v="55.483835457123405"/>
  </r>
  <r>
    <x v="0"/>
    <x v="0"/>
    <x v="0"/>
    <s v="HUNGARY"/>
    <x v="31"/>
    <x v="0"/>
    <x v="0"/>
    <n v="60.103548459083029"/>
  </r>
  <r>
    <x v="0"/>
    <x v="0"/>
    <x v="0"/>
    <s v="SLOVENIA"/>
    <x v="32"/>
    <x v="0"/>
    <x v="0"/>
    <n v="60.224175880246555"/>
  </r>
  <r>
    <x v="0"/>
    <x v="0"/>
    <x v="0"/>
    <s v="CROATIA"/>
    <x v="33"/>
    <x v="0"/>
    <x v="0"/>
    <n v="60.341039909746833"/>
  </r>
  <r>
    <x v="0"/>
    <x v="0"/>
    <x v="0"/>
    <s v="ROMANIA"/>
    <x v="34"/>
    <x v="0"/>
    <x v="0"/>
    <n v="58.215276567026379"/>
  </r>
  <r>
    <x v="0"/>
    <x v="0"/>
    <x v="0"/>
    <s v="BULGARIA"/>
    <x v="35"/>
    <x v="0"/>
    <x v="0"/>
    <n v="60.639506046071652"/>
  </r>
  <r>
    <x v="0"/>
    <x v="0"/>
    <x v="0"/>
    <s v="GREECE"/>
    <x v="36"/>
    <x v="0"/>
    <x v="0"/>
    <n v="58.80997381754058"/>
  </r>
  <r>
    <x v="0"/>
    <x v="0"/>
    <x v="0"/>
    <s v="IRELAND"/>
    <x v="37"/>
    <x v="0"/>
    <x v="0"/>
    <n v="46.980186773792369"/>
  </r>
  <r>
    <x v="0"/>
    <x v="0"/>
    <x v="0"/>
    <s v="LUXEMBOURG"/>
    <x v="38"/>
    <x v="0"/>
    <x v="0"/>
    <n v="55.384584479574421"/>
  </r>
  <r>
    <x v="0"/>
    <x v="0"/>
    <x v="0"/>
    <s v="ALBANIA"/>
    <x v="39"/>
    <x v="0"/>
    <x v="0"/>
    <n v="61.292901812063441"/>
  </r>
  <r>
    <x v="0"/>
    <x v="0"/>
    <x v="0"/>
    <s v="MONTENEGRO"/>
    <x v="40"/>
    <x v="0"/>
    <x v="0"/>
    <n v="63.076797133992535"/>
  </r>
  <r>
    <x v="0"/>
    <x v="0"/>
    <x v="0"/>
    <s v="NORTH_MACEDONIA"/>
    <x v="41"/>
    <x v="0"/>
    <x v="0"/>
    <n v="61.501615144704878"/>
  </r>
  <r>
    <x v="0"/>
    <x v="0"/>
    <x v="0"/>
    <s v="BOSNIA_AND_HERZEGOVINA"/>
    <x v="42"/>
    <x v="0"/>
    <x v="0"/>
    <n v="63.484875337801867"/>
  </r>
  <r>
    <x v="0"/>
    <x v="0"/>
    <x v="0"/>
    <s v="SERBIA"/>
    <x v="43"/>
    <x v="0"/>
    <x v="0"/>
    <n v="65.114104003008705"/>
  </r>
  <r>
    <x v="0"/>
    <x v="0"/>
    <x v="0"/>
    <s v="TURKEY"/>
    <x v="44"/>
    <x v="0"/>
    <x v="0"/>
    <n v="42.921344083279692"/>
  </r>
  <r>
    <x v="0"/>
    <x v="0"/>
    <x v="0"/>
    <s v="MALTA"/>
    <x v="45"/>
    <x v="0"/>
    <x v="0"/>
    <n v="65.095109430751648"/>
  </r>
  <r>
    <x v="0"/>
    <x v="0"/>
    <x v="0"/>
    <s v="CYPRUS"/>
    <x v="46"/>
    <x v="0"/>
    <x v="0"/>
    <n v="69.907454295780724"/>
  </r>
  <r>
    <x v="0"/>
    <x v="0"/>
    <x v="1"/>
    <s v="NORWAY"/>
    <x v="0"/>
    <x v="0"/>
    <x v="0"/>
    <n v="36.805643128934456"/>
  </r>
  <r>
    <x v="0"/>
    <x v="0"/>
    <x v="1"/>
    <s v="NORWAY"/>
    <x v="1"/>
    <x v="0"/>
    <x v="0"/>
    <n v="37.511912641452803"/>
  </r>
  <r>
    <x v="0"/>
    <x v="0"/>
    <x v="1"/>
    <s v="NORWAY"/>
    <x v="2"/>
    <x v="0"/>
    <x v="0"/>
    <n v="33.958312623261861"/>
  </r>
  <r>
    <x v="0"/>
    <x v="0"/>
    <x v="1"/>
    <s v="NORWAY"/>
    <x v="3"/>
    <x v="0"/>
    <x v="0"/>
    <n v="31.920068585936821"/>
  </r>
  <r>
    <x v="0"/>
    <x v="0"/>
    <x v="1"/>
    <s v="NORWAY"/>
    <x v="4"/>
    <x v="0"/>
    <x v="0"/>
    <n v="34.574195644455386"/>
  </r>
  <r>
    <x v="0"/>
    <x v="0"/>
    <x v="1"/>
    <s v="DENMARK"/>
    <x v="5"/>
    <x v="0"/>
    <x v="0"/>
    <n v="38.460936044837716"/>
  </r>
  <r>
    <x v="0"/>
    <x v="0"/>
    <x v="1"/>
    <s v="DENMARK"/>
    <x v="6"/>
    <x v="0"/>
    <x v="0"/>
    <n v="38.15490010234506"/>
  </r>
  <r>
    <x v="0"/>
    <x v="0"/>
    <x v="1"/>
    <s v="FINLAND"/>
    <x v="7"/>
    <x v="0"/>
    <x v="0"/>
    <n v="36.287604027706699"/>
  </r>
  <r>
    <x v="0"/>
    <x v="0"/>
    <x v="1"/>
    <s v="GERMANY"/>
    <x v="8"/>
    <x v="0"/>
    <x v="0"/>
    <n v="38.424379638723103"/>
  </r>
  <r>
    <x v="0"/>
    <x v="0"/>
    <x v="1"/>
    <s v="GERMANY"/>
    <x v="9"/>
    <x v="0"/>
    <x v="0"/>
    <n v="37.992998356183712"/>
  </r>
  <r>
    <x v="0"/>
    <x v="0"/>
    <x v="1"/>
    <s v="GERMANY"/>
    <x v="10"/>
    <x v="0"/>
    <x v="0"/>
    <n v="38.071655900468883"/>
  </r>
  <r>
    <x v="0"/>
    <x v="0"/>
    <x v="1"/>
    <s v="GERMANY"/>
    <x v="11"/>
    <x v="0"/>
    <x v="0"/>
    <n v="37.928210689883791"/>
  </r>
  <r>
    <x v="0"/>
    <x v="0"/>
    <x v="1"/>
    <s v="NETHERLANDS"/>
    <x v="12"/>
    <x v="0"/>
    <x v="0"/>
    <n v="39.426226548378999"/>
  </r>
  <r>
    <x v="0"/>
    <x v="0"/>
    <x v="1"/>
    <s v="SWEDEN"/>
    <x v="13"/>
    <x v="0"/>
    <x v="0"/>
    <n v="33.160092373306441"/>
  </r>
  <r>
    <x v="0"/>
    <x v="0"/>
    <x v="1"/>
    <s v="SWEDEN"/>
    <x v="14"/>
    <x v="0"/>
    <x v="0"/>
    <n v="33.951724653929432"/>
  </r>
  <r>
    <x v="0"/>
    <x v="0"/>
    <x v="1"/>
    <s v="SWEDEN"/>
    <x v="15"/>
    <x v="0"/>
    <x v="0"/>
    <n v="37.932287284086527"/>
  </r>
  <r>
    <x v="0"/>
    <x v="0"/>
    <x v="1"/>
    <s v="SWEDEN"/>
    <x v="16"/>
    <x v="0"/>
    <x v="0"/>
    <n v="38.396125251905616"/>
  </r>
  <r>
    <x v="0"/>
    <x v="0"/>
    <x v="1"/>
    <s v="UNITED_KINGDOM"/>
    <x v="17"/>
    <x v="0"/>
    <x v="0"/>
    <n v="35.712567967975581"/>
  </r>
  <r>
    <x v="0"/>
    <x v="0"/>
    <x v="1"/>
    <s v="ESTONIA"/>
    <x v="18"/>
    <x v="0"/>
    <x v="0"/>
    <n v="37.118967143896789"/>
  </r>
  <r>
    <x v="0"/>
    <x v="0"/>
    <x v="1"/>
    <s v="LATVIA"/>
    <x v="19"/>
    <x v="0"/>
    <x v="0"/>
    <n v="37.342737284726496"/>
  </r>
  <r>
    <x v="0"/>
    <x v="0"/>
    <x v="1"/>
    <s v="LITHUANIA"/>
    <x v="20"/>
    <x v="0"/>
    <x v="0"/>
    <n v="37.432480279802085"/>
  </r>
  <r>
    <x v="0"/>
    <x v="0"/>
    <x v="1"/>
    <s v="POLAND"/>
    <x v="21"/>
    <x v="0"/>
    <x v="0"/>
    <n v="38.971848367490736"/>
  </r>
  <r>
    <x v="0"/>
    <x v="0"/>
    <x v="1"/>
    <s v="BELGIUM"/>
    <x v="22"/>
    <x v="0"/>
    <x v="0"/>
    <n v="38.364522604674626"/>
  </r>
  <r>
    <x v="0"/>
    <x v="0"/>
    <x v="1"/>
    <s v="FRANCE"/>
    <x v="23"/>
    <x v="0"/>
    <x v="0"/>
    <n v="34.158118498053447"/>
  </r>
  <r>
    <x v="0"/>
    <x v="0"/>
    <x v="1"/>
    <s v="ITALY"/>
    <x v="24"/>
    <x v="0"/>
    <x v="0"/>
    <n v="37.842148868668446"/>
  </r>
  <r>
    <x v="0"/>
    <x v="0"/>
    <x v="1"/>
    <s v="SWITZERLAND"/>
    <x v="25"/>
    <x v="0"/>
    <x v="0"/>
    <n v="36.685495651635165"/>
  </r>
  <r>
    <x v="0"/>
    <x v="0"/>
    <x v="1"/>
    <s v="AUSTRIA"/>
    <x v="26"/>
    <x v="0"/>
    <x v="0"/>
    <n v="38.109511660247087"/>
  </r>
  <r>
    <x v="0"/>
    <x v="0"/>
    <x v="1"/>
    <s v="CZECH_REPUBLIC"/>
    <x v="27"/>
    <x v="0"/>
    <x v="0"/>
    <n v="39.742502022589939"/>
  </r>
  <r>
    <x v="0"/>
    <x v="0"/>
    <x v="1"/>
    <s v="SPAIN"/>
    <x v="28"/>
    <x v="0"/>
    <x v="0"/>
    <n v="31.263291155712405"/>
  </r>
  <r>
    <x v="0"/>
    <x v="0"/>
    <x v="1"/>
    <s v="PORTUGAL"/>
    <x v="29"/>
    <x v="0"/>
    <x v="0"/>
    <n v="32.858720254629262"/>
  </r>
  <r>
    <x v="0"/>
    <x v="0"/>
    <x v="1"/>
    <s v="SLOVAKIA"/>
    <x v="30"/>
    <x v="0"/>
    <x v="0"/>
    <n v="38.69489471410661"/>
  </r>
  <r>
    <x v="0"/>
    <x v="0"/>
    <x v="1"/>
    <s v="HUNGARY"/>
    <x v="31"/>
    <x v="0"/>
    <x v="0"/>
    <n v="39.3244769447506"/>
  </r>
  <r>
    <x v="0"/>
    <x v="0"/>
    <x v="1"/>
    <s v="SLOVENIA"/>
    <x v="32"/>
    <x v="0"/>
    <x v="0"/>
    <n v="39.080431505007638"/>
  </r>
  <r>
    <x v="0"/>
    <x v="0"/>
    <x v="1"/>
    <s v="CROATIA"/>
    <x v="33"/>
    <x v="0"/>
    <x v="0"/>
    <n v="39.090193063288893"/>
  </r>
  <r>
    <x v="0"/>
    <x v="0"/>
    <x v="1"/>
    <s v="ROMANIA"/>
    <x v="34"/>
    <x v="0"/>
    <x v="0"/>
    <n v="39.849151551874115"/>
  </r>
  <r>
    <x v="0"/>
    <x v="0"/>
    <x v="1"/>
    <s v="BULGARIA"/>
    <x v="35"/>
    <x v="0"/>
    <x v="0"/>
    <n v="40.152210553995424"/>
  </r>
  <r>
    <x v="0"/>
    <x v="0"/>
    <x v="1"/>
    <s v="GREECE"/>
    <x v="36"/>
    <x v="0"/>
    <x v="0"/>
    <n v="40.696656743180689"/>
  </r>
  <r>
    <x v="0"/>
    <x v="0"/>
    <x v="1"/>
    <s v="IRELAND"/>
    <x v="37"/>
    <x v="0"/>
    <x v="0"/>
    <n v="32.503490206209818"/>
  </r>
  <r>
    <x v="0"/>
    <x v="0"/>
    <x v="1"/>
    <s v="LUXEMBOURG"/>
    <x v="38"/>
    <x v="0"/>
    <x v="0"/>
    <n v="37.86303273525612"/>
  </r>
  <r>
    <x v="0"/>
    <x v="0"/>
    <x v="1"/>
    <s v="ALBANIA"/>
    <x v="39"/>
    <x v="0"/>
    <x v="0"/>
    <n v="38.817072820435499"/>
  </r>
  <r>
    <x v="0"/>
    <x v="0"/>
    <x v="1"/>
    <s v="MONTENEGRO"/>
    <x v="40"/>
    <x v="0"/>
    <x v="0"/>
    <n v="39.371942519446819"/>
  </r>
  <r>
    <x v="0"/>
    <x v="0"/>
    <x v="1"/>
    <s v="NORTH_MACEDONIA"/>
    <x v="41"/>
    <x v="0"/>
    <x v="0"/>
    <n v="39.778493674362032"/>
  </r>
  <r>
    <x v="0"/>
    <x v="0"/>
    <x v="1"/>
    <s v="BOSNIA_AND_HERZEGOVINA"/>
    <x v="42"/>
    <x v="0"/>
    <x v="0"/>
    <n v="40.144513703040722"/>
  </r>
  <r>
    <x v="0"/>
    <x v="0"/>
    <x v="1"/>
    <s v="SERBIA"/>
    <x v="43"/>
    <x v="0"/>
    <x v="0"/>
    <n v="40.654725927624682"/>
  </r>
  <r>
    <x v="0"/>
    <x v="0"/>
    <x v="1"/>
    <s v="TURKEY"/>
    <x v="44"/>
    <x v="0"/>
    <x v="0"/>
    <n v="37.451256284309565"/>
  </r>
  <r>
    <x v="0"/>
    <x v="0"/>
    <x v="1"/>
    <s v="MALTA"/>
    <x v="45"/>
    <x v="0"/>
    <x v="0"/>
    <n v="45.789853141095399"/>
  </r>
  <r>
    <x v="0"/>
    <x v="0"/>
    <x v="1"/>
    <s v="CYPRUS"/>
    <x v="46"/>
    <x v="0"/>
    <x v="0"/>
    <n v="40.223335498804396"/>
  </r>
  <r>
    <x v="0"/>
    <x v="0"/>
    <x v="2"/>
    <s v="NORWAY"/>
    <x v="0"/>
    <x v="0"/>
    <x v="0"/>
    <n v="35.515908999456556"/>
  </r>
  <r>
    <x v="0"/>
    <x v="0"/>
    <x v="2"/>
    <s v="NORWAY"/>
    <x v="1"/>
    <x v="0"/>
    <x v="0"/>
    <n v="35.986364947180064"/>
  </r>
  <r>
    <x v="0"/>
    <x v="0"/>
    <x v="2"/>
    <s v="NORWAY"/>
    <x v="2"/>
    <x v="0"/>
    <x v="0"/>
    <n v="32.717185858901559"/>
  </r>
  <r>
    <x v="0"/>
    <x v="0"/>
    <x v="2"/>
    <s v="NORWAY"/>
    <x v="3"/>
    <x v="0"/>
    <x v="0"/>
    <n v="33.784190270095472"/>
  </r>
  <r>
    <x v="0"/>
    <x v="0"/>
    <x v="2"/>
    <s v="NORWAY"/>
    <x v="4"/>
    <x v="0"/>
    <x v="0"/>
    <n v="33.083861117686048"/>
  </r>
  <r>
    <x v="0"/>
    <x v="0"/>
    <x v="2"/>
    <s v="DENMARK"/>
    <x v="5"/>
    <x v="0"/>
    <x v="0"/>
    <n v="35.515253590408065"/>
  </r>
  <r>
    <x v="0"/>
    <x v="0"/>
    <x v="2"/>
    <s v="DENMARK"/>
    <x v="6"/>
    <x v="0"/>
    <x v="0"/>
    <n v="35.573926768043158"/>
  </r>
  <r>
    <x v="0"/>
    <x v="0"/>
    <x v="2"/>
    <s v="FINLAND"/>
    <x v="7"/>
    <x v="0"/>
    <x v="0"/>
    <n v="38.12955717535764"/>
  </r>
  <r>
    <x v="0"/>
    <x v="0"/>
    <x v="2"/>
    <s v="GERMANY"/>
    <x v="8"/>
    <x v="0"/>
    <x v="0"/>
    <n v="36.741406104881378"/>
  </r>
  <r>
    <x v="0"/>
    <x v="0"/>
    <x v="2"/>
    <s v="GERMANY"/>
    <x v="9"/>
    <x v="0"/>
    <x v="0"/>
    <n v="37.138702127114058"/>
  </r>
  <r>
    <x v="0"/>
    <x v="0"/>
    <x v="2"/>
    <s v="GERMANY"/>
    <x v="10"/>
    <x v="0"/>
    <x v="0"/>
    <n v="38.015122441299866"/>
  </r>
  <r>
    <x v="0"/>
    <x v="0"/>
    <x v="2"/>
    <s v="GERMANY"/>
    <x v="11"/>
    <x v="0"/>
    <x v="0"/>
    <n v="37.179567742369528"/>
  </r>
  <r>
    <x v="0"/>
    <x v="0"/>
    <x v="2"/>
    <s v="NETHERLANDS"/>
    <x v="12"/>
    <x v="0"/>
    <x v="0"/>
    <n v="37.807093057928384"/>
  </r>
  <r>
    <x v="0"/>
    <x v="0"/>
    <x v="2"/>
    <s v="SWEDEN"/>
    <x v="13"/>
    <x v="0"/>
    <x v="0"/>
    <n v="34.135506540757135"/>
  </r>
  <r>
    <x v="0"/>
    <x v="0"/>
    <x v="2"/>
    <s v="SWEDEN"/>
    <x v="14"/>
    <x v="0"/>
    <x v="0"/>
    <n v="34.612821194364997"/>
  </r>
  <r>
    <x v="0"/>
    <x v="0"/>
    <x v="2"/>
    <s v="SWEDEN"/>
    <x v="15"/>
    <x v="0"/>
    <x v="0"/>
    <n v="37.633799398959219"/>
  </r>
  <r>
    <x v="0"/>
    <x v="0"/>
    <x v="2"/>
    <s v="SWEDEN"/>
    <x v="16"/>
    <x v="0"/>
    <x v="0"/>
    <n v="37.495698802150265"/>
  </r>
  <r>
    <x v="0"/>
    <x v="0"/>
    <x v="2"/>
    <s v="UNITED_KINGDOM"/>
    <x v="17"/>
    <x v="0"/>
    <x v="0"/>
    <n v="35.15879020802457"/>
  </r>
  <r>
    <x v="0"/>
    <x v="0"/>
    <x v="2"/>
    <s v="ESTONIA"/>
    <x v="18"/>
    <x v="0"/>
    <x v="0"/>
    <n v="37.216466239764195"/>
  </r>
  <r>
    <x v="0"/>
    <x v="0"/>
    <x v="2"/>
    <s v="LATVIA"/>
    <x v="19"/>
    <x v="0"/>
    <x v="0"/>
    <n v="36.421565211235439"/>
  </r>
  <r>
    <x v="0"/>
    <x v="0"/>
    <x v="2"/>
    <s v="LITHUANIA"/>
    <x v="20"/>
    <x v="0"/>
    <x v="0"/>
    <n v="35.440547725867788"/>
  </r>
  <r>
    <x v="0"/>
    <x v="0"/>
    <x v="2"/>
    <s v="POLAND"/>
    <x v="21"/>
    <x v="0"/>
    <x v="0"/>
    <n v="36.901116817537407"/>
  </r>
  <r>
    <x v="0"/>
    <x v="0"/>
    <x v="2"/>
    <s v="BELGIUM"/>
    <x v="22"/>
    <x v="0"/>
    <x v="0"/>
    <n v="37.744881157432722"/>
  </r>
  <r>
    <x v="0"/>
    <x v="0"/>
    <x v="2"/>
    <s v="FRANCE"/>
    <x v="23"/>
    <x v="0"/>
    <x v="0"/>
    <n v="35.621675994410225"/>
  </r>
  <r>
    <x v="0"/>
    <x v="0"/>
    <x v="2"/>
    <s v="ITALY"/>
    <x v="24"/>
    <x v="0"/>
    <x v="0"/>
    <n v="39.278395334553132"/>
  </r>
  <r>
    <x v="0"/>
    <x v="0"/>
    <x v="2"/>
    <s v="SWITZERLAND"/>
    <x v="25"/>
    <x v="0"/>
    <x v="0"/>
    <n v="36.965950858542627"/>
  </r>
  <r>
    <x v="0"/>
    <x v="0"/>
    <x v="2"/>
    <s v="AUSTRIA"/>
    <x v="26"/>
    <x v="0"/>
    <x v="0"/>
    <n v="37.722845972665539"/>
  </r>
  <r>
    <x v="0"/>
    <x v="0"/>
    <x v="2"/>
    <s v="CZECH_REPUBLIC"/>
    <x v="27"/>
    <x v="0"/>
    <x v="0"/>
    <n v="38.095942789777276"/>
  </r>
  <r>
    <x v="0"/>
    <x v="0"/>
    <x v="2"/>
    <s v="SPAIN"/>
    <x v="28"/>
    <x v="0"/>
    <x v="0"/>
    <n v="35.552248122536511"/>
  </r>
  <r>
    <x v="0"/>
    <x v="0"/>
    <x v="2"/>
    <s v="PORTUGAL"/>
    <x v="29"/>
    <x v="0"/>
    <x v="0"/>
    <n v="35.73149834758101"/>
  </r>
  <r>
    <x v="0"/>
    <x v="0"/>
    <x v="2"/>
    <s v="SLOVAKIA"/>
    <x v="30"/>
    <x v="0"/>
    <x v="0"/>
    <n v="37.530957667688654"/>
  </r>
  <r>
    <x v="0"/>
    <x v="0"/>
    <x v="2"/>
    <s v="HUNGARY"/>
    <x v="31"/>
    <x v="0"/>
    <x v="0"/>
    <n v="38.519429288582359"/>
  </r>
  <r>
    <x v="0"/>
    <x v="0"/>
    <x v="2"/>
    <s v="SLOVENIA"/>
    <x v="32"/>
    <x v="0"/>
    <x v="0"/>
    <n v="38.981348613562389"/>
  </r>
  <r>
    <x v="0"/>
    <x v="0"/>
    <x v="2"/>
    <s v="CROATIA"/>
    <x v="33"/>
    <x v="0"/>
    <x v="0"/>
    <n v="38.376134089363958"/>
  </r>
  <r>
    <x v="0"/>
    <x v="0"/>
    <x v="2"/>
    <s v="ROMANIA"/>
    <x v="34"/>
    <x v="0"/>
    <x v="0"/>
    <n v="38.198796484312787"/>
  </r>
  <r>
    <x v="0"/>
    <x v="0"/>
    <x v="2"/>
    <s v="BULGARIA"/>
    <x v="35"/>
    <x v="0"/>
    <x v="0"/>
    <n v="37.86748009010126"/>
  </r>
  <r>
    <x v="0"/>
    <x v="0"/>
    <x v="2"/>
    <s v="GREECE"/>
    <x v="36"/>
    <x v="0"/>
    <x v="0"/>
    <n v="36.75287399637282"/>
  </r>
  <r>
    <x v="0"/>
    <x v="0"/>
    <x v="2"/>
    <s v="IRELAND"/>
    <x v="37"/>
    <x v="0"/>
    <x v="0"/>
    <n v="34.141491765733001"/>
  </r>
  <r>
    <x v="0"/>
    <x v="0"/>
    <x v="2"/>
    <s v="LUXEMBOURG"/>
    <x v="38"/>
    <x v="0"/>
    <x v="0"/>
    <n v="37.796987730256888"/>
  </r>
  <r>
    <x v="0"/>
    <x v="0"/>
    <x v="2"/>
    <s v="ALBANIA"/>
    <x v="39"/>
    <x v="0"/>
    <x v="0"/>
    <n v="38.078787200146621"/>
  </r>
  <r>
    <x v="0"/>
    <x v="0"/>
    <x v="2"/>
    <s v="MONTENEGRO"/>
    <x v="40"/>
    <x v="0"/>
    <x v="0"/>
    <n v="39.302648678212641"/>
  </r>
  <r>
    <x v="0"/>
    <x v="0"/>
    <x v="2"/>
    <s v="NORTH_MACEDONIA"/>
    <x v="41"/>
    <x v="0"/>
    <x v="0"/>
    <n v="38.273023945295343"/>
  </r>
  <r>
    <x v="0"/>
    <x v="0"/>
    <x v="2"/>
    <s v="BOSNIA_AND_HERZEGOVINA"/>
    <x v="42"/>
    <x v="0"/>
    <x v="0"/>
    <n v="39.302638745940932"/>
  </r>
  <r>
    <x v="0"/>
    <x v="0"/>
    <x v="2"/>
    <s v="SERBIA"/>
    <x v="43"/>
    <x v="0"/>
    <x v="0"/>
    <n v="39.566272273257091"/>
  </r>
  <r>
    <x v="0"/>
    <x v="0"/>
    <x v="2"/>
    <s v="TURKEY"/>
    <x v="44"/>
    <x v="0"/>
    <x v="0"/>
    <n v="35.924420368985359"/>
  </r>
  <r>
    <x v="0"/>
    <x v="0"/>
    <x v="2"/>
    <s v="MALTA"/>
    <x v="45"/>
    <x v="0"/>
    <x v="0"/>
    <n v="45.993004350986872"/>
  </r>
  <r>
    <x v="0"/>
    <x v="0"/>
    <x v="2"/>
    <s v="CYPRUS"/>
    <x v="46"/>
    <x v="0"/>
    <x v="0"/>
    <n v="35.831106536536225"/>
  </r>
  <r>
    <x v="0"/>
    <x v="0"/>
    <x v="3"/>
    <s v="NORWAY"/>
    <x v="0"/>
    <x v="0"/>
    <x v="0"/>
    <n v="34.673754464866839"/>
  </r>
  <r>
    <x v="0"/>
    <x v="0"/>
    <x v="3"/>
    <s v="NORWAY"/>
    <x v="1"/>
    <x v="0"/>
    <x v="0"/>
    <n v="34.267649406659494"/>
  </r>
  <r>
    <x v="0"/>
    <x v="0"/>
    <x v="3"/>
    <s v="NORWAY"/>
    <x v="2"/>
    <x v="0"/>
    <x v="0"/>
    <n v="31.725297950138142"/>
  </r>
  <r>
    <x v="0"/>
    <x v="0"/>
    <x v="3"/>
    <s v="NORWAY"/>
    <x v="3"/>
    <x v="0"/>
    <x v="0"/>
    <n v="34.114183966057951"/>
  </r>
  <r>
    <x v="0"/>
    <x v="0"/>
    <x v="3"/>
    <s v="NORWAY"/>
    <x v="4"/>
    <x v="0"/>
    <x v="0"/>
    <n v="31.629344915807664"/>
  </r>
  <r>
    <x v="0"/>
    <x v="0"/>
    <x v="3"/>
    <s v="DENMARK"/>
    <x v="5"/>
    <x v="0"/>
    <x v="0"/>
    <n v="33.556229748949157"/>
  </r>
  <r>
    <x v="0"/>
    <x v="0"/>
    <x v="3"/>
    <s v="DENMARK"/>
    <x v="6"/>
    <x v="0"/>
    <x v="0"/>
    <n v="34.569578714425013"/>
  </r>
  <r>
    <x v="0"/>
    <x v="0"/>
    <x v="3"/>
    <s v="FINLAND"/>
    <x v="7"/>
    <x v="0"/>
    <x v="0"/>
    <n v="38.324268884702747"/>
  </r>
  <r>
    <x v="0"/>
    <x v="0"/>
    <x v="3"/>
    <s v="GERMANY"/>
    <x v="8"/>
    <x v="0"/>
    <x v="0"/>
    <n v="34.847371577052719"/>
  </r>
  <r>
    <x v="0"/>
    <x v="0"/>
    <x v="3"/>
    <s v="GERMANY"/>
    <x v="9"/>
    <x v="0"/>
    <x v="0"/>
    <n v="34.546469861521231"/>
  </r>
  <r>
    <x v="0"/>
    <x v="0"/>
    <x v="3"/>
    <s v="GERMANY"/>
    <x v="10"/>
    <x v="0"/>
    <x v="0"/>
    <n v="35.212687012671417"/>
  </r>
  <r>
    <x v="0"/>
    <x v="0"/>
    <x v="3"/>
    <s v="GERMANY"/>
    <x v="11"/>
    <x v="0"/>
    <x v="0"/>
    <n v="34.379203629540363"/>
  </r>
  <r>
    <x v="0"/>
    <x v="0"/>
    <x v="3"/>
    <s v="NETHERLANDS"/>
    <x v="12"/>
    <x v="0"/>
    <x v="0"/>
    <n v="34.811773650323005"/>
  </r>
  <r>
    <x v="0"/>
    <x v="0"/>
    <x v="3"/>
    <s v="SWEDEN"/>
    <x v="13"/>
    <x v="0"/>
    <x v="0"/>
    <n v="34.520769076247795"/>
  </r>
  <r>
    <x v="0"/>
    <x v="0"/>
    <x v="3"/>
    <s v="SWEDEN"/>
    <x v="14"/>
    <x v="0"/>
    <x v="0"/>
    <n v="34.943518246492822"/>
  </r>
  <r>
    <x v="0"/>
    <x v="0"/>
    <x v="3"/>
    <s v="SWEDEN"/>
    <x v="15"/>
    <x v="0"/>
    <x v="0"/>
    <n v="37.508645245982159"/>
  </r>
  <r>
    <x v="0"/>
    <x v="0"/>
    <x v="3"/>
    <s v="SWEDEN"/>
    <x v="16"/>
    <x v="0"/>
    <x v="0"/>
    <n v="36.806582010954486"/>
  </r>
  <r>
    <x v="0"/>
    <x v="0"/>
    <x v="3"/>
    <s v="UNITED_KINGDOM"/>
    <x v="17"/>
    <x v="0"/>
    <x v="0"/>
    <n v="32.693438640001183"/>
  </r>
  <r>
    <x v="0"/>
    <x v="0"/>
    <x v="3"/>
    <s v="ESTONIA"/>
    <x v="18"/>
    <x v="0"/>
    <x v="0"/>
    <n v="36.067496244602523"/>
  </r>
  <r>
    <x v="0"/>
    <x v="0"/>
    <x v="3"/>
    <s v="LATVIA"/>
    <x v="19"/>
    <x v="0"/>
    <x v="0"/>
    <n v="34.925475273902379"/>
  </r>
  <r>
    <x v="0"/>
    <x v="0"/>
    <x v="3"/>
    <s v="LITHUANIA"/>
    <x v="20"/>
    <x v="0"/>
    <x v="0"/>
    <n v="34.383132778059931"/>
  </r>
  <r>
    <x v="0"/>
    <x v="0"/>
    <x v="3"/>
    <s v="POLAND"/>
    <x v="21"/>
    <x v="0"/>
    <x v="0"/>
    <n v="34.844292312711879"/>
  </r>
  <r>
    <x v="0"/>
    <x v="0"/>
    <x v="3"/>
    <s v="BELGIUM"/>
    <x v="22"/>
    <x v="0"/>
    <x v="0"/>
    <n v="34.968540274216522"/>
  </r>
  <r>
    <x v="0"/>
    <x v="0"/>
    <x v="3"/>
    <s v="FRANCE"/>
    <x v="23"/>
    <x v="0"/>
    <x v="0"/>
    <n v="33.192633775681692"/>
  </r>
  <r>
    <x v="0"/>
    <x v="0"/>
    <x v="3"/>
    <s v="ITALY"/>
    <x v="24"/>
    <x v="0"/>
    <x v="0"/>
    <n v="36.351386371084573"/>
  </r>
  <r>
    <x v="0"/>
    <x v="0"/>
    <x v="3"/>
    <s v="SWITZERLAND"/>
    <x v="25"/>
    <x v="0"/>
    <x v="0"/>
    <n v="34.23890271331782"/>
  </r>
  <r>
    <x v="0"/>
    <x v="0"/>
    <x v="3"/>
    <s v="AUSTRIA"/>
    <x v="26"/>
    <x v="0"/>
    <x v="0"/>
    <n v="35.435816680170682"/>
  </r>
  <r>
    <x v="0"/>
    <x v="0"/>
    <x v="3"/>
    <s v="CZECH_REPUBLIC"/>
    <x v="27"/>
    <x v="0"/>
    <x v="0"/>
    <n v="35.727112175099059"/>
  </r>
  <r>
    <x v="0"/>
    <x v="0"/>
    <x v="3"/>
    <s v="SPAIN"/>
    <x v="28"/>
    <x v="0"/>
    <x v="0"/>
    <n v="31.923764077136848"/>
  </r>
  <r>
    <x v="0"/>
    <x v="0"/>
    <x v="3"/>
    <s v="PORTUGAL"/>
    <x v="29"/>
    <x v="0"/>
    <x v="0"/>
    <n v="31.67980996146995"/>
  </r>
  <r>
    <x v="0"/>
    <x v="0"/>
    <x v="3"/>
    <s v="SLOVAKIA"/>
    <x v="30"/>
    <x v="0"/>
    <x v="0"/>
    <n v="35.406234972201503"/>
  </r>
  <r>
    <x v="0"/>
    <x v="0"/>
    <x v="3"/>
    <s v="HUNGARY"/>
    <x v="31"/>
    <x v="0"/>
    <x v="0"/>
    <n v="36.090350645631737"/>
  </r>
  <r>
    <x v="0"/>
    <x v="0"/>
    <x v="3"/>
    <s v="SLOVENIA"/>
    <x v="32"/>
    <x v="0"/>
    <x v="0"/>
    <n v="36.022866699675888"/>
  </r>
  <r>
    <x v="0"/>
    <x v="0"/>
    <x v="3"/>
    <s v="CROATIA"/>
    <x v="33"/>
    <x v="0"/>
    <x v="0"/>
    <n v="35.989420639741994"/>
  </r>
  <r>
    <x v="0"/>
    <x v="0"/>
    <x v="3"/>
    <s v="ROMANIA"/>
    <x v="34"/>
    <x v="0"/>
    <x v="0"/>
    <n v="36.384212169660366"/>
  </r>
  <r>
    <x v="0"/>
    <x v="0"/>
    <x v="3"/>
    <s v="BULGARIA"/>
    <x v="35"/>
    <x v="0"/>
    <x v="0"/>
    <n v="35.353103029052747"/>
  </r>
  <r>
    <x v="0"/>
    <x v="0"/>
    <x v="3"/>
    <s v="GREECE"/>
    <x v="36"/>
    <x v="0"/>
    <x v="0"/>
    <n v="34.861228454526405"/>
  </r>
  <r>
    <x v="0"/>
    <x v="0"/>
    <x v="3"/>
    <s v="IRELAND"/>
    <x v="37"/>
    <x v="0"/>
    <x v="0"/>
    <n v="32.289564723521991"/>
  </r>
  <r>
    <x v="0"/>
    <x v="0"/>
    <x v="3"/>
    <s v="LUXEMBOURG"/>
    <x v="38"/>
    <x v="0"/>
    <x v="0"/>
    <n v="34.894025798926172"/>
  </r>
  <r>
    <x v="0"/>
    <x v="0"/>
    <x v="3"/>
    <s v="ALBANIA"/>
    <x v="39"/>
    <x v="0"/>
    <x v="0"/>
    <n v="35.920582731830493"/>
  </r>
  <r>
    <x v="0"/>
    <x v="0"/>
    <x v="3"/>
    <s v="MONTENEGRO"/>
    <x v="40"/>
    <x v="0"/>
    <x v="0"/>
    <n v="36.731818654641479"/>
  </r>
  <r>
    <x v="0"/>
    <x v="0"/>
    <x v="3"/>
    <s v="NORTH_MACEDONIA"/>
    <x v="41"/>
    <x v="0"/>
    <x v="0"/>
    <n v="36.252111027739119"/>
  </r>
  <r>
    <x v="0"/>
    <x v="0"/>
    <x v="3"/>
    <s v="BOSNIA_AND_HERZEGOVINA"/>
    <x v="42"/>
    <x v="0"/>
    <x v="0"/>
    <n v="37.073996261386327"/>
  </r>
  <r>
    <x v="0"/>
    <x v="0"/>
    <x v="3"/>
    <s v="SERBIA"/>
    <x v="43"/>
    <x v="0"/>
    <x v="0"/>
    <n v="37.204555817062314"/>
  </r>
  <r>
    <x v="0"/>
    <x v="0"/>
    <x v="3"/>
    <s v="TURKEY"/>
    <x v="44"/>
    <x v="0"/>
    <x v="0"/>
    <n v="33.066177153481007"/>
  </r>
  <r>
    <x v="0"/>
    <x v="0"/>
    <x v="3"/>
    <s v="MALTA"/>
    <x v="45"/>
    <x v="0"/>
    <x v="0"/>
    <n v="42.454281846666085"/>
  </r>
  <r>
    <x v="0"/>
    <x v="0"/>
    <x v="3"/>
    <s v="CYPRUS"/>
    <x v="46"/>
    <x v="0"/>
    <x v="0"/>
    <n v="33.764471352864938"/>
  </r>
  <r>
    <x v="1"/>
    <x v="0"/>
    <x v="0"/>
    <s v="NORWAY"/>
    <x v="2"/>
    <x v="0"/>
    <x v="0"/>
    <n v="8.5556649859446914"/>
  </r>
  <r>
    <x v="1"/>
    <x v="0"/>
    <x v="0"/>
    <s v="NORWAY"/>
    <x v="3"/>
    <x v="0"/>
    <x v="0"/>
    <n v="8.0092966946120878"/>
  </r>
  <r>
    <x v="1"/>
    <x v="0"/>
    <x v="0"/>
    <s v="NORWAY"/>
    <x v="47"/>
    <x v="0"/>
    <x v="0"/>
    <n v="8.755477581733409"/>
  </r>
  <r>
    <x v="1"/>
    <x v="0"/>
    <x v="0"/>
    <s v="DENMARK"/>
    <x v="5"/>
    <x v="0"/>
    <x v="0"/>
    <n v="32.556706793895586"/>
  </r>
  <r>
    <x v="1"/>
    <x v="0"/>
    <x v="0"/>
    <s v="DENMARK"/>
    <x v="6"/>
    <x v="0"/>
    <x v="0"/>
    <n v="34.612127013019084"/>
  </r>
  <r>
    <x v="1"/>
    <x v="0"/>
    <x v="0"/>
    <s v="FINLAND"/>
    <x v="7"/>
    <x v="0"/>
    <x v="0"/>
    <n v="26.830887401631092"/>
  </r>
  <r>
    <x v="1"/>
    <x v="0"/>
    <x v="0"/>
    <s v="GERMANY"/>
    <x v="48"/>
    <x v="0"/>
    <x v="0"/>
    <n v="39.692802981137127"/>
  </r>
  <r>
    <x v="1"/>
    <x v="0"/>
    <x v="0"/>
    <s v="NETHERLANDS"/>
    <x v="12"/>
    <x v="0"/>
    <x v="0"/>
    <n v="42.238564580122336"/>
  </r>
  <r>
    <x v="1"/>
    <x v="0"/>
    <x v="0"/>
    <s v="SWEDEN"/>
    <x v="13"/>
    <x v="0"/>
    <x v="0"/>
    <n v="9.84061948974262"/>
  </r>
  <r>
    <x v="1"/>
    <x v="0"/>
    <x v="0"/>
    <s v="SWEDEN"/>
    <x v="14"/>
    <x v="0"/>
    <x v="0"/>
    <n v="10.05797732649032"/>
  </r>
  <r>
    <x v="1"/>
    <x v="0"/>
    <x v="0"/>
    <s v="SWEDEN"/>
    <x v="15"/>
    <x v="0"/>
    <x v="0"/>
    <n v="25.129841653087027"/>
  </r>
  <r>
    <x v="1"/>
    <x v="0"/>
    <x v="0"/>
    <s v="SWEDEN"/>
    <x v="16"/>
    <x v="0"/>
    <x v="0"/>
    <n v="25.621256695628379"/>
  </r>
  <r>
    <x v="1"/>
    <x v="0"/>
    <x v="0"/>
    <s v="UNITED_KINGDOM"/>
    <x v="49"/>
    <x v="0"/>
    <x v="0"/>
    <n v="37.728443917653898"/>
  </r>
  <r>
    <x v="1"/>
    <x v="0"/>
    <x v="0"/>
    <s v="UNITED_KINGDOM"/>
    <x v="50"/>
    <x v="0"/>
    <x v="0"/>
    <n v="46.098190056840927"/>
  </r>
  <r>
    <x v="1"/>
    <x v="0"/>
    <x v="0"/>
    <s v="ESTONIA"/>
    <x v="18"/>
    <x v="0"/>
    <x v="0"/>
    <n v="37.044142830393987"/>
  </r>
  <r>
    <x v="1"/>
    <x v="0"/>
    <x v="0"/>
    <s v="LATVIA"/>
    <x v="19"/>
    <x v="0"/>
    <x v="0"/>
    <n v="32.777596794674722"/>
  </r>
  <r>
    <x v="1"/>
    <x v="0"/>
    <x v="0"/>
    <s v="LITHUANIA"/>
    <x v="20"/>
    <x v="0"/>
    <x v="0"/>
    <n v="32.67758520637571"/>
  </r>
  <r>
    <x v="1"/>
    <x v="0"/>
    <x v="0"/>
    <s v="POLAND"/>
    <x v="21"/>
    <x v="0"/>
    <x v="0"/>
    <n v="49.979403499351854"/>
  </r>
  <r>
    <x v="1"/>
    <x v="0"/>
    <x v="0"/>
    <s v="BELGIUM"/>
    <x v="22"/>
    <x v="0"/>
    <x v="0"/>
    <n v="33.76511619132917"/>
  </r>
  <r>
    <x v="1"/>
    <x v="0"/>
    <x v="0"/>
    <s v="FRANCE"/>
    <x v="23"/>
    <x v="0"/>
    <x v="0"/>
    <n v="33.553362835101595"/>
  </r>
  <r>
    <x v="1"/>
    <x v="0"/>
    <x v="0"/>
    <s v="FRANCE"/>
    <x v="51"/>
    <x v="0"/>
    <x v="0"/>
    <n v="28.064927307416909"/>
  </r>
  <r>
    <x v="1"/>
    <x v="0"/>
    <x v="0"/>
    <s v="FRANCE"/>
    <x v="52"/>
    <x v="0"/>
    <x v="0"/>
    <n v="63.041849428174807"/>
  </r>
  <r>
    <x v="1"/>
    <x v="0"/>
    <x v="0"/>
    <s v="ITALY"/>
    <x v="53"/>
    <x v="0"/>
    <x v="0"/>
    <n v="39.276972263774603"/>
  </r>
  <r>
    <x v="1"/>
    <x v="0"/>
    <x v="0"/>
    <s v="ITALY"/>
    <x v="54"/>
    <x v="0"/>
    <x v="0"/>
    <n v="33.4011840537867"/>
  </r>
  <r>
    <x v="1"/>
    <x v="0"/>
    <x v="0"/>
    <s v="ITALY"/>
    <x v="55"/>
    <x v="0"/>
    <x v="0"/>
    <n v="39.426170547618057"/>
  </r>
  <r>
    <x v="1"/>
    <x v="0"/>
    <x v="0"/>
    <s v="ITALY"/>
    <x v="56"/>
    <x v="0"/>
    <x v="0"/>
    <n v="39.716227016419289"/>
  </r>
  <r>
    <x v="1"/>
    <x v="0"/>
    <x v="0"/>
    <s v="ITALY"/>
    <x v="57"/>
    <x v="0"/>
    <x v="0"/>
    <n v="32.240703989547306"/>
  </r>
  <r>
    <x v="1"/>
    <x v="0"/>
    <x v="0"/>
    <s v="ITALY"/>
    <x v="58"/>
    <x v="0"/>
    <x v="0"/>
    <n v="39.55258926809897"/>
  </r>
  <r>
    <x v="1"/>
    <x v="0"/>
    <x v="0"/>
    <s v="ITALY"/>
    <x v="59"/>
    <x v="0"/>
    <x v="0"/>
    <n v="39.85939186740827"/>
  </r>
  <r>
    <x v="1"/>
    <x v="0"/>
    <x v="0"/>
    <s v="ITALY"/>
    <x v="60"/>
    <x v="0"/>
    <x v="0"/>
    <n v="40.466566797557093"/>
  </r>
  <r>
    <x v="1"/>
    <x v="0"/>
    <x v="0"/>
    <s v="SWITZERLAND"/>
    <x v="25"/>
    <x v="0"/>
    <x v="0"/>
    <n v="27.646372217986901"/>
  </r>
  <r>
    <x v="1"/>
    <x v="0"/>
    <x v="0"/>
    <s v="AUSTRIA"/>
    <x v="26"/>
    <x v="0"/>
    <x v="0"/>
    <n v="29.454514071878108"/>
  </r>
  <r>
    <x v="1"/>
    <x v="0"/>
    <x v="0"/>
    <s v="CZECH_REPUBLIC"/>
    <x v="27"/>
    <x v="0"/>
    <x v="0"/>
    <n v="33.248119336680226"/>
  </r>
  <r>
    <x v="1"/>
    <x v="0"/>
    <x v="0"/>
    <s v="SPAIN"/>
    <x v="28"/>
    <x v="0"/>
    <x v="0"/>
    <n v="27.802598370691424"/>
  </r>
  <r>
    <x v="1"/>
    <x v="0"/>
    <x v="0"/>
    <s v="PORTUGAL"/>
    <x v="29"/>
    <x v="0"/>
    <x v="0"/>
    <n v="27.655349233181155"/>
  </r>
  <r>
    <x v="1"/>
    <x v="0"/>
    <x v="0"/>
    <s v="SLOVAKIA"/>
    <x v="30"/>
    <x v="0"/>
    <x v="0"/>
    <n v="30.183417412239582"/>
  </r>
  <r>
    <x v="1"/>
    <x v="0"/>
    <x v="0"/>
    <s v="HUNGARY"/>
    <x v="31"/>
    <x v="0"/>
    <x v="0"/>
    <n v="30.953698969558076"/>
  </r>
  <r>
    <x v="1"/>
    <x v="0"/>
    <x v="0"/>
    <s v="SLOVENIA"/>
    <x v="32"/>
    <x v="0"/>
    <x v="0"/>
    <n v="30.944716005331298"/>
  </r>
  <r>
    <x v="1"/>
    <x v="0"/>
    <x v="0"/>
    <s v="CROATIA"/>
    <x v="33"/>
    <x v="0"/>
    <x v="0"/>
    <n v="30.917495119952623"/>
  </r>
  <r>
    <x v="1"/>
    <x v="0"/>
    <x v="0"/>
    <s v="ROMANIA"/>
    <x v="34"/>
    <x v="0"/>
    <x v="0"/>
    <n v="29.105336259684954"/>
  </r>
  <r>
    <x v="1"/>
    <x v="0"/>
    <x v="0"/>
    <s v="BULGARIA"/>
    <x v="35"/>
    <x v="0"/>
    <x v="0"/>
    <n v="28.06492730741677"/>
  </r>
  <r>
    <x v="1"/>
    <x v="0"/>
    <x v="0"/>
    <s v="GREECE"/>
    <x v="61"/>
    <x v="0"/>
    <x v="0"/>
    <n v="40.875251791201535"/>
  </r>
  <r>
    <x v="1"/>
    <x v="0"/>
    <x v="0"/>
    <s v="GREECE"/>
    <x v="62"/>
    <x v="0"/>
    <x v="0"/>
    <n v="32.906478635765744"/>
  </r>
  <r>
    <x v="1"/>
    <x v="0"/>
    <x v="0"/>
    <s v="IRELAND"/>
    <x v="37"/>
    <x v="0"/>
    <x v="0"/>
    <n v="43.235987112870355"/>
  </r>
  <r>
    <x v="1"/>
    <x v="0"/>
    <x v="0"/>
    <s v="LUXEMBOURG"/>
    <x v="38"/>
    <x v="0"/>
    <x v="0"/>
    <n v="39.222626275345078"/>
  </r>
  <r>
    <x v="1"/>
    <x v="0"/>
    <x v="0"/>
    <s v="ALBANIA"/>
    <x v="39"/>
    <x v="0"/>
    <x v="0"/>
    <n v="27.31171303105776"/>
  </r>
  <r>
    <x v="1"/>
    <x v="0"/>
    <x v="0"/>
    <s v="MONTENEGRO"/>
    <x v="40"/>
    <x v="0"/>
    <x v="0"/>
    <n v="31.864240799544181"/>
  </r>
  <r>
    <x v="1"/>
    <x v="0"/>
    <x v="0"/>
    <s v="NORTH_MACEDONIA"/>
    <x v="41"/>
    <x v="0"/>
    <x v="0"/>
    <n v="31.380999561788318"/>
  </r>
  <r>
    <x v="1"/>
    <x v="0"/>
    <x v="0"/>
    <s v="BOSNIA_AND_HERZEGOVINA"/>
    <x v="42"/>
    <x v="0"/>
    <x v="0"/>
    <n v="31.967115013959713"/>
  </r>
  <r>
    <x v="1"/>
    <x v="0"/>
    <x v="0"/>
    <s v="SERBIA"/>
    <x v="43"/>
    <x v="0"/>
    <x v="0"/>
    <n v="31.768729479114455"/>
  </r>
  <r>
    <x v="1"/>
    <x v="0"/>
    <x v="0"/>
    <s v="TURKEY"/>
    <x v="44"/>
    <x v="0"/>
    <x v="0"/>
    <n v="11.546490060009813"/>
  </r>
  <r>
    <x v="1"/>
    <x v="0"/>
    <x v="0"/>
    <s v="MALTA"/>
    <x v="45"/>
    <x v="0"/>
    <x v="0"/>
    <n v="42.900143949790923"/>
  </r>
  <r>
    <x v="1"/>
    <x v="0"/>
    <x v="0"/>
    <s v="CYPRUS"/>
    <x v="46"/>
    <x v="0"/>
    <x v="0"/>
    <n v="35.542866316168507"/>
  </r>
  <r>
    <x v="1"/>
    <x v="0"/>
    <x v="1"/>
    <s v="NORWAY"/>
    <x v="2"/>
    <x v="0"/>
    <x v="0"/>
    <n v="20.97206563927503"/>
  </r>
  <r>
    <x v="1"/>
    <x v="0"/>
    <x v="1"/>
    <s v="NORWAY"/>
    <x v="3"/>
    <x v="0"/>
    <x v="0"/>
    <n v="18.939889462156088"/>
  </r>
  <r>
    <x v="1"/>
    <x v="0"/>
    <x v="1"/>
    <s v="NORWAY"/>
    <x v="47"/>
    <x v="0"/>
    <x v="0"/>
    <n v="27.139370899297202"/>
  </r>
  <r>
    <x v="1"/>
    <x v="0"/>
    <x v="1"/>
    <s v="DENMARK"/>
    <x v="5"/>
    <x v="0"/>
    <x v="0"/>
    <n v="28.07897979482739"/>
  </r>
  <r>
    <x v="1"/>
    <x v="0"/>
    <x v="1"/>
    <s v="DENMARK"/>
    <x v="6"/>
    <x v="0"/>
    <x v="0"/>
    <n v="27.684596210549319"/>
  </r>
  <r>
    <x v="1"/>
    <x v="0"/>
    <x v="1"/>
    <s v="FINLAND"/>
    <x v="7"/>
    <x v="0"/>
    <x v="0"/>
    <n v="22.899329621194177"/>
  </r>
  <r>
    <x v="1"/>
    <x v="0"/>
    <x v="1"/>
    <s v="GERMANY"/>
    <x v="48"/>
    <x v="0"/>
    <x v="0"/>
    <n v="30.109251562477397"/>
  </r>
  <r>
    <x v="1"/>
    <x v="0"/>
    <x v="1"/>
    <s v="NETHERLANDS"/>
    <x v="12"/>
    <x v="0"/>
    <x v="0"/>
    <n v="29.536069862482279"/>
  </r>
  <r>
    <x v="1"/>
    <x v="0"/>
    <x v="1"/>
    <s v="SWEDEN"/>
    <x v="13"/>
    <x v="0"/>
    <x v="0"/>
    <n v="19.59685271855307"/>
  </r>
  <r>
    <x v="1"/>
    <x v="0"/>
    <x v="1"/>
    <s v="SWEDEN"/>
    <x v="14"/>
    <x v="0"/>
    <x v="0"/>
    <n v="21.964995119759823"/>
  </r>
  <r>
    <x v="1"/>
    <x v="0"/>
    <x v="1"/>
    <s v="SWEDEN"/>
    <x v="15"/>
    <x v="0"/>
    <x v="0"/>
    <n v="25.868182394850784"/>
  </r>
  <r>
    <x v="1"/>
    <x v="0"/>
    <x v="1"/>
    <s v="SWEDEN"/>
    <x v="16"/>
    <x v="0"/>
    <x v="0"/>
    <n v="25.943790816483762"/>
  </r>
  <r>
    <x v="1"/>
    <x v="0"/>
    <x v="1"/>
    <s v="UNITED_KINGDOM"/>
    <x v="17"/>
    <x v="0"/>
    <x v="0"/>
    <n v="29.247506812691775"/>
  </r>
  <r>
    <x v="1"/>
    <x v="0"/>
    <x v="1"/>
    <s v="UNITED_KINGDOM"/>
    <x v="49"/>
    <x v="0"/>
    <x v="0"/>
    <n v="29.73789878092332"/>
  </r>
  <r>
    <x v="1"/>
    <x v="0"/>
    <x v="1"/>
    <s v="UNITED_KINGDOM"/>
    <x v="50"/>
    <x v="0"/>
    <x v="0"/>
    <n v="26.177009929762356"/>
  </r>
  <r>
    <x v="1"/>
    <x v="0"/>
    <x v="1"/>
    <s v="ESTONIA"/>
    <x v="18"/>
    <x v="0"/>
    <x v="0"/>
    <n v="25.476270844756097"/>
  </r>
  <r>
    <x v="1"/>
    <x v="0"/>
    <x v="1"/>
    <s v="LATVIA"/>
    <x v="19"/>
    <x v="0"/>
    <x v="0"/>
    <n v="24.62241993006025"/>
  </r>
  <r>
    <x v="1"/>
    <x v="0"/>
    <x v="1"/>
    <s v="LITHUANIA"/>
    <x v="20"/>
    <x v="0"/>
    <x v="0"/>
    <n v="23.546875115127122"/>
  </r>
  <r>
    <x v="1"/>
    <x v="0"/>
    <x v="1"/>
    <s v="POLAND"/>
    <x v="21"/>
    <x v="0"/>
    <x v="0"/>
    <n v="26.67724224617568"/>
  </r>
  <r>
    <x v="1"/>
    <x v="0"/>
    <x v="1"/>
    <s v="BELGIUM"/>
    <x v="22"/>
    <x v="0"/>
    <x v="0"/>
    <n v="29.46995334523891"/>
  </r>
  <r>
    <x v="1"/>
    <x v="0"/>
    <x v="1"/>
    <s v="FRANCE"/>
    <x v="23"/>
    <x v="0"/>
    <x v="0"/>
    <n v="28.645122633482575"/>
  </r>
  <r>
    <x v="1"/>
    <x v="0"/>
    <x v="1"/>
    <s v="FRANCE"/>
    <x v="51"/>
    <x v="0"/>
    <x v="0"/>
    <n v="26.473707488179681"/>
  </r>
  <r>
    <x v="1"/>
    <x v="0"/>
    <x v="1"/>
    <s v="FRANCE"/>
    <x v="52"/>
    <x v="0"/>
    <x v="0"/>
    <n v="53.112912494761396"/>
  </r>
  <r>
    <x v="1"/>
    <x v="0"/>
    <x v="1"/>
    <s v="ITALY"/>
    <x v="24"/>
    <x v="0"/>
    <x v="0"/>
    <n v="29.83080468301344"/>
  </r>
  <r>
    <x v="1"/>
    <x v="0"/>
    <x v="1"/>
    <s v="ITALY"/>
    <x v="53"/>
    <x v="0"/>
    <x v="0"/>
    <n v="34.128702109122081"/>
  </r>
  <r>
    <x v="1"/>
    <x v="0"/>
    <x v="1"/>
    <s v="ITALY"/>
    <x v="54"/>
    <x v="0"/>
    <x v="0"/>
    <n v="32.870950986705651"/>
  </r>
  <r>
    <x v="1"/>
    <x v="0"/>
    <x v="1"/>
    <s v="ITALY"/>
    <x v="55"/>
    <x v="0"/>
    <x v="0"/>
    <n v="34.448398126859146"/>
  </r>
  <r>
    <x v="1"/>
    <x v="0"/>
    <x v="1"/>
    <s v="ITALY"/>
    <x v="56"/>
    <x v="0"/>
    <x v="0"/>
    <n v="34.44078100271566"/>
  </r>
  <r>
    <x v="1"/>
    <x v="0"/>
    <x v="1"/>
    <s v="ITALY"/>
    <x v="57"/>
    <x v="0"/>
    <x v="0"/>
    <n v="31.351186406998881"/>
  </r>
  <r>
    <x v="1"/>
    <x v="0"/>
    <x v="1"/>
    <s v="ITALY"/>
    <x v="58"/>
    <x v="0"/>
    <x v="0"/>
    <n v="34.292133896594962"/>
  </r>
  <r>
    <x v="1"/>
    <x v="0"/>
    <x v="1"/>
    <s v="ITALY"/>
    <x v="59"/>
    <x v="0"/>
    <x v="0"/>
    <n v="34.672210557324654"/>
  </r>
  <r>
    <x v="1"/>
    <x v="0"/>
    <x v="1"/>
    <s v="ITALY"/>
    <x v="60"/>
    <x v="0"/>
    <x v="0"/>
    <n v="35.050536343835908"/>
  </r>
  <r>
    <x v="1"/>
    <x v="0"/>
    <x v="1"/>
    <s v="SWITZERLAND"/>
    <x v="25"/>
    <x v="0"/>
    <x v="0"/>
    <n v="28.64900854025824"/>
  </r>
  <r>
    <x v="1"/>
    <x v="0"/>
    <x v="1"/>
    <s v="AUSTRIA"/>
    <x v="26"/>
    <x v="0"/>
    <x v="0"/>
    <n v="26.950641757298428"/>
  </r>
  <r>
    <x v="1"/>
    <x v="0"/>
    <x v="1"/>
    <s v="CZECH_REPUBLIC"/>
    <x v="27"/>
    <x v="0"/>
    <x v="0"/>
    <n v="28.241328746294553"/>
  </r>
  <r>
    <x v="1"/>
    <x v="0"/>
    <x v="1"/>
    <s v="SPAIN"/>
    <x v="28"/>
    <x v="0"/>
    <x v="0"/>
    <n v="27.175786460812237"/>
  </r>
  <r>
    <x v="1"/>
    <x v="0"/>
    <x v="1"/>
    <s v="PORTUGAL"/>
    <x v="29"/>
    <x v="0"/>
    <x v="0"/>
    <n v="27.045474169479125"/>
  </r>
  <r>
    <x v="1"/>
    <x v="0"/>
    <x v="1"/>
    <s v="SLOVAKIA"/>
    <x v="30"/>
    <x v="0"/>
    <x v="0"/>
    <n v="26.950412221094343"/>
  </r>
  <r>
    <x v="1"/>
    <x v="0"/>
    <x v="1"/>
    <s v="HUNGARY"/>
    <x v="31"/>
    <x v="0"/>
    <x v="0"/>
    <n v="27.276835031674299"/>
  </r>
  <r>
    <x v="1"/>
    <x v="0"/>
    <x v="1"/>
    <s v="SLOVENIA"/>
    <x v="32"/>
    <x v="0"/>
    <x v="0"/>
    <n v="27.316174896371006"/>
  </r>
  <r>
    <x v="1"/>
    <x v="0"/>
    <x v="1"/>
    <s v="CROATIA"/>
    <x v="33"/>
    <x v="0"/>
    <x v="0"/>
    <n v="26.775429585800765"/>
  </r>
  <r>
    <x v="1"/>
    <x v="0"/>
    <x v="1"/>
    <s v="ROMANIA"/>
    <x v="34"/>
    <x v="0"/>
    <x v="0"/>
    <n v="27.130310944649391"/>
  </r>
  <r>
    <x v="1"/>
    <x v="0"/>
    <x v="1"/>
    <s v="BULGARIA"/>
    <x v="35"/>
    <x v="0"/>
    <x v="0"/>
    <n v="26.597643703072027"/>
  </r>
  <r>
    <x v="1"/>
    <x v="0"/>
    <x v="1"/>
    <s v="GREECE"/>
    <x v="36"/>
    <x v="0"/>
    <x v="0"/>
    <n v="28.349812984564259"/>
  </r>
  <r>
    <x v="1"/>
    <x v="0"/>
    <x v="1"/>
    <s v="GREECE"/>
    <x v="61"/>
    <x v="0"/>
    <x v="0"/>
    <n v="34.664873433463498"/>
  </r>
  <r>
    <x v="1"/>
    <x v="0"/>
    <x v="1"/>
    <s v="GREECE"/>
    <x v="62"/>
    <x v="0"/>
    <x v="0"/>
    <n v="24.058574993096244"/>
  </r>
  <r>
    <x v="1"/>
    <x v="0"/>
    <x v="1"/>
    <s v="IRELAND"/>
    <x v="37"/>
    <x v="0"/>
    <x v="0"/>
    <n v="25.571275373541265"/>
  </r>
  <r>
    <x v="1"/>
    <x v="0"/>
    <x v="1"/>
    <s v="LUXEMBOURG"/>
    <x v="38"/>
    <x v="0"/>
    <x v="0"/>
    <n v="30.133036620334369"/>
  </r>
  <r>
    <x v="1"/>
    <x v="0"/>
    <x v="1"/>
    <s v="ALBANIA"/>
    <x v="39"/>
    <x v="0"/>
    <x v="0"/>
    <n v="25.904503260710218"/>
  </r>
  <r>
    <x v="1"/>
    <x v="0"/>
    <x v="1"/>
    <s v="MONTENEGRO"/>
    <x v="40"/>
    <x v="0"/>
    <x v="0"/>
    <n v="27.272617393807238"/>
  </r>
  <r>
    <x v="1"/>
    <x v="0"/>
    <x v="1"/>
    <s v="NORTH_MACEDONIA"/>
    <x v="41"/>
    <x v="0"/>
    <x v="0"/>
    <n v="27.183250280341795"/>
  </r>
  <r>
    <x v="1"/>
    <x v="0"/>
    <x v="1"/>
    <s v="BOSNIA_AND_HERZEGOVINA"/>
    <x v="42"/>
    <x v="0"/>
    <x v="0"/>
    <n v="27.553856942105678"/>
  </r>
  <r>
    <x v="1"/>
    <x v="0"/>
    <x v="1"/>
    <s v="SERBIA"/>
    <x v="43"/>
    <x v="0"/>
    <x v="0"/>
    <n v="27.60479810077517"/>
  </r>
  <r>
    <x v="1"/>
    <x v="0"/>
    <x v="1"/>
    <s v="TURKEY"/>
    <x v="44"/>
    <x v="0"/>
    <x v="0"/>
    <n v="21.27772453618401"/>
  </r>
  <r>
    <x v="1"/>
    <x v="0"/>
    <x v="1"/>
    <s v="MALTA"/>
    <x v="45"/>
    <x v="0"/>
    <x v="0"/>
    <n v="35.347793727997164"/>
  </r>
  <r>
    <x v="1"/>
    <x v="0"/>
    <x v="1"/>
    <s v="CYPRUS"/>
    <x v="46"/>
    <x v="0"/>
    <x v="0"/>
    <n v="25.377261071155008"/>
  </r>
  <r>
    <x v="1"/>
    <x v="0"/>
    <x v="2"/>
    <s v="NORWAY"/>
    <x v="2"/>
    <x v="0"/>
    <x v="0"/>
    <n v="22.56159115141072"/>
  </r>
  <r>
    <x v="1"/>
    <x v="0"/>
    <x v="2"/>
    <s v="NORWAY"/>
    <x v="3"/>
    <x v="0"/>
    <x v="0"/>
    <n v="20.581382601973583"/>
  </r>
  <r>
    <x v="1"/>
    <x v="0"/>
    <x v="2"/>
    <s v="NORWAY"/>
    <x v="47"/>
    <x v="0"/>
    <x v="0"/>
    <n v="26.647454057706291"/>
  </r>
  <r>
    <x v="1"/>
    <x v="0"/>
    <x v="2"/>
    <s v="DENMARK"/>
    <x v="5"/>
    <x v="0"/>
    <x v="0"/>
    <n v="26.862960311436368"/>
  </r>
  <r>
    <x v="1"/>
    <x v="0"/>
    <x v="2"/>
    <s v="DENMARK"/>
    <x v="6"/>
    <x v="0"/>
    <x v="0"/>
    <n v="26.915385015228075"/>
  </r>
  <r>
    <x v="1"/>
    <x v="0"/>
    <x v="2"/>
    <s v="FINLAND"/>
    <x v="7"/>
    <x v="0"/>
    <x v="0"/>
    <n v="22.48810324909736"/>
  </r>
  <r>
    <x v="1"/>
    <x v="0"/>
    <x v="2"/>
    <s v="GERMANY"/>
    <x v="48"/>
    <x v="0"/>
    <x v="0"/>
    <n v="28.236999607718616"/>
  </r>
  <r>
    <x v="1"/>
    <x v="0"/>
    <x v="2"/>
    <s v="NETHERLANDS"/>
    <x v="12"/>
    <x v="0"/>
    <x v="0"/>
    <n v="28.946435048114665"/>
  </r>
  <r>
    <x v="1"/>
    <x v="0"/>
    <x v="2"/>
    <s v="SWEDEN"/>
    <x v="13"/>
    <x v="0"/>
    <x v="0"/>
    <n v="20.929425660255745"/>
  </r>
  <r>
    <x v="1"/>
    <x v="0"/>
    <x v="2"/>
    <s v="SWEDEN"/>
    <x v="14"/>
    <x v="0"/>
    <x v="0"/>
    <n v="22.377523085037044"/>
  </r>
  <r>
    <x v="1"/>
    <x v="0"/>
    <x v="2"/>
    <s v="SWEDEN"/>
    <x v="15"/>
    <x v="0"/>
    <x v="0"/>
    <n v="26.147202028029671"/>
  </r>
  <r>
    <x v="1"/>
    <x v="0"/>
    <x v="2"/>
    <s v="SWEDEN"/>
    <x v="16"/>
    <x v="0"/>
    <x v="0"/>
    <n v="26.141965040517555"/>
  </r>
  <r>
    <x v="1"/>
    <x v="0"/>
    <x v="2"/>
    <s v="UNITED_KINGDOM"/>
    <x v="17"/>
    <x v="0"/>
    <x v="0"/>
    <n v="26.681014468316306"/>
  </r>
  <r>
    <x v="1"/>
    <x v="0"/>
    <x v="2"/>
    <s v="UNITED_KINGDOM"/>
    <x v="49"/>
    <x v="0"/>
    <x v="0"/>
    <n v="32.769778877936858"/>
  </r>
  <r>
    <x v="1"/>
    <x v="0"/>
    <x v="2"/>
    <s v="UNITED_KINGDOM"/>
    <x v="50"/>
    <x v="0"/>
    <x v="0"/>
    <n v="29.368573161161294"/>
  </r>
  <r>
    <x v="1"/>
    <x v="0"/>
    <x v="2"/>
    <s v="ESTONIA"/>
    <x v="18"/>
    <x v="0"/>
    <x v="0"/>
    <n v="25.959568701056895"/>
  </r>
  <r>
    <x v="1"/>
    <x v="0"/>
    <x v="2"/>
    <s v="LATVIA"/>
    <x v="19"/>
    <x v="0"/>
    <x v="0"/>
    <n v="25.229604655240323"/>
  </r>
  <r>
    <x v="1"/>
    <x v="0"/>
    <x v="2"/>
    <s v="LITHUANIA"/>
    <x v="20"/>
    <x v="0"/>
    <x v="0"/>
    <n v="23.03918334649342"/>
  </r>
  <r>
    <x v="1"/>
    <x v="0"/>
    <x v="2"/>
    <s v="POLAND"/>
    <x v="21"/>
    <x v="0"/>
    <x v="0"/>
    <n v="25.096377081291184"/>
  </r>
  <r>
    <x v="1"/>
    <x v="0"/>
    <x v="2"/>
    <s v="BELGIUM"/>
    <x v="22"/>
    <x v="0"/>
    <x v="0"/>
    <n v="28.883851190551397"/>
  </r>
  <r>
    <x v="1"/>
    <x v="0"/>
    <x v="2"/>
    <s v="FRANCE"/>
    <x v="23"/>
    <x v="0"/>
    <x v="0"/>
    <n v="28.185276198799418"/>
  </r>
  <r>
    <x v="1"/>
    <x v="0"/>
    <x v="2"/>
    <s v="FRANCE"/>
    <x v="51"/>
    <x v="0"/>
    <x v="0"/>
    <n v="25.353682173744659"/>
  </r>
  <r>
    <x v="1"/>
    <x v="0"/>
    <x v="2"/>
    <s v="FRANCE"/>
    <x v="52"/>
    <x v="0"/>
    <x v="0"/>
    <n v="54.051829593257104"/>
  </r>
  <r>
    <x v="1"/>
    <x v="0"/>
    <x v="2"/>
    <s v="ITALY"/>
    <x v="24"/>
    <x v="0"/>
    <x v="0"/>
    <n v="27.923277422242133"/>
  </r>
  <r>
    <x v="1"/>
    <x v="0"/>
    <x v="2"/>
    <s v="ITALY"/>
    <x v="53"/>
    <x v="0"/>
    <x v="0"/>
    <n v="35.030091539442424"/>
  </r>
  <r>
    <x v="1"/>
    <x v="0"/>
    <x v="2"/>
    <s v="ITALY"/>
    <x v="54"/>
    <x v="0"/>
    <x v="0"/>
    <n v="33.106992535622723"/>
  </r>
  <r>
    <x v="1"/>
    <x v="0"/>
    <x v="2"/>
    <s v="ITALY"/>
    <x v="55"/>
    <x v="0"/>
    <x v="0"/>
    <n v="35.754832141596182"/>
  </r>
  <r>
    <x v="1"/>
    <x v="0"/>
    <x v="2"/>
    <s v="ITALY"/>
    <x v="56"/>
    <x v="0"/>
    <x v="0"/>
    <n v="35.5141708518698"/>
  </r>
  <r>
    <x v="1"/>
    <x v="0"/>
    <x v="2"/>
    <s v="ITALY"/>
    <x v="57"/>
    <x v="0"/>
    <x v="0"/>
    <n v="30.897033090827936"/>
  </r>
  <r>
    <x v="1"/>
    <x v="0"/>
    <x v="2"/>
    <s v="ITALY"/>
    <x v="58"/>
    <x v="0"/>
    <x v="0"/>
    <n v="35.028095814930545"/>
  </r>
  <r>
    <x v="1"/>
    <x v="0"/>
    <x v="2"/>
    <s v="ITALY"/>
    <x v="59"/>
    <x v="0"/>
    <x v="0"/>
    <n v="36.343178270338448"/>
  </r>
  <r>
    <x v="1"/>
    <x v="0"/>
    <x v="2"/>
    <s v="ITALY"/>
    <x v="60"/>
    <x v="0"/>
    <x v="0"/>
    <n v="35.957449860764136"/>
  </r>
  <r>
    <x v="1"/>
    <x v="0"/>
    <x v="2"/>
    <s v="SWITZERLAND"/>
    <x v="25"/>
    <x v="0"/>
    <x v="0"/>
    <n v="26.964691492503874"/>
  </r>
  <r>
    <x v="1"/>
    <x v="0"/>
    <x v="2"/>
    <s v="AUSTRIA"/>
    <x v="26"/>
    <x v="0"/>
    <x v="0"/>
    <n v="25.916777720113821"/>
  </r>
  <r>
    <x v="1"/>
    <x v="0"/>
    <x v="2"/>
    <s v="CZECH_REPUBLIC"/>
    <x v="27"/>
    <x v="0"/>
    <x v="0"/>
    <n v="25.726488364793205"/>
  </r>
  <r>
    <x v="1"/>
    <x v="0"/>
    <x v="2"/>
    <s v="SPAIN"/>
    <x v="28"/>
    <x v="0"/>
    <x v="0"/>
    <n v="26.470416817803418"/>
  </r>
  <r>
    <x v="1"/>
    <x v="0"/>
    <x v="2"/>
    <s v="PORTUGAL"/>
    <x v="29"/>
    <x v="0"/>
    <x v="0"/>
    <n v="26.768201176555745"/>
  </r>
  <r>
    <x v="1"/>
    <x v="0"/>
    <x v="2"/>
    <s v="SLOVAKIA"/>
    <x v="30"/>
    <x v="0"/>
    <x v="0"/>
    <n v="25.875027561294825"/>
  </r>
  <r>
    <x v="1"/>
    <x v="0"/>
    <x v="2"/>
    <s v="HUNGARY"/>
    <x v="31"/>
    <x v="0"/>
    <x v="0"/>
    <n v="25.958252663307171"/>
  </r>
  <r>
    <x v="1"/>
    <x v="0"/>
    <x v="2"/>
    <s v="SLOVENIA"/>
    <x v="32"/>
    <x v="0"/>
    <x v="0"/>
    <n v="25.460822772982858"/>
  </r>
  <r>
    <x v="1"/>
    <x v="0"/>
    <x v="2"/>
    <s v="CROATIA"/>
    <x v="33"/>
    <x v="0"/>
    <x v="0"/>
    <n v="24.782821613995711"/>
  </r>
  <r>
    <x v="1"/>
    <x v="0"/>
    <x v="2"/>
    <s v="ROMANIA"/>
    <x v="34"/>
    <x v="0"/>
    <x v="0"/>
    <n v="24.724970753351492"/>
  </r>
  <r>
    <x v="1"/>
    <x v="0"/>
    <x v="2"/>
    <s v="BULGARIA"/>
    <x v="35"/>
    <x v="0"/>
    <x v="0"/>
    <n v="26.060270271681741"/>
  </r>
  <r>
    <x v="1"/>
    <x v="0"/>
    <x v="2"/>
    <s v="GREECE"/>
    <x v="36"/>
    <x v="0"/>
    <x v="0"/>
    <n v="24.641249008434851"/>
  </r>
  <r>
    <x v="1"/>
    <x v="0"/>
    <x v="2"/>
    <s v="GREECE"/>
    <x v="61"/>
    <x v="0"/>
    <x v="0"/>
    <n v="34.903029443624419"/>
  </r>
  <r>
    <x v="1"/>
    <x v="0"/>
    <x v="2"/>
    <s v="GREECE"/>
    <x v="62"/>
    <x v="0"/>
    <x v="0"/>
    <n v="25.387844362539113"/>
  </r>
  <r>
    <x v="1"/>
    <x v="0"/>
    <x v="2"/>
    <s v="IRELAND"/>
    <x v="37"/>
    <x v="0"/>
    <x v="0"/>
    <n v="25.45800220961301"/>
  </r>
  <r>
    <x v="1"/>
    <x v="0"/>
    <x v="2"/>
    <s v="LUXEMBOURG"/>
    <x v="38"/>
    <x v="0"/>
    <x v="0"/>
    <n v="28.458156453423022"/>
  </r>
  <r>
    <x v="1"/>
    <x v="0"/>
    <x v="2"/>
    <s v="ALBANIA"/>
    <x v="39"/>
    <x v="0"/>
    <x v="0"/>
    <n v="24.971816362142999"/>
  </r>
  <r>
    <x v="1"/>
    <x v="0"/>
    <x v="2"/>
    <s v="MONTENEGRO"/>
    <x v="40"/>
    <x v="0"/>
    <x v="0"/>
    <n v="25.822771592307895"/>
  </r>
  <r>
    <x v="1"/>
    <x v="0"/>
    <x v="2"/>
    <s v="NORTH_MACEDONIA"/>
    <x v="41"/>
    <x v="0"/>
    <x v="0"/>
    <n v="25.591653920138313"/>
  </r>
  <r>
    <x v="1"/>
    <x v="0"/>
    <x v="2"/>
    <s v="BOSNIA_AND_HERZEGOVINA"/>
    <x v="42"/>
    <x v="0"/>
    <x v="0"/>
    <n v="25.710237423386218"/>
  </r>
  <r>
    <x v="1"/>
    <x v="0"/>
    <x v="2"/>
    <s v="SERBIA"/>
    <x v="43"/>
    <x v="0"/>
    <x v="0"/>
    <n v="25.916543832652149"/>
  </r>
  <r>
    <x v="1"/>
    <x v="0"/>
    <x v="2"/>
    <s v="TURKEY"/>
    <x v="44"/>
    <x v="0"/>
    <x v="0"/>
    <n v="25.249411557369509"/>
  </r>
  <r>
    <x v="1"/>
    <x v="0"/>
    <x v="2"/>
    <s v="MALTA"/>
    <x v="45"/>
    <x v="0"/>
    <x v="0"/>
    <n v="34.355583829864514"/>
  </r>
  <r>
    <x v="1"/>
    <x v="0"/>
    <x v="2"/>
    <s v="CYPRUS"/>
    <x v="46"/>
    <x v="0"/>
    <x v="0"/>
    <n v="28.952551099779246"/>
  </r>
  <r>
    <x v="1"/>
    <x v="0"/>
    <x v="3"/>
    <s v="NORWAY"/>
    <x v="2"/>
    <x v="0"/>
    <x v="0"/>
    <n v="21.977842862181117"/>
  </r>
  <r>
    <x v="1"/>
    <x v="0"/>
    <x v="3"/>
    <s v="NORWAY"/>
    <x v="3"/>
    <x v="0"/>
    <x v="0"/>
    <n v="20.766240913772023"/>
  </r>
  <r>
    <x v="1"/>
    <x v="0"/>
    <x v="3"/>
    <s v="NORWAY"/>
    <x v="47"/>
    <x v="0"/>
    <x v="0"/>
    <n v="24.91057014833693"/>
  </r>
  <r>
    <x v="1"/>
    <x v="0"/>
    <x v="3"/>
    <s v="DENMARK"/>
    <x v="5"/>
    <x v="0"/>
    <x v="0"/>
    <n v="24.664188169658264"/>
  </r>
  <r>
    <x v="1"/>
    <x v="0"/>
    <x v="3"/>
    <s v="DENMARK"/>
    <x v="6"/>
    <x v="0"/>
    <x v="0"/>
    <n v="24.59101730431474"/>
  </r>
  <r>
    <x v="1"/>
    <x v="0"/>
    <x v="3"/>
    <s v="FINLAND"/>
    <x v="7"/>
    <x v="0"/>
    <x v="0"/>
    <n v="21.350527784446001"/>
  </r>
  <r>
    <x v="1"/>
    <x v="0"/>
    <x v="3"/>
    <s v="GERMANY"/>
    <x v="48"/>
    <x v="0"/>
    <x v="0"/>
    <n v="26.264598976911238"/>
  </r>
  <r>
    <x v="1"/>
    <x v="0"/>
    <x v="3"/>
    <s v="NETHERLANDS"/>
    <x v="12"/>
    <x v="0"/>
    <x v="0"/>
    <n v="26.636205723572516"/>
  </r>
  <r>
    <x v="1"/>
    <x v="0"/>
    <x v="3"/>
    <s v="SWEDEN"/>
    <x v="13"/>
    <x v="0"/>
    <x v="0"/>
    <n v="20.991505381563783"/>
  </r>
  <r>
    <x v="1"/>
    <x v="0"/>
    <x v="3"/>
    <s v="SWEDEN"/>
    <x v="14"/>
    <x v="0"/>
    <x v="0"/>
    <n v="21.604519567433865"/>
  </r>
  <r>
    <x v="1"/>
    <x v="0"/>
    <x v="3"/>
    <s v="SWEDEN"/>
    <x v="15"/>
    <x v="0"/>
    <x v="0"/>
    <n v="24.171271891699657"/>
  </r>
  <r>
    <x v="1"/>
    <x v="0"/>
    <x v="3"/>
    <s v="SWEDEN"/>
    <x v="16"/>
    <x v="0"/>
    <x v="0"/>
    <n v="24.344794080449944"/>
  </r>
  <r>
    <x v="1"/>
    <x v="0"/>
    <x v="3"/>
    <s v="UNITED_KINGDOM"/>
    <x v="17"/>
    <x v="0"/>
    <x v="0"/>
    <n v="25.677779332594952"/>
  </r>
  <r>
    <x v="1"/>
    <x v="0"/>
    <x v="3"/>
    <s v="UNITED_KINGDOM"/>
    <x v="49"/>
    <x v="0"/>
    <x v="0"/>
    <n v="31.881987624499729"/>
  </r>
  <r>
    <x v="1"/>
    <x v="0"/>
    <x v="3"/>
    <s v="UNITED_KINGDOM"/>
    <x v="50"/>
    <x v="0"/>
    <x v="0"/>
    <n v="29.139864711601813"/>
  </r>
  <r>
    <x v="1"/>
    <x v="0"/>
    <x v="3"/>
    <s v="ESTONIA"/>
    <x v="18"/>
    <x v="0"/>
    <x v="0"/>
    <n v="23.627246798429418"/>
  </r>
  <r>
    <x v="1"/>
    <x v="0"/>
    <x v="3"/>
    <s v="LATVIA"/>
    <x v="19"/>
    <x v="0"/>
    <x v="0"/>
    <n v="23.33097984386438"/>
  </r>
  <r>
    <x v="1"/>
    <x v="0"/>
    <x v="3"/>
    <s v="LITHUANIA"/>
    <x v="20"/>
    <x v="0"/>
    <x v="0"/>
    <n v="21.623556235222996"/>
  </r>
  <r>
    <x v="1"/>
    <x v="0"/>
    <x v="3"/>
    <s v="POLAND"/>
    <x v="21"/>
    <x v="0"/>
    <x v="0"/>
    <n v="23.608917605417826"/>
  </r>
  <r>
    <x v="1"/>
    <x v="0"/>
    <x v="3"/>
    <s v="BELGIUM"/>
    <x v="22"/>
    <x v="0"/>
    <x v="0"/>
    <n v="28.010741611045194"/>
  </r>
  <r>
    <x v="1"/>
    <x v="0"/>
    <x v="3"/>
    <s v="FRANCE"/>
    <x v="23"/>
    <x v="0"/>
    <x v="0"/>
    <n v="26.424039777307829"/>
  </r>
  <r>
    <x v="1"/>
    <x v="0"/>
    <x v="3"/>
    <s v="FRANCE"/>
    <x v="51"/>
    <x v="0"/>
    <x v="0"/>
    <n v="25.047506862207609"/>
  </r>
  <r>
    <x v="1"/>
    <x v="0"/>
    <x v="3"/>
    <s v="FRANCE"/>
    <x v="52"/>
    <x v="0"/>
    <x v="0"/>
    <n v="48.135392938441989"/>
  </r>
  <r>
    <x v="1"/>
    <x v="0"/>
    <x v="3"/>
    <s v="ITALY"/>
    <x v="24"/>
    <x v="0"/>
    <x v="0"/>
    <n v="26.254861164388608"/>
  </r>
  <r>
    <x v="1"/>
    <x v="0"/>
    <x v="3"/>
    <s v="ITALY"/>
    <x v="53"/>
    <x v="0"/>
    <x v="0"/>
    <n v="34.347216795933363"/>
  </r>
  <r>
    <x v="1"/>
    <x v="0"/>
    <x v="3"/>
    <s v="ITALY"/>
    <x v="54"/>
    <x v="0"/>
    <x v="0"/>
    <n v="33.189508063386782"/>
  </r>
  <r>
    <x v="1"/>
    <x v="0"/>
    <x v="3"/>
    <s v="ITALY"/>
    <x v="55"/>
    <x v="0"/>
    <x v="0"/>
    <n v="35.668388469660762"/>
  </r>
  <r>
    <x v="1"/>
    <x v="0"/>
    <x v="3"/>
    <s v="ITALY"/>
    <x v="56"/>
    <x v="0"/>
    <x v="0"/>
    <n v="35.079473684641364"/>
  </r>
  <r>
    <x v="1"/>
    <x v="0"/>
    <x v="3"/>
    <s v="ITALY"/>
    <x v="57"/>
    <x v="0"/>
    <x v="0"/>
    <n v="33.300405050057236"/>
  </r>
  <r>
    <x v="1"/>
    <x v="0"/>
    <x v="3"/>
    <s v="ITALY"/>
    <x v="58"/>
    <x v="0"/>
    <x v="0"/>
    <n v="34.292938650156124"/>
  </r>
  <r>
    <x v="1"/>
    <x v="0"/>
    <x v="3"/>
    <s v="ITALY"/>
    <x v="59"/>
    <x v="0"/>
    <x v="0"/>
    <n v="36.448575130737922"/>
  </r>
  <r>
    <x v="1"/>
    <x v="0"/>
    <x v="3"/>
    <s v="ITALY"/>
    <x v="60"/>
    <x v="0"/>
    <x v="0"/>
    <n v="36.391624197141503"/>
  </r>
  <r>
    <x v="1"/>
    <x v="0"/>
    <x v="3"/>
    <s v="SWITZERLAND"/>
    <x v="25"/>
    <x v="0"/>
    <x v="0"/>
    <n v="25.270998248045391"/>
  </r>
  <r>
    <x v="1"/>
    <x v="0"/>
    <x v="3"/>
    <s v="AUSTRIA"/>
    <x v="26"/>
    <x v="0"/>
    <x v="0"/>
    <n v="24.114421936877882"/>
  </r>
  <r>
    <x v="1"/>
    <x v="0"/>
    <x v="3"/>
    <s v="CZECH_REPUBLIC"/>
    <x v="27"/>
    <x v="0"/>
    <x v="0"/>
    <n v="24.124604923603638"/>
  </r>
  <r>
    <x v="1"/>
    <x v="0"/>
    <x v="3"/>
    <s v="SPAIN"/>
    <x v="28"/>
    <x v="0"/>
    <x v="0"/>
    <n v="25.582800626090911"/>
  </r>
  <r>
    <x v="1"/>
    <x v="0"/>
    <x v="3"/>
    <s v="PORTUGAL"/>
    <x v="29"/>
    <x v="0"/>
    <x v="0"/>
    <n v="26.577172330704784"/>
  </r>
  <r>
    <x v="1"/>
    <x v="0"/>
    <x v="3"/>
    <s v="SLOVAKIA"/>
    <x v="30"/>
    <x v="0"/>
    <x v="0"/>
    <n v="24.404552412047991"/>
  </r>
  <r>
    <x v="1"/>
    <x v="0"/>
    <x v="3"/>
    <s v="HUNGARY"/>
    <x v="31"/>
    <x v="0"/>
    <x v="0"/>
    <n v="24.633240133219061"/>
  </r>
  <r>
    <x v="1"/>
    <x v="0"/>
    <x v="3"/>
    <s v="SLOVENIA"/>
    <x v="32"/>
    <x v="0"/>
    <x v="0"/>
    <n v="24.071122332510697"/>
  </r>
  <r>
    <x v="1"/>
    <x v="0"/>
    <x v="3"/>
    <s v="CROATIA"/>
    <x v="33"/>
    <x v="0"/>
    <x v="0"/>
    <n v="23.5548002278749"/>
  </r>
  <r>
    <x v="1"/>
    <x v="0"/>
    <x v="3"/>
    <s v="ROMANIA"/>
    <x v="34"/>
    <x v="0"/>
    <x v="0"/>
    <n v="23.430669894778141"/>
  </r>
  <r>
    <x v="1"/>
    <x v="0"/>
    <x v="3"/>
    <s v="BULGARIA"/>
    <x v="35"/>
    <x v="0"/>
    <x v="0"/>
    <n v="24.797870284647754"/>
  </r>
  <r>
    <x v="1"/>
    <x v="0"/>
    <x v="3"/>
    <s v="GREECE"/>
    <x v="36"/>
    <x v="0"/>
    <x v="0"/>
    <n v="23.306518210704276"/>
  </r>
  <r>
    <x v="1"/>
    <x v="0"/>
    <x v="3"/>
    <s v="GREECE"/>
    <x v="61"/>
    <x v="0"/>
    <x v="0"/>
    <n v="33.457287142765956"/>
  </r>
  <r>
    <x v="1"/>
    <x v="0"/>
    <x v="3"/>
    <s v="GREECE"/>
    <x v="62"/>
    <x v="0"/>
    <x v="0"/>
    <n v="25.475679941873491"/>
  </r>
  <r>
    <x v="1"/>
    <x v="0"/>
    <x v="3"/>
    <s v="IRELAND"/>
    <x v="37"/>
    <x v="0"/>
    <x v="0"/>
    <n v="23.645075968831343"/>
  </r>
  <r>
    <x v="1"/>
    <x v="0"/>
    <x v="3"/>
    <s v="LUXEMBOURG"/>
    <x v="38"/>
    <x v="0"/>
    <x v="0"/>
    <n v="27.18886468368801"/>
  </r>
  <r>
    <x v="1"/>
    <x v="0"/>
    <x v="3"/>
    <s v="ALBANIA"/>
    <x v="39"/>
    <x v="0"/>
    <x v="0"/>
    <n v="24.351873509232963"/>
  </r>
  <r>
    <x v="1"/>
    <x v="0"/>
    <x v="3"/>
    <s v="MONTENEGRO"/>
    <x v="40"/>
    <x v="0"/>
    <x v="0"/>
    <n v="25.051701008909209"/>
  </r>
  <r>
    <x v="1"/>
    <x v="0"/>
    <x v="3"/>
    <s v="NORTH_MACEDONIA"/>
    <x v="41"/>
    <x v="0"/>
    <x v="0"/>
    <n v="24.622225463405943"/>
  </r>
  <r>
    <x v="1"/>
    <x v="0"/>
    <x v="3"/>
    <s v="BOSNIA_AND_HERZEGOVINA"/>
    <x v="42"/>
    <x v="0"/>
    <x v="0"/>
    <n v="24.998456691492944"/>
  </r>
  <r>
    <x v="1"/>
    <x v="0"/>
    <x v="3"/>
    <s v="SERBIA"/>
    <x v="43"/>
    <x v="0"/>
    <x v="0"/>
    <n v="25.040558651980898"/>
  </r>
  <r>
    <x v="1"/>
    <x v="0"/>
    <x v="3"/>
    <s v="TURKEY"/>
    <x v="44"/>
    <x v="0"/>
    <x v="0"/>
    <n v="25.61428724855072"/>
  </r>
  <r>
    <x v="1"/>
    <x v="0"/>
    <x v="3"/>
    <s v="MALTA"/>
    <x v="45"/>
    <x v="0"/>
    <x v="0"/>
    <n v="31.793202935592529"/>
  </r>
  <r>
    <x v="1"/>
    <x v="0"/>
    <x v="3"/>
    <s v="CYPRUS"/>
    <x v="46"/>
    <x v="0"/>
    <x v="0"/>
    <n v="29.521244265191264"/>
  </r>
  <r>
    <x v="2"/>
    <x v="0"/>
    <x v="0"/>
    <s v="NORWAY"/>
    <x v="0"/>
    <x v="0"/>
    <x v="0"/>
    <n v="15.441486077951749"/>
  </r>
  <r>
    <x v="2"/>
    <x v="0"/>
    <x v="0"/>
    <s v="NORWAY"/>
    <x v="1"/>
    <x v="0"/>
    <x v="0"/>
    <n v="15.184363092327516"/>
  </r>
  <r>
    <x v="2"/>
    <x v="0"/>
    <x v="0"/>
    <s v="NORWAY"/>
    <x v="2"/>
    <x v="0"/>
    <x v="0"/>
    <n v="13.59033042386193"/>
  </r>
  <r>
    <x v="2"/>
    <x v="0"/>
    <x v="0"/>
    <s v="NORWAY"/>
    <x v="3"/>
    <x v="0"/>
    <x v="0"/>
    <n v="12.734166511972754"/>
  </r>
  <r>
    <x v="2"/>
    <x v="0"/>
    <x v="0"/>
    <s v="NORWAY"/>
    <x v="4"/>
    <x v="0"/>
    <x v="0"/>
    <n v="15.164312862067002"/>
  </r>
  <r>
    <x v="2"/>
    <x v="0"/>
    <x v="0"/>
    <s v="DENMARK"/>
    <x v="5"/>
    <x v="0"/>
    <x v="0"/>
    <n v="33.091010172174173"/>
  </r>
  <r>
    <x v="2"/>
    <x v="0"/>
    <x v="0"/>
    <s v="DENMARK"/>
    <x v="6"/>
    <x v="0"/>
    <x v="0"/>
    <n v="35.942165422775943"/>
  </r>
  <r>
    <x v="2"/>
    <x v="0"/>
    <x v="0"/>
    <s v="FINLAND"/>
    <x v="7"/>
    <x v="0"/>
    <x v="0"/>
    <n v="35.52698564408734"/>
  </r>
  <r>
    <x v="2"/>
    <x v="0"/>
    <x v="0"/>
    <s v="GERMANY"/>
    <x v="8"/>
    <x v="0"/>
    <x v="0"/>
    <n v="42.13111592136088"/>
  </r>
  <r>
    <x v="2"/>
    <x v="0"/>
    <x v="0"/>
    <s v="GERMANY"/>
    <x v="9"/>
    <x v="0"/>
    <x v="0"/>
    <n v="41.795124673346649"/>
  </r>
  <r>
    <x v="2"/>
    <x v="0"/>
    <x v="0"/>
    <s v="GERMANY"/>
    <x v="10"/>
    <x v="0"/>
    <x v="0"/>
    <n v="42.387032655307515"/>
  </r>
  <r>
    <x v="2"/>
    <x v="0"/>
    <x v="0"/>
    <s v="GERMANY"/>
    <x v="11"/>
    <x v="0"/>
    <x v="0"/>
    <n v="42.536120829932052"/>
  </r>
  <r>
    <x v="2"/>
    <x v="0"/>
    <x v="0"/>
    <s v="NETHERLANDS"/>
    <x v="12"/>
    <x v="0"/>
    <x v="0"/>
    <n v="42.893949311863587"/>
  </r>
  <r>
    <x v="2"/>
    <x v="0"/>
    <x v="0"/>
    <s v="SWEDEN"/>
    <x v="13"/>
    <x v="0"/>
    <x v="0"/>
    <n v="13.620735222101036"/>
  </r>
  <r>
    <x v="2"/>
    <x v="0"/>
    <x v="0"/>
    <s v="SWEDEN"/>
    <x v="14"/>
    <x v="0"/>
    <x v="0"/>
    <n v="13.98026071126109"/>
  </r>
  <r>
    <x v="2"/>
    <x v="0"/>
    <x v="0"/>
    <s v="SWEDEN"/>
    <x v="15"/>
    <x v="0"/>
    <x v="0"/>
    <n v="27.583370898328052"/>
  </r>
  <r>
    <x v="2"/>
    <x v="0"/>
    <x v="0"/>
    <s v="SWEDEN"/>
    <x v="16"/>
    <x v="0"/>
    <x v="0"/>
    <n v="28.046872553693436"/>
  </r>
  <r>
    <x v="2"/>
    <x v="0"/>
    <x v="0"/>
    <s v="UNITED_KINGDOM"/>
    <x v="17"/>
    <x v="0"/>
    <x v="0"/>
    <n v="41.609323239795117"/>
  </r>
  <r>
    <x v="2"/>
    <x v="0"/>
    <x v="0"/>
    <s v="ESTONIA"/>
    <x v="18"/>
    <x v="0"/>
    <x v="0"/>
    <n v="41.271871889936762"/>
  </r>
  <r>
    <x v="2"/>
    <x v="0"/>
    <x v="0"/>
    <s v="LATVIA"/>
    <x v="19"/>
    <x v="0"/>
    <x v="0"/>
    <n v="30.898489950728333"/>
  </r>
  <r>
    <x v="2"/>
    <x v="0"/>
    <x v="0"/>
    <s v="LITHUANIA"/>
    <x v="20"/>
    <x v="0"/>
    <x v="0"/>
    <n v="30.611147772221003"/>
  </r>
  <r>
    <x v="2"/>
    <x v="0"/>
    <x v="0"/>
    <s v="POLAND"/>
    <x v="21"/>
    <x v="0"/>
    <x v="0"/>
    <n v="51.289029820209763"/>
  </r>
  <r>
    <x v="2"/>
    <x v="0"/>
    <x v="0"/>
    <s v="BELGIUM"/>
    <x v="22"/>
    <x v="0"/>
    <x v="0"/>
    <n v="39.20935571252965"/>
  </r>
  <r>
    <x v="2"/>
    <x v="0"/>
    <x v="0"/>
    <s v="FRANCE"/>
    <x v="23"/>
    <x v="0"/>
    <x v="0"/>
    <n v="28.064927307417058"/>
  </r>
  <r>
    <x v="2"/>
    <x v="0"/>
    <x v="0"/>
    <s v="ITALY"/>
    <x v="24"/>
    <x v="0"/>
    <x v="0"/>
    <n v="35.203043840136267"/>
  </r>
  <r>
    <x v="2"/>
    <x v="0"/>
    <x v="0"/>
    <s v="SWITZERLAND"/>
    <x v="25"/>
    <x v="0"/>
    <x v="0"/>
    <n v="27.415068565822356"/>
  </r>
  <r>
    <x v="2"/>
    <x v="0"/>
    <x v="0"/>
    <s v="AUSTRIA"/>
    <x v="26"/>
    <x v="0"/>
    <x v="0"/>
    <n v="32.881488798081236"/>
  </r>
  <r>
    <x v="2"/>
    <x v="0"/>
    <x v="0"/>
    <s v="CZECH_REPUBLIC"/>
    <x v="27"/>
    <x v="0"/>
    <x v="0"/>
    <n v="37.792390371602714"/>
  </r>
  <r>
    <x v="2"/>
    <x v="0"/>
    <x v="0"/>
    <s v="SPAIN"/>
    <x v="28"/>
    <x v="0"/>
    <x v="0"/>
    <n v="41.208974235831597"/>
  </r>
  <r>
    <x v="2"/>
    <x v="0"/>
    <x v="0"/>
    <s v="PORTUGAL"/>
    <x v="29"/>
    <x v="0"/>
    <x v="0"/>
    <n v="42.224901415593258"/>
  </r>
  <r>
    <x v="2"/>
    <x v="0"/>
    <x v="0"/>
    <s v="SLOVAKIA"/>
    <x v="30"/>
    <x v="0"/>
    <x v="0"/>
    <n v="41.219269638041844"/>
  </r>
  <r>
    <x v="2"/>
    <x v="0"/>
    <x v="0"/>
    <s v="HUNGARY"/>
    <x v="31"/>
    <x v="0"/>
    <x v="0"/>
    <n v="42.478044689476143"/>
  </r>
  <r>
    <x v="2"/>
    <x v="0"/>
    <x v="0"/>
    <s v="SLOVENIA"/>
    <x v="32"/>
    <x v="0"/>
    <x v="0"/>
    <n v="41.179306173877443"/>
  </r>
  <r>
    <x v="2"/>
    <x v="0"/>
    <x v="0"/>
    <s v="CROATIA"/>
    <x v="33"/>
    <x v="0"/>
    <x v="0"/>
    <n v="40.240218050728132"/>
  </r>
  <r>
    <x v="2"/>
    <x v="0"/>
    <x v="0"/>
    <s v="ROMANIA"/>
    <x v="34"/>
    <x v="0"/>
    <x v="0"/>
    <n v="38.579574103692167"/>
  </r>
  <r>
    <x v="2"/>
    <x v="0"/>
    <x v="0"/>
    <s v="BULGARIA"/>
    <x v="35"/>
    <x v="0"/>
    <x v="0"/>
    <n v="37.27113580602834"/>
  </r>
  <r>
    <x v="2"/>
    <x v="0"/>
    <x v="0"/>
    <s v="GREECE"/>
    <x v="36"/>
    <x v="0"/>
    <x v="0"/>
    <n v="34.73504176448678"/>
  </r>
  <r>
    <x v="2"/>
    <x v="0"/>
    <x v="0"/>
    <s v="IRELAND"/>
    <x v="37"/>
    <x v="0"/>
    <x v="0"/>
    <n v="46.408848446687394"/>
  </r>
  <r>
    <x v="2"/>
    <x v="0"/>
    <x v="0"/>
    <s v="LUXEMBOURG"/>
    <x v="38"/>
    <x v="0"/>
    <x v="0"/>
    <n v="42.292968529272649"/>
  </r>
  <r>
    <x v="2"/>
    <x v="0"/>
    <x v="0"/>
    <s v="ALBANIA"/>
    <x v="39"/>
    <x v="0"/>
    <x v="0"/>
    <n v="35.069703851423633"/>
  </r>
  <r>
    <x v="2"/>
    <x v="0"/>
    <x v="0"/>
    <s v="MONTENEGRO"/>
    <x v="40"/>
    <x v="0"/>
    <x v="0"/>
    <n v="41.737112357069428"/>
  </r>
  <r>
    <x v="2"/>
    <x v="0"/>
    <x v="0"/>
    <s v="NORTH_MACEDONIA"/>
    <x v="41"/>
    <x v="0"/>
    <x v="0"/>
    <n v="38.622682722844949"/>
  </r>
  <r>
    <x v="2"/>
    <x v="0"/>
    <x v="0"/>
    <s v="BOSNIA_AND_HERZEGOVINA"/>
    <x v="42"/>
    <x v="0"/>
    <x v="0"/>
    <n v="41.725266578670031"/>
  </r>
  <r>
    <x v="2"/>
    <x v="0"/>
    <x v="0"/>
    <s v="SERBIA"/>
    <x v="43"/>
    <x v="0"/>
    <x v="0"/>
    <n v="43.744941688235222"/>
  </r>
  <r>
    <x v="2"/>
    <x v="0"/>
    <x v="0"/>
    <s v="TURKEY"/>
    <x v="44"/>
    <x v="0"/>
    <x v="0"/>
    <n v="30.669162898666716"/>
  </r>
  <r>
    <x v="2"/>
    <x v="0"/>
    <x v="0"/>
    <s v="MALTA"/>
    <x v="45"/>
    <x v="0"/>
    <x v="0"/>
    <n v="52.973659500607063"/>
  </r>
  <r>
    <x v="2"/>
    <x v="0"/>
    <x v="0"/>
    <s v="CYPRUS"/>
    <x v="46"/>
    <x v="0"/>
    <x v="0"/>
    <n v="70.951256454664247"/>
  </r>
  <r>
    <x v="2"/>
    <x v="0"/>
    <x v="1"/>
    <s v="NORWAY"/>
    <x v="0"/>
    <x v="0"/>
    <x v="0"/>
    <n v="27.048037609719859"/>
  </r>
  <r>
    <x v="2"/>
    <x v="0"/>
    <x v="1"/>
    <s v="NORWAY"/>
    <x v="1"/>
    <x v="0"/>
    <x v="0"/>
    <n v="29.315192938308432"/>
  </r>
  <r>
    <x v="2"/>
    <x v="0"/>
    <x v="1"/>
    <s v="NORWAY"/>
    <x v="2"/>
    <x v="0"/>
    <x v="0"/>
    <n v="23.639717256749282"/>
  </r>
  <r>
    <x v="2"/>
    <x v="0"/>
    <x v="1"/>
    <s v="NORWAY"/>
    <x v="3"/>
    <x v="0"/>
    <x v="0"/>
    <n v="22.469524329535552"/>
  </r>
  <r>
    <x v="2"/>
    <x v="0"/>
    <x v="1"/>
    <s v="NORWAY"/>
    <x v="4"/>
    <x v="0"/>
    <x v="0"/>
    <n v="26.683614687263319"/>
  </r>
  <r>
    <x v="2"/>
    <x v="0"/>
    <x v="1"/>
    <s v="DENMARK"/>
    <x v="5"/>
    <x v="0"/>
    <x v="0"/>
    <n v="29.675822551399616"/>
  </r>
  <r>
    <x v="2"/>
    <x v="0"/>
    <x v="1"/>
    <s v="DENMARK"/>
    <x v="6"/>
    <x v="0"/>
    <x v="0"/>
    <n v="29.408724670670352"/>
  </r>
  <r>
    <x v="2"/>
    <x v="0"/>
    <x v="1"/>
    <s v="FINLAND"/>
    <x v="7"/>
    <x v="0"/>
    <x v="0"/>
    <n v="26.555380410051399"/>
  </r>
  <r>
    <x v="2"/>
    <x v="0"/>
    <x v="1"/>
    <s v="GERMANY"/>
    <x v="8"/>
    <x v="0"/>
    <x v="0"/>
    <n v="30.424932249434157"/>
  </r>
  <r>
    <x v="2"/>
    <x v="0"/>
    <x v="1"/>
    <s v="GERMANY"/>
    <x v="9"/>
    <x v="0"/>
    <x v="0"/>
    <n v="30.567382808413289"/>
  </r>
  <r>
    <x v="2"/>
    <x v="0"/>
    <x v="1"/>
    <s v="GERMANY"/>
    <x v="10"/>
    <x v="0"/>
    <x v="0"/>
    <n v="30.080539604681164"/>
  </r>
  <r>
    <x v="2"/>
    <x v="0"/>
    <x v="1"/>
    <s v="GERMANY"/>
    <x v="11"/>
    <x v="0"/>
    <x v="0"/>
    <n v="30.794219549946725"/>
  </r>
  <r>
    <x v="2"/>
    <x v="0"/>
    <x v="1"/>
    <s v="NETHERLANDS"/>
    <x v="12"/>
    <x v="0"/>
    <x v="0"/>
    <n v="31.229513153876592"/>
  </r>
  <r>
    <x v="2"/>
    <x v="0"/>
    <x v="1"/>
    <s v="SWEDEN"/>
    <x v="13"/>
    <x v="0"/>
    <x v="0"/>
    <n v="22.791733361051982"/>
  </r>
  <r>
    <x v="2"/>
    <x v="0"/>
    <x v="1"/>
    <s v="SWEDEN"/>
    <x v="14"/>
    <x v="0"/>
    <x v="0"/>
    <n v="23.242125257043305"/>
  </r>
  <r>
    <x v="2"/>
    <x v="0"/>
    <x v="1"/>
    <s v="SWEDEN"/>
    <x v="15"/>
    <x v="0"/>
    <x v="0"/>
    <n v="27.157133758335718"/>
  </r>
  <r>
    <x v="2"/>
    <x v="0"/>
    <x v="1"/>
    <s v="SWEDEN"/>
    <x v="16"/>
    <x v="0"/>
    <x v="0"/>
    <n v="27.615175428162598"/>
  </r>
  <r>
    <x v="2"/>
    <x v="0"/>
    <x v="1"/>
    <s v="UNITED_KINGDOM"/>
    <x v="17"/>
    <x v="0"/>
    <x v="0"/>
    <n v="28.860109872517025"/>
  </r>
  <r>
    <x v="2"/>
    <x v="0"/>
    <x v="1"/>
    <s v="ESTONIA"/>
    <x v="18"/>
    <x v="0"/>
    <x v="0"/>
    <n v="28.882433935120474"/>
  </r>
  <r>
    <x v="2"/>
    <x v="0"/>
    <x v="1"/>
    <s v="LATVIA"/>
    <x v="19"/>
    <x v="0"/>
    <x v="0"/>
    <n v="26.286350979837582"/>
  </r>
  <r>
    <x v="2"/>
    <x v="0"/>
    <x v="1"/>
    <s v="LITHUANIA"/>
    <x v="20"/>
    <x v="0"/>
    <x v="0"/>
    <n v="24.489351097556249"/>
  </r>
  <r>
    <x v="2"/>
    <x v="0"/>
    <x v="1"/>
    <s v="POLAND"/>
    <x v="21"/>
    <x v="0"/>
    <x v="0"/>
    <n v="27.122712047639084"/>
  </r>
  <r>
    <x v="2"/>
    <x v="0"/>
    <x v="1"/>
    <s v="BELGIUM"/>
    <x v="22"/>
    <x v="0"/>
    <x v="0"/>
    <n v="30.88226713078188"/>
  </r>
  <r>
    <x v="2"/>
    <x v="0"/>
    <x v="1"/>
    <s v="FRANCE"/>
    <x v="23"/>
    <x v="0"/>
    <x v="0"/>
    <n v="26.777182741853977"/>
  </r>
  <r>
    <x v="2"/>
    <x v="0"/>
    <x v="1"/>
    <s v="ITALY"/>
    <x v="24"/>
    <x v="0"/>
    <x v="0"/>
    <n v="26.935304383935598"/>
  </r>
  <r>
    <x v="2"/>
    <x v="0"/>
    <x v="1"/>
    <s v="SWITZERLAND"/>
    <x v="25"/>
    <x v="0"/>
    <x v="0"/>
    <n v="28.858394179529736"/>
  </r>
  <r>
    <x v="2"/>
    <x v="0"/>
    <x v="1"/>
    <s v="AUSTRIA"/>
    <x v="26"/>
    <x v="0"/>
    <x v="0"/>
    <n v="28.489086393204452"/>
  </r>
  <r>
    <x v="2"/>
    <x v="0"/>
    <x v="1"/>
    <s v="CZECH_REPUBLIC"/>
    <x v="27"/>
    <x v="0"/>
    <x v="0"/>
    <n v="28.535163762558394"/>
  </r>
  <r>
    <x v="2"/>
    <x v="0"/>
    <x v="1"/>
    <s v="SPAIN"/>
    <x v="28"/>
    <x v="0"/>
    <x v="0"/>
    <n v="29.39715882401298"/>
  </r>
  <r>
    <x v="2"/>
    <x v="0"/>
    <x v="1"/>
    <s v="PORTUGAL"/>
    <x v="29"/>
    <x v="0"/>
    <x v="0"/>
    <n v="30.244821623682178"/>
  </r>
  <r>
    <x v="2"/>
    <x v="0"/>
    <x v="1"/>
    <s v="SLOVAKIA"/>
    <x v="30"/>
    <x v="0"/>
    <x v="0"/>
    <n v="28.34380348905238"/>
  </r>
  <r>
    <x v="2"/>
    <x v="0"/>
    <x v="1"/>
    <s v="HUNGARY"/>
    <x v="31"/>
    <x v="0"/>
    <x v="0"/>
    <n v="28.83722099987223"/>
  </r>
  <r>
    <x v="2"/>
    <x v="0"/>
    <x v="1"/>
    <s v="SLOVENIA"/>
    <x v="32"/>
    <x v="0"/>
    <x v="0"/>
    <n v="28.861916645948398"/>
  </r>
  <r>
    <x v="2"/>
    <x v="0"/>
    <x v="1"/>
    <s v="CROATIA"/>
    <x v="33"/>
    <x v="0"/>
    <x v="0"/>
    <n v="28.05648706520568"/>
  </r>
  <r>
    <x v="2"/>
    <x v="0"/>
    <x v="1"/>
    <s v="ROMANIA"/>
    <x v="34"/>
    <x v="0"/>
    <x v="0"/>
    <n v="28.075618848884112"/>
  </r>
  <r>
    <x v="2"/>
    <x v="0"/>
    <x v="1"/>
    <s v="BULGARIA"/>
    <x v="35"/>
    <x v="0"/>
    <x v="0"/>
    <n v="28.000379216791192"/>
  </r>
  <r>
    <x v="2"/>
    <x v="0"/>
    <x v="1"/>
    <s v="GREECE"/>
    <x v="36"/>
    <x v="0"/>
    <x v="0"/>
    <n v="27.541474486208628"/>
  </r>
  <r>
    <x v="2"/>
    <x v="0"/>
    <x v="1"/>
    <s v="IRELAND"/>
    <x v="37"/>
    <x v="0"/>
    <x v="0"/>
    <n v="24.810430402242304"/>
  </r>
  <r>
    <x v="2"/>
    <x v="0"/>
    <x v="1"/>
    <s v="LUXEMBOURG"/>
    <x v="38"/>
    <x v="0"/>
    <x v="0"/>
    <n v="30.400053417566337"/>
  </r>
  <r>
    <x v="2"/>
    <x v="0"/>
    <x v="1"/>
    <s v="ALBANIA"/>
    <x v="39"/>
    <x v="0"/>
    <x v="0"/>
    <n v="27.017664644021728"/>
  </r>
  <r>
    <x v="2"/>
    <x v="0"/>
    <x v="1"/>
    <s v="MONTENEGRO"/>
    <x v="40"/>
    <x v="0"/>
    <x v="0"/>
    <n v="28.264131809926859"/>
  </r>
  <r>
    <x v="2"/>
    <x v="0"/>
    <x v="1"/>
    <s v="NORTH_MACEDONIA"/>
    <x v="41"/>
    <x v="0"/>
    <x v="0"/>
    <n v="28.273354913914527"/>
  </r>
  <r>
    <x v="2"/>
    <x v="0"/>
    <x v="1"/>
    <s v="BOSNIA_AND_HERZEGOVINA"/>
    <x v="42"/>
    <x v="0"/>
    <x v="0"/>
    <n v="29.196229473341713"/>
  </r>
  <r>
    <x v="2"/>
    <x v="0"/>
    <x v="1"/>
    <s v="SERBIA"/>
    <x v="43"/>
    <x v="0"/>
    <x v="0"/>
    <n v="29.221361030694833"/>
  </r>
  <r>
    <x v="2"/>
    <x v="0"/>
    <x v="1"/>
    <s v="TURKEY"/>
    <x v="44"/>
    <x v="0"/>
    <x v="0"/>
    <n v="27.092814856766207"/>
  </r>
  <r>
    <x v="2"/>
    <x v="0"/>
    <x v="1"/>
    <s v="MALTA"/>
    <x v="45"/>
    <x v="0"/>
    <x v="0"/>
    <n v="35.296760570921663"/>
  </r>
  <r>
    <x v="2"/>
    <x v="0"/>
    <x v="1"/>
    <s v="CYPRUS"/>
    <x v="46"/>
    <x v="0"/>
    <x v="0"/>
    <n v="28.675881096916036"/>
  </r>
  <r>
    <x v="2"/>
    <x v="0"/>
    <x v="2"/>
    <s v="NORWAY"/>
    <x v="0"/>
    <x v="0"/>
    <x v="0"/>
    <n v="26.851025076947721"/>
  </r>
  <r>
    <x v="2"/>
    <x v="0"/>
    <x v="2"/>
    <s v="NORWAY"/>
    <x v="1"/>
    <x v="0"/>
    <x v="0"/>
    <n v="29.266423457474929"/>
  </r>
  <r>
    <x v="2"/>
    <x v="0"/>
    <x v="2"/>
    <s v="NORWAY"/>
    <x v="2"/>
    <x v="0"/>
    <x v="0"/>
    <n v="23.889661311617161"/>
  </r>
  <r>
    <x v="2"/>
    <x v="0"/>
    <x v="2"/>
    <s v="NORWAY"/>
    <x v="3"/>
    <x v="0"/>
    <x v="0"/>
    <n v="22.48292538450016"/>
  </r>
  <r>
    <x v="2"/>
    <x v="0"/>
    <x v="2"/>
    <s v="NORWAY"/>
    <x v="4"/>
    <x v="0"/>
    <x v="0"/>
    <n v="26.612404050990097"/>
  </r>
  <r>
    <x v="2"/>
    <x v="0"/>
    <x v="2"/>
    <s v="DENMARK"/>
    <x v="5"/>
    <x v="0"/>
    <x v="0"/>
    <n v="28.949082368118422"/>
  </r>
  <r>
    <x v="2"/>
    <x v="0"/>
    <x v="2"/>
    <s v="DENMARK"/>
    <x v="6"/>
    <x v="0"/>
    <x v="0"/>
    <n v="28.508013411469296"/>
  </r>
  <r>
    <x v="2"/>
    <x v="0"/>
    <x v="2"/>
    <s v="FINLAND"/>
    <x v="7"/>
    <x v="0"/>
    <x v="0"/>
    <n v="24.518740948649459"/>
  </r>
  <r>
    <x v="2"/>
    <x v="0"/>
    <x v="2"/>
    <s v="GERMANY"/>
    <x v="8"/>
    <x v="0"/>
    <x v="0"/>
    <n v="28.479729909670681"/>
  </r>
  <r>
    <x v="2"/>
    <x v="0"/>
    <x v="2"/>
    <s v="GERMANY"/>
    <x v="9"/>
    <x v="0"/>
    <x v="0"/>
    <n v="29.268624649708102"/>
  </r>
  <r>
    <x v="2"/>
    <x v="0"/>
    <x v="2"/>
    <s v="GERMANY"/>
    <x v="10"/>
    <x v="0"/>
    <x v="0"/>
    <n v="28.778881888544383"/>
  </r>
  <r>
    <x v="2"/>
    <x v="0"/>
    <x v="2"/>
    <s v="GERMANY"/>
    <x v="11"/>
    <x v="0"/>
    <x v="0"/>
    <n v="29.549927360891633"/>
  </r>
  <r>
    <x v="2"/>
    <x v="0"/>
    <x v="2"/>
    <s v="NETHERLANDS"/>
    <x v="12"/>
    <x v="0"/>
    <x v="0"/>
    <n v="30.649857512761145"/>
  </r>
  <r>
    <x v="2"/>
    <x v="0"/>
    <x v="2"/>
    <s v="SWEDEN"/>
    <x v="13"/>
    <x v="0"/>
    <x v="0"/>
    <n v="22.76176656829729"/>
  </r>
  <r>
    <x v="2"/>
    <x v="0"/>
    <x v="2"/>
    <s v="SWEDEN"/>
    <x v="14"/>
    <x v="0"/>
    <x v="0"/>
    <n v="23.27799338445551"/>
  </r>
  <r>
    <x v="2"/>
    <x v="0"/>
    <x v="2"/>
    <s v="SWEDEN"/>
    <x v="15"/>
    <x v="0"/>
    <x v="0"/>
    <n v="27.007697611426185"/>
  </r>
  <r>
    <x v="2"/>
    <x v="0"/>
    <x v="2"/>
    <s v="SWEDEN"/>
    <x v="16"/>
    <x v="0"/>
    <x v="0"/>
    <n v="27.816238047388421"/>
  </r>
  <r>
    <x v="2"/>
    <x v="0"/>
    <x v="2"/>
    <s v="UNITED_KINGDOM"/>
    <x v="17"/>
    <x v="0"/>
    <x v="0"/>
    <n v="28.35533465609722"/>
  </r>
  <r>
    <x v="2"/>
    <x v="0"/>
    <x v="2"/>
    <s v="ESTONIA"/>
    <x v="18"/>
    <x v="0"/>
    <x v="0"/>
    <n v="27.956728968735099"/>
  </r>
  <r>
    <x v="2"/>
    <x v="0"/>
    <x v="2"/>
    <s v="LATVIA"/>
    <x v="19"/>
    <x v="0"/>
    <x v="0"/>
    <n v="26.049856964069384"/>
  </r>
  <r>
    <x v="2"/>
    <x v="0"/>
    <x v="2"/>
    <s v="LITHUANIA"/>
    <x v="20"/>
    <x v="0"/>
    <x v="0"/>
    <n v="23.725652266585996"/>
  </r>
  <r>
    <x v="2"/>
    <x v="0"/>
    <x v="2"/>
    <s v="POLAND"/>
    <x v="21"/>
    <x v="0"/>
    <x v="0"/>
    <n v="26.078248807296266"/>
  </r>
  <r>
    <x v="2"/>
    <x v="0"/>
    <x v="2"/>
    <s v="BELGIUM"/>
    <x v="22"/>
    <x v="0"/>
    <x v="0"/>
    <n v="30.063829994955586"/>
  </r>
  <r>
    <x v="2"/>
    <x v="0"/>
    <x v="2"/>
    <s v="FRANCE"/>
    <x v="23"/>
    <x v="0"/>
    <x v="0"/>
    <n v="26.15132660378573"/>
  </r>
  <r>
    <x v="2"/>
    <x v="0"/>
    <x v="2"/>
    <s v="ITALY"/>
    <x v="24"/>
    <x v="0"/>
    <x v="0"/>
    <n v="28.654575959802813"/>
  </r>
  <r>
    <x v="2"/>
    <x v="0"/>
    <x v="2"/>
    <s v="SWITZERLAND"/>
    <x v="25"/>
    <x v="0"/>
    <x v="0"/>
    <n v="27.891044508049486"/>
  </r>
  <r>
    <x v="2"/>
    <x v="0"/>
    <x v="2"/>
    <s v="AUSTRIA"/>
    <x v="26"/>
    <x v="0"/>
    <x v="0"/>
    <n v="27.964397111131859"/>
  </r>
  <r>
    <x v="2"/>
    <x v="0"/>
    <x v="2"/>
    <s v="CZECH_REPUBLIC"/>
    <x v="27"/>
    <x v="0"/>
    <x v="0"/>
    <n v="26.810882176058477"/>
  </r>
  <r>
    <x v="2"/>
    <x v="0"/>
    <x v="2"/>
    <s v="SPAIN"/>
    <x v="28"/>
    <x v="0"/>
    <x v="0"/>
    <n v="28.539084999110461"/>
  </r>
  <r>
    <x v="2"/>
    <x v="0"/>
    <x v="2"/>
    <s v="PORTUGAL"/>
    <x v="29"/>
    <x v="0"/>
    <x v="0"/>
    <n v="30.339115704468824"/>
  </r>
  <r>
    <x v="2"/>
    <x v="0"/>
    <x v="2"/>
    <s v="SLOVAKIA"/>
    <x v="30"/>
    <x v="0"/>
    <x v="0"/>
    <n v="27.213624476012505"/>
  </r>
  <r>
    <x v="2"/>
    <x v="0"/>
    <x v="2"/>
    <s v="HUNGARY"/>
    <x v="31"/>
    <x v="0"/>
    <x v="0"/>
    <n v="27.483351082133165"/>
  </r>
  <r>
    <x v="2"/>
    <x v="0"/>
    <x v="2"/>
    <s v="SLOVENIA"/>
    <x v="32"/>
    <x v="0"/>
    <x v="0"/>
    <n v="27.584618166371847"/>
  </r>
  <r>
    <x v="2"/>
    <x v="0"/>
    <x v="2"/>
    <s v="CROATIA"/>
    <x v="33"/>
    <x v="0"/>
    <x v="0"/>
    <n v="27.53342368012207"/>
  </r>
  <r>
    <x v="2"/>
    <x v="0"/>
    <x v="2"/>
    <s v="ROMANIA"/>
    <x v="34"/>
    <x v="0"/>
    <x v="0"/>
    <n v="26.458781573938616"/>
  </r>
  <r>
    <x v="2"/>
    <x v="0"/>
    <x v="2"/>
    <s v="BULGARIA"/>
    <x v="35"/>
    <x v="0"/>
    <x v="0"/>
    <n v="27.588749279590374"/>
  </r>
  <r>
    <x v="2"/>
    <x v="0"/>
    <x v="2"/>
    <s v="GREECE"/>
    <x v="36"/>
    <x v="0"/>
    <x v="0"/>
    <n v="29.960947560628732"/>
  </r>
  <r>
    <x v="2"/>
    <x v="0"/>
    <x v="2"/>
    <s v="IRELAND"/>
    <x v="37"/>
    <x v="0"/>
    <x v="0"/>
    <n v="25.735344447297109"/>
  </r>
  <r>
    <x v="2"/>
    <x v="0"/>
    <x v="2"/>
    <s v="LUXEMBOURG"/>
    <x v="38"/>
    <x v="0"/>
    <x v="0"/>
    <n v="29.348548809718039"/>
  </r>
  <r>
    <x v="2"/>
    <x v="0"/>
    <x v="2"/>
    <s v="ALBANIA"/>
    <x v="39"/>
    <x v="0"/>
    <x v="0"/>
    <n v="27.639845721314696"/>
  </r>
  <r>
    <x v="2"/>
    <x v="0"/>
    <x v="2"/>
    <s v="MONTENEGRO"/>
    <x v="40"/>
    <x v="0"/>
    <x v="0"/>
    <n v="28.548170438539444"/>
  </r>
  <r>
    <x v="2"/>
    <x v="0"/>
    <x v="2"/>
    <s v="NORTH_MACEDONIA"/>
    <x v="41"/>
    <x v="0"/>
    <x v="0"/>
    <n v="28.662613278369726"/>
  </r>
  <r>
    <x v="2"/>
    <x v="0"/>
    <x v="2"/>
    <s v="BOSNIA_AND_HERZEGOVINA"/>
    <x v="42"/>
    <x v="0"/>
    <x v="0"/>
    <n v="28.61649781260045"/>
  </r>
  <r>
    <x v="2"/>
    <x v="0"/>
    <x v="2"/>
    <s v="SERBIA"/>
    <x v="43"/>
    <x v="0"/>
    <x v="0"/>
    <n v="28.935504459851245"/>
  </r>
  <r>
    <x v="2"/>
    <x v="0"/>
    <x v="2"/>
    <s v="TURKEY"/>
    <x v="44"/>
    <x v="0"/>
    <x v="0"/>
    <n v="26.642640369783521"/>
  </r>
  <r>
    <x v="2"/>
    <x v="0"/>
    <x v="2"/>
    <s v="MALTA"/>
    <x v="45"/>
    <x v="0"/>
    <x v="0"/>
    <n v="36.211276264982246"/>
  </r>
  <r>
    <x v="2"/>
    <x v="0"/>
    <x v="2"/>
    <s v="CYPRUS"/>
    <x v="46"/>
    <x v="0"/>
    <x v="0"/>
    <n v="30.431290679759744"/>
  </r>
  <r>
    <x v="2"/>
    <x v="0"/>
    <x v="3"/>
    <s v="NORWAY"/>
    <x v="0"/>
    <x v="0"/>
    <x v="0"/>
    <n v="27.042782318878711"/>
  </r>
  <r>
    <x v="2"/>
    <x v="0"/>
    <x v="3"/>
    <s v="NORWAY"/>
    <x v="1"/>
    <x v="0"/>
    <x v="0"/>
    <n v="28.389673151782532"/>
  </r>
  <r>
    <x v="2"/>
    <x v="0"/>
    <x v="3"/>
    <s v="NORWAY"/>
    <x v="2"/>
    <x v="0"/>
    <x v="0"/>
    <n v="26.0937460491078"/>
  </r>
  <r>
    <x v="2"/>
    <x v="0"/>
    <x v="3"/>
    <s v="NORWAY"/>
    <x v="3"/>
    <x v="0"/>
    <x v="0"/>
    <n v="23.272168529100732"/>
  </r>
  <r>
    <x v="2"/>
    <x v="0"/>
    <x v="3"/>
    <s v="NORWAY"/>
    <x v="4"/>
    <x v="0"/>
    <x v="0"/>
    <n v="26.858148989567557"/>
  </r>
  <r>
    <x v="2"/>
    <x v="0"/>
    <x v="3"/>
    <s v="DENMARK"/>
    <x v="5"/>
    <x v="0"/>
    <x v="0"/>
    <n v="27.705001401060109"/>
  </r>
  <r>
    <x v="2"/>
    <x v="0"/>
    <x v="3"/>
    <s v="DENMARK"/>
    <x v="6"/>
    <x v="0"/>
    <x v="0"/>
    <n v="26.198941987156822"/>
  </r>
  <r>
    <x v="2"/>
    <x v="0"/>
    <x v="3"/>
    <s v="FINLAND"/>
    <x v="7"/>
    <x v="0"/>
    <x v="0"/>
    <n v="24.471250937026117"/>
  </r>
  <r>
    <x v="2"/>
    <x v="0"/>
    <x v="3"/>
    <s v="GERMANY"/>
    <x v="8"/>
    <x v="0"/>
    <x v="0"/>
    <n v="25.979010256369538"/>
  </r>
  <r>
    <x v="2"/>
    <x v="0"/>
    <x v="3"/>
    <s v="GERMANY"/>
    <x v="9"/>
    <x v="0"/>
    <x v="0"/>
    <n v="28.223116486709074"/>
  </r>
  <r>
    <x v="2"/>
    <x v="0"/>
    <x v="3"/>
    <s v="GERMANY"/>
    <x v="10"/>
    <x v="0"/>
    <x v="0"/>
    <n v="27.339192885519761"/>
  </r>
  <r>
    <x v="2"/>
    <x v="0"/>
    <x v="3"/>
    <s v="GERMANY"/>
    <x v="11"/>
    <x v="0"/>
    <x v="0"/>
    <n v="28.420808781190754"/>
  </r>
  <r>
    <x v="2"/>
    <x v="0"/>
    <x v="3"/>
    <s v="NETHERLANDS"/>
    <x v="12"/>
    <x v="0"/>
    <x v="0"/>
    <n v="29.289590170672806"/>
  </r>
  <r>
    <x v="2"/>
    <x v="0"/>
    <x v="3"/>
    <s v="SWEDEN"/>
    <x v="13"/>
    <x v="0"/>
    <x v="0"/>
    <n v="23.502625183525581"/>
  </r>
  <r>
    <x v="2"/>
    <x v="0"/>
    <x v="3"/>
    <s v="SWEDEN"/>
    <x v="14"/>
    <x v="0"/>
    <x v="0"/>
    <n v="24.133461578759725"/>
  </r>
  <r>
    <x v="2"/>
    <x v="0"/>
    <x v="3"/>
    <s v="SWEDEN"/>
    <x v="15"/>
    <x v="0"/>
    <x v="0"/>
    <n v="26.572190458813509"/>
  </r>
  <r>
    <x v="2"/>
    <x v="0"/>
    <x v="3"/>
    <s v="SWEDEN"/>
    <x v="16"/>
    <x v="0"/>
    <x v="0"/>
    <n v="26.17273079204902"/>
  </r>
  <r>
    <x v="2"/>
    <x v="0"/>
    <x v="3"/>
    <s v="UNITED_KINGDOM"/>
    <x v="17"/>
    <x v="0"/>
    <x v="0"/>
    <n v="27.318779775019294"/>
  </r>
  <r>
    <x v="2"/>
    <x v="0"/>
    <x v="3"/>
    <s v="ESTONIA"/>
    <x v="18"/>
    <x v="0"/>
    <x v="0"/>
    <n v="25.851776771793151"/>
  </r>
  <r>
    <x v="2"/>
    <x v="0"/>
    <x v="3"/>
    <s v="LATVIA"/>
    <x v="19"/>
    <x v="0"/>
    <x v="0"/>
    <n v="24.686752389773137"/>
  </r>
  <r>
    <x v="2"/>
    <x v="0"/>
    <x v="3"/>
    <s v="LITHUANIA"/>
    <x v="20"/>
    <x v="0"/>
    <x v="0"/>
    <n v="23.573095201593087"/>
  </r>
  <r>
    <x v="2"/>
    <x v="0"/>
    <x v="3"/>
    <s v="POLAND"/>
    <x v="21"/>
    <x v="0"/>
    <x v="0"/>
    <n v="24.869715100705697"/>
  </r>
  <r>
    <x v="2"/>
    <x v="0"/>
    <x v="3"/>
    <s v="BELGIUM"/>
    <x v="22"/>
    <x v="0"/>
    <x v="0"/>
    <n v="29.21176407636581"/>
  </r>
  <r>
    <x v="2"/>
    <x v="0"/>
    <x v="3"/>
    <s v="FRANCE"/>
    <x v="23"/>
    <x v="0"/>
    <x v="0"/>
    <n v="25.503101909688628"/>
  </r>
  <r>
    <x v="2"/>
    <x v="0"/>
    <x v="3"/>
    <s v="ITALY"/>
    <x v="24"/>
    <x v="0"/>
    <x v="0"/>
    <n v="27.615560908768234"/>
  </r>
  <r>
    <x v="2"/>
    <x v="0"/>
    <x v="3"/>
    <s v="SWITZERLAND"/>
    <x v="25"/>
    <x v="0"/>
    <x v="0"/>
    <n v="26.605423796270664"/>
  </r>
  <r>
    <x v="2"/>
    <x v="0"/>
    <x v="3"/>
    <s v="AUSTRIA"/>
    <x v="26"/>
    <x v="0"/>
    <x v="0"/>
    <n v="26.423282660335744"/>
  </r>
  <r>
    <x v="2"/>
    <x v="0"/>
    <x v="3"/>
    <s v="CZECH_REPUBLIC"/>
    <x v="27"/>
    <x v="0"/>
    <x v="0"/>
    <n v="25.294542436542852"/>
  </r>
  <r>
    <x v="2"/>
    <x v="0"/>
    <x v="3"/>
    <s v="SPAIN"/>
    <x v="28"/>
    <x v="0"/>
    <x v="0"/>
    <n v="27.056689224588986"/>
  </r>
  <r>
    <x v="2"/>
    <x v="0"/>
    <x v="3"/>
    <s v="PORTUGAL"/>
    <x v="29"/>
    <x v="0"/>
    <x v="0"/>
    <n v="30.389087104862615"/>
  </r>
  <r>
    <x v="2"/>
    <x v="0"/>
    <x v="3"/>
    <s v="SLOVAKIA"/>
    <x v="30"/>
    <x v="0"/>
    <x v="0"/>
    <n v="25.912918043142053"/>
  </r>
  <r>
    <x v="2"/>
    <x v="0"/>
    <x v="3"/>
    <s v="HUNGARY"/>
    <x v="31"/>
    <x v="0"/>
    <x v="0"/>
    <n v="25.872330295101037"/>
  </r>
  <r>
    <x v="2"/>
    <x v="0"/>
    <x v="3"/>
    <s v="SLOVENIA"/>
    <x v="32"/>
    <x v="0"/>
    <x v="0"/>
    <n v="26.480601280739261"/>
  </r>
  <r>
    <x v="2"/>
    <x v="0"/>
    <x v="3"/>
    <s v="CROATIA"/>
    <x v="33"/>
    <x v="0"/>
    <x v="0"/>
    <n v="26.001602828147174"/>
  </r>
  <r>
    <x v="2"/>
    <x v="0"/>
    <x v="3"/>
    <s v="ROMANIA"/>
    <x v="34"/>
    <x v="0"/>
    <x v="0"/>
    <n v="25.560331862594982"/>
  </r>
  <r>
    <x v="2"/>
    <x v="0"/>
    <x v="3"/>
    <s v="BULGARIA"/>
    <x v="35"/>
    <x v="0"/>
    <x v="0"/>
    <n v="26.336973123643922"/>
  </r>
  <r>
    <x v="2"/>
    <x v="0"/>
    <x v="3"/>
    <s v="GREECE"/>
    <x v="36"/>
    <x v="0"/>
    <x v="0"/>
    <n v="30.009876312551917"/>
  </r>
  <r>
    <x v="2"/>
    <x v="0"/>
    <x v="3"/>
    <s v="IRELAND"/>
    <x v="37"/>
    <x v="0"/>
    <x v="0"/>
    <n v="25.378886492609134"/>
  </r>
  <r>
    <x v="2"/>
    <x v="0"/>
    <x v="3"/>
    <s v="LUXEMBOURG"/>
    <x v="38"/>
    <x v="0"/>
    <x v="0"/>
    <n v="28.318580145552286"/>
  </r>
  <r>
    <x v="2"/>
    <x v="0"/>
    <x v="3"/>
    <s v="ALBANIA"/>
    <x v="39"/>
    <x v="0"/>
    <x v="0"/>
    <n v="26.134516437903791"/>
  </r>
  <r>
    <x v="2"/>
    <x v="0"/>
    <x v="3"/>
    <s v="MONTENEGRO"/>
    <x v="40"/>
    <x v="0"/>
    <x v="0"/>
    <n v="26.28217027559759"/>
  </r>
  <r>
    <x v="2"/>
    <x v="0"/>
    <x v="3"/>
    <s v="NORTH_MACEDONIA"/>
    <x v="41"/>
    <x v="0"/>
    <x v="0"/>
    <n v="26.801671316089724"/>
  </r>
  <r>
    <x v="2"/>
    <x v="0"/>
    <x v="3"/>
    <s v="BOSNIA_AND_HERZEGOVINA"/>
    <x v="42"/>
    <x v="0"/>
    <x v="0"/>
    <n v="26.482736883472537"/>
  </r>
  <r>
    <x v="2"/>
    <x v="0"/>
    <x v="3"/>
    <s v="SERBIA"/>
    <x v="43"/>
    <x v="0"/>
    <x v="0"/>
    <n v="26.974471342157333"/>
  </r>
  <r>
    <x v="2"/>
    <x v="0"/>
    <x v="3"/>
    <s v="TURKEY"/>
    <x v="44"/>
    <x v="0"/>
    <x v="0"/>
    <n v="26.030000386826842"/>
  </r>
  <r>
    <x v="2"/>
    <x v="0"/>
    <x v="3"/>
    <s v="MALTA"/>
    <x v="45"/>
    <x v="0"/>
    <x v="0"/>
    <n v="34.790672054843128"/>
  </r>
  <r>
    <x v="2"/>
    <x v="0"/>
    <x v="3"/>
    <s v="CYPRUS"/>
    <x v="46"/>
    <x v="0"/>
    <x v="0"/>
    <n v="30.173080146138116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30">
  <r>
    <x v="0"/>
    <x v="0"/>
    <x v="0"/>
    <s v="NORWAY"/>
    <x v="0"/>
    <s v="NO3_A1"/>
    <s v="GNR_GT_NGAS_CND_E-35"/>
    <x v="0"/>
    <x v="0"/>
    <x v="0"/>
    <x v="0"/>
    <x v="0"/>
    <n v="0.3"/>
  </r>
  <r>
    <x v="0"/>
    <x v="0"/>
    <x v="0"/>
    <s v="NORWAY"/>
    <x v="0"/>
    <s v="NO3_A1"/>
    <s v="GNR_GT_NGAS_CND_E-35"/>
    <x v="0"/>
    <x v="0"/>
    <x v="0"/>
    <x v="1"/>
    <x v="0"/>
    <n v="-0.3"/>
  </r>
  <r>
    <x v="0"/>
    <x v="0"/>
    <x v="0"/>
    <s v="NORWAY"/>
    <x v="0"/>
    <s v="NO3_A1"/>
    <s v="GNR_RES_WTR_NOPMP_MC-01"/>
    <x v="1"/>
    <x v="0"/>
    <x v="1"/>
    <x v="0"/>
    <x v="0"/>
    <n v="0.22184651366034899"/>
  </r>
  <r>
    <x v="0"/>
    <x v="0"/>
    <x v="0"/>
    <s v="NORWAY"/>
    <x v="0"/>
    <s v="NO3_A1"/>
    <s v="GNR_RES_WTR_NOPMP_MC-02"/>
    <x v="1"/>
    <x v="0"/>
    <x v="1"/>
    <x v="0"/>
    <x v="0"/>
    <n v="0.28214651366034899"/>
  </r>
  <r>
    <x v="0"/>
    <x v="0"/>
    <x v="0"/>
    <s v="NORWAY"/>
    <x v="0"/>
    <s v="NO3_A1"/>
    <s v="GNR_RES_WTR_NOPMP_MC-03"/>
    <x v="1"/>
    <x v="0"/>
    <x v="1"/>
    <x v="0"/>
    <x v="0"/>
    <n v="0.28214651366034899"/>
  </r>
  <r>
    <x v="0"/>
    <x v="0"/>
    <x v="0"/>
    <s v="NORWAY"/>
    <x v="0"/>
    <s v="NO3_A1"/>
    <s v="GNR_RES_WTR_NOPMP_MC-04"/>
    <x v="1"/>
    <x v="0"/>
    <x v="1"/>
    <x v="0"/>
    <x v="0"/>
    <n v="0.28214651366034899"/>
  </r>
  <r>
    <x v="0"/>
    <x v="0"/>
    <x v="0"/>
    <s v="NORWAY"/>
    <x v="0"/>
    <s v="NO3_A1"/>
    <s v="GNR_RES_WTR_NOPMP_MC-05"/>
    <x v="1"/>
    <x v="0"/>
    <x v="1"/>
    <x v="0"/>
    <x v="0"/>
    <n v="0.28214651366034899"/>
  </r>
  <r>
    <x v="0"/>
    <x v="0"/>
    <x v="0"/>
    <s v="NORWAY"/>
    <x v="0"/>
    <s v="NO3_A1"/>
    <s v="GNR_RES_WTR_NOPMP_MC-06"/>
    <x v="1"/>
    <x v="0"/>
    <x v="1"/>
    <x v="0"/>
    <x v="0"/>
    <n v="0.28214651366034899"/>
  </r>
  <r>
    <x v="0"/>
    <x v="0"/>
    <x v="0"/>
    <s v="NORWAY"/>
    <x v="0"/>
    <s v="NO3_A1"/>
    <s v="GNR_RES_WTR_NOPMP_MC-07"/>
    <x v="1"/>
    <x v="0"/>
    <x v="1"/>
    <x v="0"/>
    <x v="0"/>
    <n v="0.28214651366034899"/>
  </r>
  <r>
    <x v="0"/>
    <x v="0"/>
    <x v="0"/>
    <s v="NORWAY"/>
    <x v="0"/>
    <s v="NO3_A1"/>
    <s v="GNR_RES_WTR_NOPMP_MC-08"/>
    <x v="1"/>
    <x v="0"/>
    <x v="1"/>
    <x v="0"/>
    <x v="0"/>
    <n v="0.28214651366034899"/>
  </r>
  <r>
    <x v="0"/>
    <x v="0"/>
    <x v="0"/>
    <s v="NORWAY"/>
    <x v="0"/>
    <s v="NO3_A1"/>
    <s v="GNR_RES_WTR_NOPMP_MC-09"/>
    <x v="1"/>
    <x v="0"/>
    <x v="1"/>
    <x v="0"/>
    <x v="0"/>
    <n v="0.28214651366034899"/>
  </r>
  <r>
    <x v="0"/>
    <x v="0"/>
    <x v="0"/>
    <s v="NORWAY"/>
    <x v="0"/>
    <s v="NO3_A1"/>
    <s v="GNR_RES_WTR_NOPMP_MC-10"/>
    <x v="1"/>
    <x v="0"/>
    <x v="1"/>
    <x v="0"/>
    <x v="0"/>
    <n v="0.28214651366034899"/>
  </r>
  <r>
    <x v="0"/>
    <x v="0"/>
    <x v="0"/>
    <s v="NORWAY"/>
    <x v="0"/>
    <s v="NO3_A1"/>
    <s v="GNR_RES_WTR_PMP_MC-01"/>
    <x v="1"/>
    <x v="0"/>
    <x v="1"/>
    <x v="0"/>
    <x v="0"/>
    <n v="6.0299999999999999E-2"/>
  </r>
  <r>
    <x v="0"/>
    <x v="0"/>
    <x v="0"/>
    <s v="NORWAY"/>
    <x v="0"/>
    <s v="NO3_A1"/>
    <s v="GNR_ROR_WTR"/>
    <x v="1"/>
    <x v="0"/>
    <x v="2"/>
    <x v="0"/>
    <x v="0"/>
    <n v="1.83191056339651"/>
  </r>
  <r>
    <x v="0"/>
    <x v="0"/>
    <x v="0"/>
    <s v="NORWAY"/>
    <x v="0"/>
    <s v="NO3_A2"/>
    <s v="GNR_ELYS_ELEC_AEC_Y-2050"/>
    <x v="2"/>
    <x v="1"/>
    <x v="3"/>
    <x v="2"/>
    <x v="0"/>
    <n v="0.38230529065934338"/>
  </r>
  <r>
    <x v="0"/>
    <x v="0"/>
    <x v="0"/>
    <s v="NORWAY"/>
    <x v="0"/>
    <s v="NO3_A2"/>
    <s v="GNR_STEAM-REFORMING_E-70_Y-2020"/>
    <x v="0"/>
    <x v="1"/>
    <x v="4"/>
    <x v="0"/>
    <x v="0"/>
    <n v="5.3563033199284418E-2"/>
  </r>
  <r>
    <x v="0"/>
    <x v="0"/>
    <x v="0"/>
    <s v="NORWAY"/>
    <x v="0"/>
    <s v="NO3_A2"/>
    <s v="GNR_STEAM-REFORMING_E-70_Y-2020"/>
    <x v="0"/>
    <x v="1"/>
    <x v="4"/>
    <x v="1"/>
    <x v="0"/>
    <n v="-5.3563033199284418E-2"/>
  </r>
  <r>
    <x v="0"/>
    <x v="0"/>
    <x v="0"/>
    <s v="NORWAY"/>
    <x v="0"/>
    <s v="NOM1_A"/>
    <s v="GNR_WT_WIND_ONS_RG1"/>
    <x v="3"/>
    <x v="0"/>
    <x v="5"/>
    <x v="0"/>
    <x v="0"/>
    <n v="2.8911825000000002E-2"/>
  </r>
  <r>
    <x v="0"/>
    <x v="0"/>
    <x v="0"/>
    <s v="NORWAY"/>
    <x v="0"/>
    <s v="NOM1_A"/>
    <s v="GNR_WT_WIND_ONS_RG1"/>
    <x v="3"/>
    <x v="0"/>
    <x v="5"/>
    <x v="1"/>
    <x v="0"/>
    <n v="-2.8911825000000002E-2"/>
  </r>
  <r>
    <x v="0"/>
    <x v="0"/>
    <x v="0"/>
    <s v="NORWAY"/>
    <x v="0"/>
    <s v="NOM1_A"/>
    <s v="GNR_WT_WIND_ONS_RG2"/>
    <x v="3"/>
    <x v="0"/>
    <x v="5"/>
    <x v="0"/>
    <x v="0"/>
    <n v="0.84574696500000002"/>
  </r>
  <r>
    <x v="0"/>
    <x v="0"/>
    <x v="0"/>
    <s v="NORWAY"/>
    <x v="0"/>
    <s v="NOM1_A"/>
    <s v="GNR_WT_WIND_ONS_RG2"/>
    <x v="3"/>
    <x v="0"/>
    <x v="5"/>
    <x v="1"/>
    <x v="0"/>
    <n v="-0.84574696500000002"/>
  </r>
  <r>
    <x v="0"/>
    <x v="0"/>
    <x v="0"/>
    <s v="NORWAY"/>
    <x v="0"/>
    <s v="NOM1_A"/>
    <s v="GNR_WT_WIND_ONS_RG3"/>
    <x v="3"/>
    <x v="0"/>
    <x v="5"/>
    <x v="0"/>
    <x v="0"/>
    <n v="0.13979121"/>
  </r>
  <r>
    <x v="0"/>
    <x v="0"/>
    <x v="0"/>
    <s v="NORWAY"/>
    <x v="0"/>
    <s v="NOM1_A"/>
    <s v="GNR_WT_WIND_ONS_RG3"/>
    <x v="3"/>
    <x v="0"/>
    <x v="5"/>
    <x v="1"/>
    <x v="0"/>
    <n v="-0.13979121"/>
  </r>
  <r>
    <x v="0"/>
    <x v="0"/>
    <x v="0"/>
    <s v="NORWAY"/>
    <x v="0"/>
    <s v="NOM1_A"/>
    <s v="GNR_WT_ONS-2050"/>
    <x v="3"/>
    <x v="0"/>
    <x v="5"/>
    <x v="2"/>
    <x v="0"/>
    <n v="1.8644859813084103"/>
  </r>
  <r>
    <x v="0"/>
    <x v="0"/>
    <x v="0"/>
    <s v="NORWAY"/>
    <x v="1"/>
    <s v="NO4_A1"/>
    <s v="GNR_RES_WTR_NOPMP_MC-01"/>
    <x v="1"/>
    <x v="0"/>
    <x v="1"/>
    <x v="0"/>
    <x v="0"/>
    <n v="0.41956363678000796"/>
  </r>
  <r>
    <x v="0"/>
    <x v="0"/>
    <x v="0"/>
    <s v="NORWAY"/>
    <x v="1"/>
    <s v="NO4_A1"/>
    <s v="GNR_RES_WTR_NOPMP_MC-02"/>
    <x v="1"/>
    <x v="0"/>
    <x v="1"/>
    <x v="0"/>
    <x v="0"/>
    <n v="0.41956363678000796"/>
  </r>
  <r>
    <x v="0"/>
    <x v="0"/>
    <x v="0"/>
    <s v="NORWAY"/>
    <x v="1"/>
    <s v="NO4_A1"/>
    <s v="GNR_RES_WTR_NOPMP_MC-03"/>
    <x v="1"/>
    <x v="0"/>
    <x v="1"/>
    <x v="0"/>
    <x v="0"/>
    <n v="0.41956363678000796"/>
  </r>
  <r>
    <x v="0"/>
    <x v="0"/>
    <x v="0"/>
    <s v="NORWAY"/>
    <x v="1"/>
    <s v="NO4_A1"/>
    <s v="GNR_RES_WTR_NOPMP_MC-04"/>
    <x v="1"/>
    <x v="0"/>
    <x v="1"/>
    <x v="0"/>
    <x v="0"/>
    <n v="0.41956363678000796"/>
  </r>
  <r>
    <x v="0"/>
    <x v="0"/>
    <x v="0"/>
    <s v="NORWAY"/>
    <x v="1"/>
    <s v="NO4_A1"/>
    <s v="GNR_RES_WTR_NOPMP_MC-05"/>
    <x v="1"/>
    <x v="0"/>
    <x v="1"/>
    <x v="0"/>
    <x v="0"/>
    <n v="0.41956363678000796"/>
  </r>
  <r>
    <x v="0"/>
    <x v="0"/>
    <x v="0"/>
    <s v="NORWAY"/>
    <x v="1"/>
    <s v="NO4_A1"/>
    <s v="GNR_RES_WTR_NOPMP_MC-06"/>
    <x v="1"/>
    <x v="0"/>
    <x v="1"/>
    <x v="0"/>
    <x v="0"/>
    <n v="0.41956363678000796"/>
  </r>
  <r>
    <x v="0"/>
    <x v="0"/>
    <x v="0"/>
    <s v="NORWAY"/>
    <x v="1"/>
    <s v="NO4_A1"/>
    <s v="GNR_RES_WTR_NOPMP_MC-07"/>
    <x v="1"/>
    <x v="0"/>
    <x v="1"/>
    <x v="0"/>
    <x v="0"/>
    <n v="0.41956363678000796"/>
  </r>
  <r>
    <x v="0"/>
    <x v="0"/>
    <x v="0"/>
    <s v="NORWAY"/>
    <x v="1"/>
    <s v="NO4_A1"/>
    <s v="GNR_RES_WTR_NOPMP_MC-08"/>
    <x v="1"/>
    <x v="0"/>
    <x v="1"/>
    <x v="0"/>
    <x v="0"/>
    <n v="0.41956363678000796"/>
  </r>
  <r>
    <x v="0"/>
    <x v="0"/>
    <x v="0"/>
    <s v="NORWAY"/>
    <x v="1"/>
    <s v="NO4_A1"/>
    <s v="GNR_RES_WTR_NOPMP_MC-09"/>
    <x v="1"/>
    <x v="0"/>
    <x v="1"/>
    <x v="0"/>
    <x v="0"/>
    <n v="0.41956363678000796"/>
  </r>
  <r>
    <x v="0"/>
    <x v="0"/>
    <x v="0"/>
    <s v="NORWAY"/>
    <x v="1"/>
    <s v="NO4_A1"/>
    <s v="GNR_RES_WTR_NOPMP_MC-10"/>
    <x v="1"/>
    <x v="0"/>
    <x v="1"/>
    <x v="0"/>
    <x v="0"/>
    <n v="0.41956363678000796"/>
  </r>
  <r>
    <x v="0"/>
    <x v="0"/>
    <x v="0"/>
    <s v="NORWAY"/>
    <x v="1"/>
    <s v="NO4_A1"/>
    <s v="GNR_ROR_WTR"/>
    <x v="1"/>
    <x v="0"/>
    <x v="2"/>
    <x v="0"/>
    <x v="0"/>
    <n v="1.0764902321999201"/>
  </r>
  <r>
    <x v="0"/>
    <x v="0"/>
    <x v="0"/>
    <s v="NORWAY"/>
    <x v="1"/>
    <s v="NO4_A2"/>
    <s v="GNR_ELYS_ELEC_AEC_Y-2050"/>
    <x v="2"/>
    <x v="1"/>
    <x v="3"/>
    <x v="2"/>
    <x v="0"/>
    <n v="1.8870821487214673"/>
  </r>
  <r>
    <x v="0"/>
    <x v="0"/>
    <x v="0"/>
    <s v="NORWAY"/>
    <x v="1"/>
    <s v="NO4_A2"/>
    <s v="GNR_STEAM-REFORMING_E-70_Y-2020"/>
    <x v="0"/>
    <x v="1"/>
    <x v="4"/>
    <x v="0"/>
    <x v="0"/>
    <n v="3.8274981252011835E-2"/>
  </r>
  <r>
    <x v="0"/>
    <x v="0"/>
    <x v="0"/>
    <s v="NORWAY"/>
    <x v="1"/>
    <s v="NO4_A2"/>
    <s v="GNR_STEAM-REFORMING_E-70_Y-2020"/>
    <x v="0"/>
    <x v="1"/>
    <x v="4"/>
    <x v="1"/>
    <x v="0"/>
    <n v="-3.8274981252011835E-2"/>
  </r>
  <r>
    <x v="0"/>
    <x v="0"/>
    <x v="0"/>
    <s v="NORWAY"/>
    <x v="1"/>
    <s v="NON1_A"/>
    <s v="GNR_WT_WIND_ONS_RG1"/>
    <x v="3"/>
    <x v="0"/>
    <x v="5"/>
    <x v="0"/>
    <x v="0"/>
    <n v="2.1523199999999999E-2"/>
  </r>
  <r>
    <x v="0"/>
    <x v="0"/>
    <x v="0"/>
    <s v="NORWAY"/>
    <x v="1"/>
    <s v="NON1_A"/>
    <s v="GNR_WT_WIND_ONS_RG1"/>
    <x v="3"/>
    <x v="0"/>
    <x v="5"/>
    <x v="1"/>
    <x v="0"/>
    <n v="-2.1523199999999999E-2"/>
  </r>
  <r>
    <x v="0"/>
    <x v="0"/>
    <x v="0"/>
    <s v="NORWAY"/>
    <x v="1"/>
    <s v="NON1_A"/>
    <s v="GNR_WT_WIND_ONS_RG2"/>
    <x v="3"/>
    <x v="0"/>
    <x v="5"/>
    <x v="0"/>
    <x v="0"/>
    <n v="0.62961023999999999"/>
  </r>
  <r>
    <x v="0"/>
    <x v="0"/>
    <x v="0"/>
    <s v="NORWAY"/>
    <x v="1"/>
    <s v="NON1_A"/>
    <s v="GNR_WT_WIND_ONS_RG2"/>
    <x v="3"/>
    <x v="0"/>
    <x v="5"/>
    <x v="1"/>
    <x v="0"/>
    <n v="-0.62961023999999999"/>
  </r>
  <r>
    <x v="0"/>
    <x v="0"/>
    <x v="0"/>
    <s v="NORWAY"/>
    <x v="1"/>
    <s v="NON1_A"/>
    <s v="GNR_WT_WIND_ONS_RG3"/>
    <x v="3"/>
    <x v="0"/>
    <x v="5"/>
    <x v="0"/>
    <x v="0"/>
    <n v="0.10406656"/>
  </r>
  <r>
    <x v="0"/>
    <x v="0"/>
    <x v="0"/>
    <s v="NORWAY"/>
    <x v="1"/>
    <s v="NON1_A"/>
    <s v="GNR_WT_WIND_ONS_RG3"/>
    <x v="3"/>
    <x v="0"/>
    <x v="5"/>
    <x v="1"/>
    <x v="0"/>
    <n v="-0.10406656"/>
  </r>
  <r>
    <x v="0"/>
    <x v="0"/>
    <x v="0"/>
    <s v="NORWAY"/>
    <x v="1"/>
    <s v="NON1_A"/>
    <s v="GNR_WT_ONS-2050"/>
    <x v="3"/>
    <x v="0"/>
    <x v="5"/>
    <x v="2"/>
    <x v="0"/>
    <n v="5.5934579439252339"/>
  </r>
  <r>
    <x v="0"/>
    <x v="0"/>
    <x v="0"/>
    <s v="NORWAY"/>
    <x v="2"/>
    <s v="NO1_A1"/>
    <s v="GNR_RES_WTR_NOPMP_MC-01"/>
    <x v="1"/>
    <x v="0"/>
    <x v="1"/>
    <x v="0"/>
    <x v="0"/>
    <n v="0.16"/>
  </r>
  <r>
    <x v="0"/>
    <x v="0"/>
    <x v="0"/>
    <s v="NORWAY"/>
    <x v="2"/>
    <s v="NO1_A1"/>
    <s v="GNR_RES_WTR_NOPMP_MC-02"/>
    <x v="1"/>
    <x v="0"/>
    <x v="1"/>
    <x v="0"/>
    <x v="0"/>
    <n v="0.16"/>
  </r>
  <r>
    <x v="0"/>
    <x v="0"/>
    <x v="0"/>
    <s v="NORWAY"/>
    <x v="2"/>
    <s v="NO1_A1"/>
    <s v="GNR_RES_WTR_NOPMP_MC-03"/>
    <x v="1"/>
    <x v="0"/>
    <x v="1"/>
    <x v="0"/>
    <x v="0"/>
    <n v="0.16"/>
  </r>
  <r>
    <x v="0"/>
    <x v="0"/>
    <x v="0"/>
    <s v="NORWAY"/>
    <x v="2"/>
    <s v="NO1_A1"/>
    <s v="GNR_RES_WTR_NOPMP_MC-04"/>
    <x v="1"/>
    <x v="0"/>
    <x v="1"/>
    <x v="0"/>
    <x v="0"/>
    <n v="0.16"/>
  </r>
  <r>
    <x v="0"/>
    <x v="0"/>
    <x v="0"/>
    <s v="NORWAY"/>
    <x v="2"/>
    <s v="NO1_A1"/>
    <s v="GNR_RES_WTR_NOPMP_MC-05"/>
    <x v="1"/>
    <x v="0"/>
    <x v="1"/>
    <x v="0"/>
    <x v="0"/>
    <n v="0.16"/>
  </r>
  <r>
    <x v="0"/>
    <x v="0"/>
    <x v="0"/>
    <s v="NORWAY"/>
    <x v="2"/>
    <s v="NO1_A1"/>
    <s v="GNR_RES_WTR_NOPMP_MC-06"/>
    <x v="1"/>
    <x v="0"/>
    <x v="1"/>
    <x v="0"/>
    <x v="0"/>
    <n v="0.16"/>
  </r>
  <r>
    <x v="0"/>
    <x v="0"/>
    <x v="0"/>
    <s v="NORWAY"/>
    <x v="2"/>
    <s v="NO1_A1"/>
    <s v="GNR_RES_WTR_NOPMP_MC-07"/>
    <x v="1"/>
    <x v="0"/>
    <x v="1"/>
    <x v="0"/>
    <x v="0"/>
    <n v="0.16"/>
  </r>
  <r>
    <x v="0"/>
    <x v="0"/>
    <x v="0"/>
    <s v="NORWAY"/>
    <x v="2"/>
    <s v="NO1_A1"/>
    <s v="GNR_RES_WTR_NOPMP_MC-08"/>
    <x v="1"/>
    <x v="0"/>
    <x v="1"/>
    <x v="0"/>
    <x v="0"/>
    <n v="0.16"/>
  </r>
  <r>
    <x v="0"/>
    <x v="0"/>
    <x v="0"/>
    <s v="NORWAY"/>
    <x v="2"/>
    <s v="NO1_A1"/>
    <s v="GNR_RES_WTR_NOPMP_MC-09"/>
    <x v="1"/>
    <x v="0"/>
    <x v="1"/>
    <x v="0"/>
    <x v="0"/>
    <n v="0.16"/>
  </r>
  <r>
    <x v="0"/>
    <x v="0"/>
    <x v="0"/>
    <s v="NORWAY"/>
    <x v="2"/>
    <s v="NO1_A1"/>
    <s v="GNR_RES_WTR_NOPMP_MC-10"/>
    <x v="1"/>
    <x v="0"/>
    <x v="1"/>
    <x v="0"/>
    <x v="0"/>
    <n v="0.16"/>
  </r>
  <r>
    <x v="0"/>
    <x v="0"/>
    <x v="0"/>
    <s v="NORWAY"/>
    <x v="2"/>
    <s v="NO1_A1"/>
    <s v="GNR_ROR_WTR"/>
    <x v="1"/>
    <x v="0"/>
    <x v="2"/>
    <x v="0"/>
    <x v="0"/>
    <n v="2.1041303999999998"/>
  </r>
  <r>
    <x v="0"/>
    <x v="0"/>
    <x v="0"/>
    <s v="NORWAY"/>
    <x v="2"/>
    <s v="NO1_A2"/>
    <s v="GNR_STEAM-REFORMING_E-70_Y-2020"/>
    <x v="0"/>
    <x v="1"/>
    <x v="4"/>
    <x v="0"/>
    <x v="0"/>
    <n v="7.2337269360633893E-2"/>
  </r>
  <r>
    <x v="0"/>
    <x v="0"/>
    <x v="0"/>
    <s v="NORWAY"/>
    <x v="2"/>
    <s v="NO1_A2"/>
    <s v="GNR_STEAM-REFORMING_E-70_Y-2020"/>
    <x v="0"/>
    <x v="1"/>
    <x v="4"/>
    <x v="1"/>
    <x v="0"/>
    <n v="-7.2337269360633893E-2"/>
  </r>
  <r>
    <x v="0"/>
    <x v="0"/>
    <x v="0"/>
    <s v="NORWAY"/>
    <x v="2"/>
    <s v="NO2_A1"/>
    <s v="GNR_RES_WTR_NOPMP_MC-01"/>
    <x v="1"/>
    <x v="0"/>
    <x v="1"/>
    <x v="0"/>
    <x v="0"/>
    <n v="0.36719205575436598"/>
  </r>
  <r>
    <x v="0"/>
    <x v="0"/>
    <x v="0"/>
    <s v="NORWAY"/>
    <x v="2"/>
    <s v="NO2_A1"/>
    <s v="GNR_RES_WTR_NOPMP_MC-02"/>
    <x v="1"/>
    <x v="0"/>
    <x v="1"/>
    <x v="0"/>
    <x v="0"/>
    <n v="0.8871920557543661"/>
  </r>
  <r>
    <x v="0"/>
    <x v="0"/>
    <x v="0"/>
    <s v="NORWAY"/>
    <x v="2"/>
    <s v="NO2_A1"/>
    <s v="GNR_RES_WTR_NOPMP_MC-03"/>
    <x v="1"/>
    <x v="0"/>
    <x v="1"/>
    <x v="0"/>
    <x v="0"/>
    <n v="0.8871920557543661"/>
  </r>
  <r>
    <x v="0"/>
    <x v="0"/>
    <x v="0"/>
    <s v="NORWAY"/>
    <x v="2"/>
    <s v="NO2_A1"/>
    <s v="GNR_RES_WTR_NOPMP_MC-04"/>
    <x v="1"/>
    <x v="0"/>
    <x v="1"/>
    <x v="0"/>
    <x v="0"/>
    <n v="0.8871920557543661"/>
  </r>
  <r>
    <x v="0"/>
    <x v="0"/>
    <x v="0"/>
    <s v="NORWAY"/>
    <x v="2"/>
    <s v="NO2_A1"/>
    <s v="GNR_RES_WTR_NOPMP_MC-05"/>
    <x v="1"/>
    <x v="0"/>
    <x v="1"/>
    <x v="0"/>
    <x v="0"/>
    <n v="0.8871920557543661"/>
  </r>
  <r>
    <x v="0"/>
    <x v="0"/>
    <x v="0"/>
    <s v="NORWAY"/>
    <x v="2"/>
    <s v="NO2_A1"/>
    <s v="GNR_RES_WTR_NOPMP_MC-06"/>
    <x v="1"/>
    <x v="0"/>
    <x v="1"/>
    <x v="0"/>
    <x v="0"/>
    <n v="0.8871920557543661"/>
  </r>
  <r>
    <x v="0"/>
    <x v="0"/>
    <x v="0"/>
    <s v="NORWAY"/>
    <x v="2"/>
    <s v="NO2_A1"/>
    <s v="GNR_RES_WTR_NOPMP_MC-07"/>
    <x v="1"/>
    <x v="0"/>
    <x v="1"/>
    <x v="0"/>
    <x v="0"/>
    <n v="0.8871920557543661"/>
  </r>
  <r>
    <x v="0"/>
    <x v="0"/>
    <x v="0"/>
    <s v="NORWAY"/>
    <x v="2"/>
    <s v="NO2_A1"/>
    <s v="GNR_RES_WTR_NOPMP_MC-08"/>
    <x v="1"/>
    <x v="0"/>
    <x v="1"/>
    <x v="0"/>
    <x v="0"/>
    <n v="0.8871920557543661"/>
  </r>
  <r>
    <x v="0"/>
    <x v="0"/>
    <x v="0"/>
    <s v="NORWAY"/>
    <x v="2"/>
    <s v="NO2_A1"/>
    <s v="GNR_RES_WTR_NOPMP_MC-09"/>
    <x v="1"/>
    <x v="0"/>
    <x v="1"/>
    <x v="0"/>
    <x v="0"/>
    <n v="0.8871920557543661"/>
  </r>
  <r>
    <x v="0"/>
    <x v="0"/>
    <x v="0"/>
    <s v="NORWAY"/>
    <x v="2"/>
    <s v="NO2_A1"/>
    <s v="GNR_RES_WTR_NOPMP_MC-10"/>
    <x v="1"/>
    <x v="0"/>
    <x v="1"/>
    <x v="0"/>
    <x v="0"/>
    <n v="0.8871920557543661"/>
  </r>
  <r>
    <x v="0"/>
    <x v="0"/>
    <x v="0"/>
    <s v="NORWAY"/>
    <x v="2"/>
    <s v="NO2_A1"/>
    <s v="GNR_RES_WTR_PMP_MC-01"/>
    <x v="1"/>
    <x v="0"/>
    <x v="1"/>
    <x v="0"/>
    <x v="0"/>
    <n v="0.52"/>
  </r>
  <r>
    <x v="0"/>
    <x v="0"/>
    <x v="0"/>
    <s v="NORWAY"/>
    <x v="2"/>
    <s v="NO2_A1"/>
    <s v="GNR_ROR_WTR"/>
    <x v="1"/>
    <x v="0"/>
    <x v="2"/>
    <x v="0"/>
    <x v="0"/>
    <n v="2.2741580424563401"/>
  </r>
  <r>
    <x v="0"/>
    <x v="0"/>
    <x v="0"/>
    <s v="NORWAY"/>
    <x v="2"/>
    <s v="NO2_A2"/>
    <s v="GNR_STEAM-REFORMING_E-70_Y-2020"/>
    <x v="0"/>
    <x v="1"/>
    <x v="4"/>
    <x v="0"/>
    <x v="0"/>
    <n v="7.0317594929981006E-2"/>
  </r>
  <r>
    <x v="0"/>
    <x v="0"/>
    <x v="0"/>
    <s v="NORWAY"/>
    <x v="2"/>
    <s v="NO2_A2"/>
    <s v="GNR_STEAM-REFORMING_E-70_Y-2020"/>
    <x v="0"/>
    <x v="1"/>
    <x v="4"/>
    <x v="1"/>
    <x v="0"/>
    <n v="-7.0317594929981006E-2"/>
  </r>
  <r>
    <x v="0"/>
    <x v="0"/>
    <x v="0"/>
    <s v="NORWAY"/>
    <x v="2"/>
    <s v="NO5_A1"/>
    <s v="GNR_RES_WTR_NOPMP_MC-01"/>
    <x v="1"/>
    <x v="0"/>
    <x v="1"/>
    <x v="0"/>
    <x v="0"/>
    <n v="0.15419324188591599"/>
  </r>
  <r>
    <x v="0"/>
    <x v="0"/>
    <x v="0"/>
    <s v="NORWAY"/>
    <x v="2"/>
    <s v="NO5_A1"/>
    <s v="GNR_RES_WTR_NOPMP_MC-02"/>
    <x v="1"/>
    <x v="0"/>
    <x v="1"/>
    <x v="0"/>
    <x v="0"/>
    <n v="0.59819324188591605"/>
  </r>
  <r>
    <x v="0"/>
    <x v="0"/>
    <x v="0"/>
    <s v="NORWAY"/>
    <x v="2"/>
    <s v="NO5_A1"/>
    <s v="GNR_RES_WTR_NOPMP_MC-03"/>
    <x v="1"/>
    <x v="0"/>
    <x v="1"/>
    <x v="0"/>
    <x v="0"/>
    <n v="0.59819324188591605"/>
  </r>
  <r>
    <x v="0"/>
    <x v="0"/>
    <x v="0"/>
    <s v="NORWAY"/>
    <x v="2"/>
    <s v="NO5_A1"/>
    <s v="GNR_RES_WTR_NOPMP_MC-04"/>
    <x v="1"/>
    <x v="0"/>
    <x v="1"/>
    <x v="0"/>
    <x v="0"/>
    <n v="0.59819324188591605"/>
  </r>
  <r>
    <x v="0"/>
    <x v="0"/>
    <x v="0"/>
    <s v="NORWAY"/>
    <x v="2"/>
    <s v="NO5_A1"/>
    <s v="GNR_RES_WTR_NOPMP_MC-05"/>
    <x v="1"/>
    <x v="0"/>
    <x v="1"/>
    <x v="0"/>
    <x v="0"/>
    <n v="0.59819324188591605"/>
  </r>
  <r>
    <x v="0"/>
    <x v="0"/>
    <x v="0"/>
    <s v="NORWAY"/>
    <x v="2"/>
    <s v="NO5_A1"/>
    <s v="GNR_RES_WTR_NOPMP_MC-06"/>
    <x v="1"/>
    <x v="0"/>
    <x v="1"/>
    <x v="0"/>
    <x v="0"/>
    <n v="0.59819324188591605"/>
  </r>
  <r>
    <x v="0"/>
    <x v="0"/>
    <x v="0"/>
    <s v="NORWAY"/>
    <x v="2"/>
    <s v="NO5_A1"/>
    <s v="GNR_RES_WTR_NOPMP_MC-07"/>
    <x v="1"/>
    <x v="0"/>
    <x v="1"/>
    <x v="0"/>
    <x v="0"/>
    <n v="0.59819324188591605"/>
  </r>
  <r>
    <x v="0"/>
    <x v="0"/>
    <x v="0"/>
    <s v="NORWAY"/>
    <x v="2"/>
    <s v="NO5_A1"/>
    <s v="GNR_RES_WTR_NOPMP_MC-08"/>
    <x v="1"/>
    <x v="0"/>
    <x v="1"/>
    <x v="0"/>
    <x v="0"/>
    <n v="0.59819324188591605"/>
  </r>
  <r>
    <x v="0"/>
    <x v="0"/>
    <x v="0"/>
    <s v="NORWAY"/>
    <x v="2"/>
    <s v="NO5_A1"/>
    <s v="GNR_RES_WTR_NOPMP_MC-09"/>
    <x v="1"/>
    <x v="0"/>
    <x v="1"/>
    <x v="0"/>
    <x v="0"/>
    <n v="0.59819324188591605"/>
  </r>
  <r>
    <x v="0"/>
    <x v="0"/>
    <x v="0"/>
    <s v="NORWAY"/>
    <x v="2"/>
    <s v="NO5_A1"/>
    <s v="GNR_RES_WTR_NOPMP_MC-10"/>
    <x v="1"/>
    <x v="0"/>
    <x v="1"/>
    <x v="0"/>
    <x v="0"/>
    <n v="0.59819324188591605"/>
  </r>
  <r>
    <x v="0"/>
    <x v="0"/>
    <x v="0"/>
    <s v="NORWAY"/>
    <x v="2"/>
    <s v="NO5_A1"/>
    <s v="GNR_RES_WTR_PMP_MC-01"/>
    <x v="1"/>
    <x v="0"/>
    <x v="1"/>
    <x v="0"/>
    <x v="0"/>
    <n v="0.44400000000000001"/>
  </r>
  <r>
    <x v="0"/>
    <x v="0"/>
    <x v="0"/>
    <s v="NORWAY"/>
    <x v="2"/>
    <s v="NO5_A1"/>
    <s v="GNR_ROR_WTR"/>
    <x v="1"/>
    <x v="0"/>
    <x v="2"/>
    <x v="0"/>
    <x v="0"/>
    <n v="1.8789904811408402"/>
  </r>
  <r>
    <x v="0"/>
    <x v="0"/>
    <x v="0"/>
    <s v="NORWAY"/>
    <x v="2"/>
    <s v="NO5_A2"/>
    <s v="GNR_STEAM-REFORMING_E-70_Y-2020"/>
    <x v="0"/>
    <x v="1"/>
    <x v="4"/>
    <x v="0"/>
    <x v="0"/>
    <n v="3.1437258850049776E-2"/>
  </r>
  <r>
    <x v="0"/>
    <x v="0"/>
    <x v="0"/>
    <s v="NORWAY"/>
    <x v="2"/>
    <s v="NO5_A2"/>
    <s v="GNR_STEAM-REFORMING_E-70_Y-2020"/>
    <x v="0"/>
    <x v="1"/>
    <x v="4"/>
    <x v="1"/>
    <x v="0"/>
    <n v="-3.1437258850049776E-2"/>
  </r>
  <r>
    <x v="0"/>
    <x v="0"/>
    <x v="0"/>
    <s v="NORWAY"/>
    <x v="2"/>
    <s v="NOS0_A"/>
    <s v="GNR_WT_WIND_ONS_RG2"/>
    <x v="3"/>
    <x v="0"/>
    <x v="5"/>
    <x v="0"/>
    <x v="0"/>
    <n v="1.36435"/>
  </r>
  <r>
    <x v="0"/>
    <x v="0"/>
    <x v="0"/>
    <s v="NORWAY"/>
    <x v="2"/>
    <s v="NOS0_A"/>
    <s v="GNR_WT_WIND_ONS_RG2"/>
    <x v="3"/>
    <x v="0"/>
    <x v="5"/>
    <x v="1"/>
    <x v="0"/>
    <n v="-1.36435"/>
  </r>
  <r>
    <x v="0"/>
    <x v="0"/>
    <x v="0"/>
    <s v="NORWAY"/>
    <x v="2"/>
    <s v="NOS0_A"/>
    <s v="GNR_WT_ONS-2050"/>
    <x v="3"/>
    <x v="0"/>
    <x v="5"/>
    <x v="2"/>
    <x v="0"/>
    <n v="6.5420560747663554"/>
  </r>
  <r>
    <x v="0"/>
    <x v="0"/>
    <x v="0"/>
    <s v="DENMARK"/>
    <x v="3"/>
    <s v="DK1_Large"/>
    <s v="GNR_GT_LIGHTOIL_CND_E-26"/>
    <x v="4"/>
    <x v="0"/>
    <x v="0"/>
    <x v="0"/>
    <x v="0"/>
    <n v="1.4E-2"/>
  </r>
  <r>
    <x v="0"/>
    <x v="0"/>
    <x v="0"/>
    <s v="DENMARK"/>
    <x v="3"/>
    <s v="DK1_Large"/>
    <s v="GNR_GT_LIGHTOIL_CND_E-26"/>
    <x v="4"/>
    <x v="0"/>
    <x v="0"/>
    <x v="1"/>
    <x v="0"/>
    <n v="-1.4E-2"/>
  </r>
  <r>
    <x v="0"/>
    <x v="0"/>
    <x v="0"/>
    <s v="DENMARK"/>
    <x v="3"/>
    <s v="DK1_Large"/>
    <s v="GNR_ST_COAL_EXT_E-42"/>
    <x v="5"/>
    <x v="2"/>
    <x v="6"/>
    <x v="0"/>
    <x v="0"/>
    <n v="0.79333333333333322"/>
  </r>
  <r>
    <x v="0"/>
    <x v="0"/>
    <x v="0"/>
    <s v="DENMARK"/>
    <x v="3"/>
    <s v="DK1_Large"/>
    <s v="GNR_ST_COAL_EXT_E-42"/>
    <x v="5"/>
    <x v="2"/>
    <x v="6"/>
    <x v="1"/>
    <x v="0"/>
    <n v="-0.79333333333333322"/>
  </r>
  <r>
    <x v="0"/>
    <x v="0"/>
    <x v="0"/>
    <s v="DENMARK"/>
    <x v="3"/>
    <s v="DK1_Large"/>
    <s v="GNR_ST_COAL_EXT_E-42"/>
    <x v="5"/>
    <x v="0"/>
    <x v="6"/>
    <x v="0"/>
    <x v="0"/>
    <n v="0.71399999999999997"/>
  </r>
  <r>
    <x v="0"/>
    <x v="0"/>
    <x v="0"/>
    <s v="DENMARK"/>
    <x v="3"/>
    <s v="DK1_Large"/>
    <s v="GNR_ST_COAL_EXT_E-42"/>
    <x v="5"/>
    <x v="0"/>
    <x v="6"/>
    <x v="1"/>
    <x v="0"/>
    <n v="-0.71399999999999997"/>
  </r>
  <r>
    <x v="0"/>
    <x v="0"/>
    <x v="0"/>
    <s v="DENMARK"/>
    <x v="3"/>
    <s v="DK1_Large"/>
    <s v="GNR_ST_COAL_EXT_E-43"/>
    <x v="5"/>
    <x v="2"/>
    <x v="6"/>
    <x v="0"/>
    <x v="0"/>
    <n v="0.82777777777777772"/>
  </r>
  <r>
    <x v="0"/>
    <x v="0"/>
    <x v="0"/>
    <s v="DENMARK"/>
    <x v="3"/>
    <s v="DK1_Large"/>
    <s v="GNR_ST_COAL_EXT_E-43"/>
    <x v="5"/>
    <x v="2"/>
    <x v="6"/>
    <x v="1"/>
    <x v="0"/>
    <n v="-0.82777777777777772"/>
  </r>
  <r>
    <x v="0"/>
    <x v="0"/>
    <x v="0"/>
    <s v="DENMARK"/>
    <x v="3"/>
    <s v="DK1_Large"/>
    <s v="GNR_ST_COAL_EXT_E-43"/>
    <x v="5"/>
    <x v="0"/>
    <x v="6"/>
    <x v="0"/>
    <x v="0"/>
    <n v="0.745"/>
  </r>
  <r>
    <x v="0"/>
    <x v="0"/>
    <x v="0"/>
    <s v="DENMARK"/>
    <x v="3"/>
    <s v="DK1_Large"/>
    <s v="GNR_ST_COAL_EXT_E-43"/>
    <x v="5"/>
    <x v="0"/>
    <x v="6"/>
    <x v="1"/>
    <x v="0"/>
    <n v="-0.745"/>
  </r>
  <r>
    <x v="0"/>
    <x v="0"/>
    <x v="0"/>
    <s v="DENMARK"/>
    <x v="3"/>
    <s v="DK1_Large"/>
    <s v="GNR_ST_COAL_EXT_E-47"/>
    <x v="5"/>
    <x v="2"/>
    <x v="6"/>
    <x v="0"/>
    <x v="0"/>
    <n v="0.42777777777777776"/>
  </r>
  <r>
    <x v="0"/>
    <x v="0"/>
    <x v="0"/>
    <s v="DENMARK"/>
    <x v="3"/>
    <s v="DK1_Large"/>
    <s v="GNR_ST_COAL_EXT_E-47"/>
    <x v="5"/>
    <x v="2"/>
    <x v="6"/>
    <x v="1"/>
    <x v="0"/>
    <n v="-0.42777777777777776"/>
  </r>
  <r>
    <x v="0"/>
    <x v="0"/>
    <x v="0"/>
    <s v="DENMARK"/>
    <x v="3"/>
    <s v="DK1_Large"/>
    <s v="GNR_ST_COAL_EXT_E-47"/>
    <x v="5"/>
    <x v="0"/>
    <x v="6"/>
    <x v="0"/>
    <x v="0"/>
    <n v="0.38500000000000001"/>
  </r>
  <r>
    <x v="0"/>
    <x v="0"/>
    <x v="0"/>
    <s v="DENMARK"/>
    <x v="3"/>
    <s v="DK1_Large"/>
    <s v="GNR_ST_COAL_EXT_E-47"/>
    <x v="5"/>
    <x v="0"/>
    <x v="6"/>
    <x v="1"/>
    <x v="0"/>
    <n v="-0.38500000000000001"/>
  </r>
  <r>
    <x v="0"/>
    <x v="0"/>
    <x v="0"/>
    <s v="DENMARK"/>
    <x v="3"/>
    <s v="DK1_Large"/>
    <s v="GNR_ST_NGAS_EXT_E-47"/>
    <x v="0"/>
    <x v="2"/>
    <x v="6"/>
    <x v="0"/>
    <x v="0"/>
    <n v="0.45057471264367815"/>
  </r>
  <r>
    <x v="0"/>
    <x v="0"/>
    <x v="0"/>
    <s v="DENMARK"/>
    <x v="3"/>
    <s v="DK1_Large"/>
    <s v="GNR_ST_NGAS_EXT_E-47"/>
    <x v="0"/>
    <x v="2"/>
    <x v="6"/>
    <x v="1"/>
    <x v="0"/>
    <n v="-0.45057471264367815"/>
  </r>
  <r>
    <x v="0"/>
    <x v="0"/>
    <x v="0"/>
    <s v="DENMARK"/>
    <x v="3"/>
    <s v="DK1_Large"/>
    <s v="GNR_ST_NGAS_EXT_E-47"/>
    <x v="0"/>
    <x v="0"/>
    <x v="6"/>
    <x v="0"/>
    <x v="0"/>
    <n v="0.39200000000000002"/>
  </r>
  <r>
    <x v="0"/>
    <x v="0"/>
    <x v="0"/>
    <s v="DENMARK"/>
    <x v="3"/>
    <s v="DK1_Large"/>
    <s v="GNR_ST_NGAS_EXT_E-47"/>
    <x v="0"/>
    <x v="0"/>
    <x v="6"/>
    <x v="1"/>
    <x v="0"/>
    <n v="-0.39200000000000002"/>
  </r>
  <r>
    <x v="0"/>
    <x v="0"/>
    <x v="0"/>
    <s v="DENMARK"/>
    <x v="3"/>
    <s v="DK1_Large"/>
    <s v="GNR_ELYS_ELEC_AEC_Y-2020"/>
    <x v="2"/>
    <x v="1"/>
    <x v="3"/>
    <x v="0"/>
    <x v="0"/>
    <n v="4.7449999999999966"/>
  </r>
  <r>
    <x v="0"/>
    <x v="0"/>
    <x v="0"/>
    <s v="DENMARK"/>
    <x v="3"/>
    <s v="DK1_Large"/>
    <s v="GNR_ELYS_ELEC_AEC_Y-2020"/>
    <x v="2"/>
    <x v="1"/>
    <x v="3"/>
    <x v="1"/>
    <x v="0"/>
    <n v="-3.3064064658263477"/>
  </r>
  <r>
    <x v="0"/>
    <x v="0"/>
    <x v="0"/>
    <s v="DENMARK"/>
    <x v="3"/>
    <s v="DK1_Large"/>
    <s v="GNR_H2S_H2-CAVERN_Y-2050"/>
    <x v="6"/>
    <x v="1"/>
    <x v="7"/>
    <x v="2"/>
    <x v="0"/>
    <n v="12.726484583571649"/>
  </r>
  <r>
    <x v="0"/>
    <x v="0"/>
    <x v="0"/>
    <s v="DENMARK"/>
    <x v="3"/>
    <s v="DK1_Large"/>
    <s v="GNR_STEAM-REFORMING_E-70_Y-2020"/>
    <x v="0"/>
    <x v="1"/>
    <x v="4"/>
    <x v="0"/>
    <x v="0"/>
    <n v="0.15769997558254309"/>
  </r>
  <r>
    <x v="0"/>
    <x v="0"/>
    <x v="0"/>
    <s v="DENMARK"/>
    <x v="3"/>
    <s v="DK1_Large"/>
    <s v="GNR_STEAM-REFORMING_E-70_Y-2020"/>
    <x v="0"/>
    <x v="1"/>
    <x v="4"/>
    <x v="1"/>
    <x v="0"/>
    <n v="-0.15769997558254309"/>
  </r>
  <r>
    <x v="0"/>
    <x v="0"/>
    <x v="0"/>
    <s v="DENMARK"/>
    <x v="3"/>
    <s v="DK1_Large"/>
    <s v="GNR_BIOGASUPGRADING_E-99_Y-2020"/>
    <x v="7"/>
    <x v="3"/>
    <x v="8"/>
    <x v="0"/>
    <x v="0"/>
    <n v="0.91"/>
  </r>
  <r>
    <x v="0"/>
    <x v="0"/>
    <x v="0"/>
    <s v="DENMARK"/>
    <x v="3"/>
    <s v="DK1_Large"/>
    <s v="GNR_BIOGASUPGRADING_E-99_Y-2020"/>
    <x v="7"/>
    <x v="3"/>
    <x v="8"/>
    <x v="1"/>
    <x v="0"/>
    <n v="-0.91"/>
  </r>
  <r>
    <x v="0"/>
    <x v="0"/>
    <x v="0"/>
    <s v="DENMARK"/>
    <x v="3"/>
    <s v="DK1_Rural"/>
    <s v="GNR_ENG_LIGHTOIL_CND_E-33"/>
    <x v="4"/>
    <x v="0"/>
    <x v="0"/>
    <x v="0"/>
    <x v="0"/>
    <n v="4.5000000000000004E-4"/>
  </r>
  <r>
    <x v="0"/>
    <x v="0"/>
    <x v="0"/>
    <s v="DENMARK"/>
    <x v="3"/>
    <s v="DK1_Rural"/>
    <s v="GNR_ENG_LIGHTOIL_CND_E-33"/>
    <x v="4"/>
    <x v="0"/>
    <x v="0"/>
    <x v="1"/>
    <x v="0"/>
    <n v="-4.4999999999999999E-4"/>
  </r>
  <r>
    <x v="0"/>
    <x v="0"/>
    <x v="0"/>
    <s v="DENMARK"/>
    <x v="3"/>
    <s v="DK1_Rural"/>
    <s v="GNR_ENG_LIGHTOIL_CND_E-42"/>
    <x v="4"/>
    <x v="0"/>
    <x v="0"/>
    <x v="0"/>
    <x v="0"/>
    <n v="1.9000000000000001E-4"/>
  </r>
  <r>
    <x v="0"/>
    <x v="0"/>
    <x v="0"/>
    <s v="DENMARK"/>
    <x v="3"/>
    <s v="DK1_Rural"/>
    <s v="GNR_ENG_LIGHTOIL_CND_E-42"/>
    <x v="4"/>
    <x v="0"/>
    <x v="0"/>
    <x v="1"/>
    <x v="0"/>
    <n v="-1.9000000000000001E-4"/>
  </r>
  <r>
    <x v="0"/>
    <x v="0"/>
    <x v="0"/>
    <s v="DENMARK"/>
    <x v="3"/>
    <s v="DK1_Rural"/>
    <s v="GNR_ENG_LIGHTOIL_CND_E-43"/>
    <x v="4"/>
    <x v="0"/>
    <x v="0"/>
    <x v="0"/>
    <x v="0"/>
    <n v="1.1800000000000001E-3"/>
  </r>
  <r>
    <x v="0"/>
    <x v="0"/>
    <x v="0"/>
    <s v="DENMARK"/>
    <x v="3"/>
    <s v="DK1_Rural"/>
    <s v="GNR_ENG_LIGHTOIL_CND_E-43"/>
    <x v="4"/>
    <x v="0"/>
    <x v="0"/>
    <x v="1"/>
    <x v="0"/>
    <n v="-1.1800000000000001E-3"/>
  </r>
  <r>
    <x v="0"/>
    <x v="0"/>
    <x v="0"/>
    <s v="DENMARK"/>
    <x v="3"/>
    <s v="DK1_Medium"/>
    <s v="GNR_ENG_LIGHTOIL_CND_E-38"/>
    <x v="4"/>
    <x v="0"/>
    <x v="0"/>
    <x v="0"/>
    <x v="0"/>
    <n v="1.3600000000000001E-3"/>
  </r>
  <r>
    <x v="0"/>
    <x v="0"/>
    <x v="0"/>
    <s v="DENMARK"/>
    <x v="3"/>
    <s v="DK1_Medium"/>
    <s v="GNR_ENG_LIGHTOIL_CND_E-38"/>
    <x v="4"/>
    <x v="0"/>
    <x v="0"/>
    <x v="1"/>
    <x v="0"/>
    <n v="-1.3600000000000001E-3"/>
  </r>
  <r>
    <x v="0"/>
    <x v="0"/>
    <x v="0"/>
    <s v="DENMARK"/>
    <x v="3"/>
    <s v="DK1_Medium"/>
    <s v="GNR_ENG_LIGHTOIL_CND_E-39"/>
    <x v="4"/>
    <x v="0"/>
    <x v="0"/>
    <x v="0"/>
    <x v="0"/>
    <n v="6.9999999999999999E-4"/>
  </r>
  <r>
    <x v="0"/>
    <x v="0"/>
    <x v="0"/>
    <s v="DENMARK"/>
    <x v="3"/>
    <s v="DK1_Medium"/>
    <s v="GNR_ENG_LIGHTOIL_CND_E-39"/>
    <x v="4"/>
    <x v="0"/>
    <x v="0"/>
    <x v="1"/>
    <x v="0"/>
    <n v="-6.9999999999999999E-4"/>
  </r>
  <r>
    <x v="0"/>
    <x v="0"/>
    <x v="0"/>
    <s v="DENMARK"/>
    <x v="3"/>
    <s v="DK1_Medium"/>
    <s v="GNR_ENG_LIGHTOIL_CND_E-41"/>
    <x v="4"/>
    <x v="0"/>
    <x v="0"/>
    <x v="0"/>
    <x v="0"/>
    <n v="5.6000000000000006E-4"/>
  </r>
  <r>
    <x v="0"/>
    <x v="0"/>
    <x v="0"/>
    <s v="DENMARK"/>
    <x v="3"/>
    <s v="DK1_Medium"/>
    <s v="GNR_ENG_LIGHTOIL_CND_E-41"/>
    <x v="4"/>
    <x v="0"/>
    <x v="0"/>
    <x v="1"/>
    <x v="0"/>
    <n v="-5.6000000000000006E-4"/>
  </r>
  <r>
    <x v="0"/>
    <x v="0"/>
    <x v="0"/>
    <s v="DENMARK"/>
    <x v="3"/>
    <s v="DK1_NoDH"/>
    <s v="GNR_ENG_LIGHTOIL_CND_E-41"/>
    <x v="4"/>
    <x v="0"/>
    <x v="0"/>
    <x v="0"/>
    <x v="0"/>
    <n v="2.0399999999999998E-2"/>
  </r>
  <r>
    <x v="0"/>
    <x v="0"/>
    <x v="0"/>
    <s v="DENMARK"/>
    <x v="3"/>
    <s v="DK1_NoDH"/>
    <s v="GNR_ENG_LIGHTOIL_CND_E-41"/>
    <x v="4"/>
    <x v="0"/>
    <x v="0"/>
    <x v="1"/>
    <x v="0"/>
    <n v="-2.0399999999999998E-2"/>
  </r>
  <r>
    <x v="0"/>
    <x v="0"/>
    <x v="0"/>
    <s v="DENMARK"/>
    <x v="3"/>
    <s v="DK1_NoDH"/>
    <s v="GNR_ENG_NGAS_CND_E-41"/>
    <x v="0"/>
    <x v="0"/>
    <x v="0"/>
    <x v="0"/>
    <x v="0"/>
    <n v="4.0799999999999996E-2"/>
  </r>
  <r>
    <x v="0"/>
    <x v="0"/>
    <x v="0"/>
    <s v="DENMARK"/>
    <x v="3"/>
    <s v="DK1_NoDH"/>
    <s v="GNR_ENG_NGAS_CND_E-41"/>
    <x v="0"/>
    <x v="0"/>
    <x v="0"/>
    <x v="1"/>
    <x v="0"/>
    <n v="-4.0799999999999996E-2"/>
  </r>
  <r>
    <x v="0"/>
    <x v="0"/>
    <x v="0"/>
    <s v="DENMARK"/>
    <x v="3"/>
    <s v="DK1_NoDH"/>
    <s v="GNR_ROR_WTR"/>
    <x v="1"/>
    <x v="0"/>
    <x v="2"/>
    <x v="0"/>
    <x v="0"/>
    <n v="6.9400000000000009E-3"/>
  </r>
  <r>
    <x v="0"/>
    <x v="0"/>
    <x v="0"/>
    <s v="DENMARK"/>
    <x v="3"/>
    <s v="DK1_IND-MT-NODH"/>
    <s v="GNR_ENG_BGAS_CND_E-36"/>
    <x v="7"/>
    <x v="0"/>
    <x v="0"/>
    <x v="0"/>
    <x v="0"/>
    <n v="1.4E-3"/>
  </r>
  <r>
    <x v="0"/>
    <x v="0"/>
    <x v="0"/>
    <s v="DENMARK"/>
    <x v="3"/>
    <s v="DK1_IND-MT-NODH"/>
    <s v="GNR_ENG_BGAS_CND_E-36"/>
    <x v="7"/>
    <x v="0"/>
    <x v="0"/>
    <x v="1"/>
    <x v="0"/>
    <n v="-1.4E-3"/>
  </r>
  <r>
    <x v="0"/>
    <x v="0"/>
    <x v="0"/>
    <s v="DENMARK"/>
    <x v="3"/>
    <s v="DK1_IND-MT-NODH"/>
    <s v="GNR_ENG_BGAS_CND_E-42"/>
    <x v="7"/>
    <x v="0"/>
    <x v="0"/>
    <x v="0"/>
    <x v="0"/>
    <n v="3.5E-4"/>
  </r>
  <r>
    <x v="0"/>
    <x v="0"/>
    <x v="0"/>
    <s v="DENMARK"/>
    <x v="3"/>
    <s v="DK1_IND-MT-NODH"/>
    <s v="GNR_ENG_BGAS_CND_E-42"/>
    <x v="7"/>
    <x v="0"/>
    <x v="0"/>
    <x v="1"/>
    <x v="0"/>
    <n v="-3.5E-4"/>
  </r>
  <r>
    <x v="0"/>
    <x v="0"/>
    <x v="0"/>
    <s v="DENMARK"/>
    <x v="3"/>
    <s v="DK1_IND-MT-NODH"/>
    <s v="GNR_ENG_LIGHTOIL_CND_E-34"/>
    <x v="4"/>
    <x v="0"/>
    <x v="0"/>
    <x v="0"/>
    <x v="0"/>
    <n v="5.0000000000000001E-4"/>
  </r>
  <r>
    <x v="0"/>
    <x v="0"/>
    <x v="0"/>
    <s v="DENMARK"/>
    <x v="3"/>
    <s v="DK1_IND-MT-NODH"/>
    <s v="GNR_ENG_LIGHTOIL_CND_E-34"/>
    <x v="4"/>
    <x v="0"/>
    <x v="0"/>
    <x v="1"/>
    <x v="0"/>
    <n v="-5.0000000000000001E-4"/>
  </r>
  <r>
    <x v="0"/>
    <x v="0"/>
    <x v="0"/>
    <s v="DENMARK"/>
    <x v="3"/>
    <s v="DK1_IND-MT-NODH"/>
    <s v="GNR_ENG_LIGHTOIL_CND_E-36"/>
    <x v="4"/>
    <x v="0"/>
    <x v="0"/>
    <x v="0"/>
    <x v="0"/>
    <n v="7.1999999999999994E-4"/>
  </r>
  <r>
    <x v="0"/>
    <x v="0"/>
    <x v="0"/>
    <s v="DENMARK"/>
    <x v="3"/>
    <s v="DK1_IND-MT-NODH"/>
    <s v="GNR_ENG_LIGHTOIL_CND_E-36"/>
    <x v="4"/>
    <x v="0"/>
    <x v="0"/>
    <x v="1"/>
    <x v="0"/>
    <n v="-7.1999999999999994E-4"/>
  </r>
  <r>
    <x v="0"/>
    <x v="0"/>
    <x v="0"/>
    <s v="DENMARK"/>
    <x v="3"/>
    <s v="DK1_IND-MT-NODH"/>
    <s v="GNR_ENG_LIGHTOIL_CND_E-41"/>
    <x v="4"/>
    <x v="0"/>
    <x v="0"/>
    <x v="0"/>
    <x v="0"/>
    <n v="2.0399999999999998E-2"/>
  </r>
  <r>
    <x v="0"/>
    <x v="0"/>
    <x v="0"/>
    <s v="DENMARK"/>
    <x v="3"/>
    <s v="DK1_IND-MT-NODH"/>
    <s v="GNR_ENG_LIGHTOIL_CND_E-41"/>
    <x v="4"/>
    <x v="0"/>
    <x v="0"/>
    <x v="1"/>
    <x v="0"/>
    <n v="-2.0399999999999998E-2"/>
  </r>
  <r>
    <x v="0"/>
    <x v="0"/>
    <x v="0"/>
    <s v="DENMARK"/>
    <x v="3"/>
    <s v="DK1_IND-MT-NODH"/>
    <s v="GNR_ENG_LIGHTOIL_CND_E-43"/>
    <x v="4"/>
    <x v="0"/>
    <x v="0"/>
    <x v="0"/>
    <x v="0"/>
    <n v="2.0000000000000002E-5"/>
  </r>
  <r>
    <x v="0"/>
    <x v="0"/>
    <x v="0"/>
    <s v="DENMARK"/>
    <x v="3"/>
    <s v="DK1_IND-MT-NODH"/>
    <s v="GNR_ENG_LIGHTOIL_CND_E-43"/>
    <x v="4"/>
    <x v="0"/>
    <x v="0"/>
    <x v="1"/>
    <x v="0"/>
    <n v="-2.0000000000000002E-5"/>
  </r>
  <r>
    <x v="0"/>
    <x v="0"/>
    <x v="0"/>
    <s v="DENMARK"/>
    <x v="3"/>
    <s v="DK1_IND-MT-NODH"/>
    <s v="GNR_ENG_NGAS_CND_E-46"/>
    <x v="0"/>
    <x v="0"/>
    <x v="0"/>
    <x v="0"/>
    <x v="0"/>
    <n v="6.4000000000000005E-4"/>
  </r>
  <r>
    <x v="0"/>
    <x v="0"/>
    <x v="0"/>
    <s v="DENMARK"/>
    <x v="3"/>
    <s v="DK1_IND-MT-NODH"/>
    <s v="GNR_ENG_NGAS_CND_E-46"/>
    <x v="0"/>
    <x v="0"/>
    <x v="0"/>
    <x v="1"/>
    <x v="0"/>
    <n v="-6.4000000000000005E-4"/>
  </r>
  <r>
    <x v="0"/>
    <x v="0"/>
    <x v="0"/>
    <s v="DENMARK"/>
    <x v="3"/>
    <s v="DK1_IND-MT-DH"/>
    <s v="GNR_ENG_LIGHTOIL_CND_E-39"/>
    <x v="4"/>
    <x v="0"/>
    <x v="0"/>
    <x v="0"/>
    <x v="0"/>
    <n v="2.9999999999999997E-4"/>
  </r>
  <r>
    <x v="0"/>
    <x v="0"/>
    <x v="0"/>
    <s v="DENMARK"/>
    <x v="3"/>
    <s v="DK1_IND-MT-DH"/>
    <s v="GNR_ENG_LIGHTOIL_CND_E-39"/>
    <x v="4"/>
    <x v="0"/>
    <x v="0"/>
    <x v="1"/>
    <x v="0"/>
    <n v="-2.9999999999999997E-4"/>
  </r>
  <r>
    <x v="0"/>
    <x v="0"/>
    <x v="0"/>
    <s v="DENMARK"/>
    <x v="3"/>
    <s v="DKW1_A"/>
    <s v="GNR_PV_SUN"/>
    <x v="8"/>
    <x v="0"/>
    <x v="9"/>
    <x v="0"/>
    <x v="0"/>
    <n v="0.51850799999974295"/>
  </r>
  <r>
    <x v="0"/>
    <x v="0"/>
    <x v="0"/>
    <s v="DENMARK"/>
    <x v="3"/>
    <s v="DKW1_A"/>
    <s v="GNR_PV_SUN"/>
    <x v="8"/>
    <x v="0"/>
    <x v="9"/>
    <x v="1"/>
    <x v="0"/>
    <n v="-0.51850799999974295"/>
  </r>
  <r>
    <x v="0"/>
    <x v="0"/>
    <x v="0"/>
    <s v="DENMARK"/>
    <x v="3"/>
    <s v="DKW1_A"/>
    <s v="GNR_WT_WIND_OFF"/>
    <x v="3"/>
    <x v="0"/>
    <x v="10"/>
    <x v="0"/>
    <x v="0"/>
    <n v="1.6017000000000001"/>
  </r>
  <r>
    <x v="0"/>
    <x v="0"/>
    <x v="0"/>
    <s v="DENMARK"/>
    <x v="3"/>
    <s v="DKW1_A"/>
    <s v="GNR_WT_WIND_OFF"/>
    <x v="3"/>
    <x v="0"/>
    <x v="10"/>
    <x v="1"/>
    <x v="0"/>
    <n v="-1.6017000000000001"/>
  </r>
  <r>
    <x v="0"/>
    <x v="0"/>
    <x v="0"/>
    <s v="DENMARK"/>
    <x v="3"/>
    <s v="DKW1_A"/>
    <s v="GNR_WT_WIND_ONS_RG1"/>
    <x v="3"/>
    <x v="0"/>
    <x v="5"/>
    <x v="0"/>
    <x v="0"/>
    <n v="0.319275245900011"/>
  </r>
  <r>
    <x v="0"/>
    <x v="0"/>
    <x v="0"/>
    <s v="DENMARK"/>
    <x v="3"/>
    <s v="DKW1_A"/>
    <s v="GNR_WT_WIND_ONS_RG1"/>
    <x v="3"/>
    <x v="0"/>
    <x v="5"/>
    <x v="1"/>
    <x v="0"/>
    <n v="-0.319275245900011"/>
  </r>
  <r>
    <x v="0"/>
    <x v="0"/>
    <x v="0"/>
    <s v="DENMARK"/>
    <x v="3"/>
    <s v="DKW1_A"/>
    <s v="GNR_WT_WIND_ONS_RG2"/>
    <x v="3"/>
    <x v="0"/>
    <x v="5"/>
    <x v="0"/>
    <x v="0"/>
    <n v="1.86918730240006"/>
  </r>
  <r>
    <x v="0"/>
    <x v="0"/>
    <x v="0"/>
    <s v="DENMARK"/>
    <x v="3"/>
    <s v="DKW1_A"/>
    <s v="GNR_WT_WIND_ONS_RG2"/>
    <x v="3"/>
    <x v="0"/>
    <x v="5"/>
    <x v="1"/>
    <x v="0"/>
    <n v="-1.8691873024000605"/>
  </r>
  <r>
    <x v="0"/>
    <x v="0"/>
    <x v="0"/>
    <s v="DENMARK"/>
    <x v="3"/>
    <s v="DKW1_A"/>
    <s v="GNR_WT_WIND_ONS_RG3"/>
    <x v="3"/>
    <x v="0"/>
    <x v="5"/>
    <x v="0"/>
    <x v="0"/>
    <n v="1.1304069517000401"/>
  </r>
  <r>
    <x v="0"/>
    <x v="0"/>
    <x v="0"/>
    <s v="DENMARK"/>
    <x v="3"/>
    <s v="DKW1_A"/>
    <s v="GNR_WT_WIND_ONS_RG3"/>
    <x v="3"/>
    <x v="0"/>
    <x v="5"/>
    <x v="1"/>
    <x v="0"/>
    <n v="-1.1304069517000401"/>
  </r>
  <r>
    <x v="0"/>
    <x v="0"/>
    <x v="0"/>
    <s v="DENMARK"/>
    <x v="3"/>
    <s v="DKW1_A"/>
    <s v="GNR_WT_ONS-2050"/>
    <x v="3"/>
    <x v="0"/>
    <x v="5"/>
    <x v="2"/>
    <x v="0"/>
    <n v="8.5622837370242237"/>
  </r>
  <r>
    <x v="0"/>
    <x v="0"/>
    <x v="0"/>
    <s v="DENMARK"/>
    <x v="4"/>
    <s v="DK2_Large"/>
    <s v="GNR_ENG_LIGHTOIL_CND_E-43"/>
    <x v="4"/>
    <x v="0"/>
    <x v="0"/>
    <x v="0"/>
    <x v="0"/>
    <n v="1.3000000000000002E-3"/>
  </r>
  <r>
    <x v="0"/>
    <x v="0"/>
    <x v="0"/>
    <s v="DENMARK"/>
    <x v="4"/>
    <s v="DK2_Large"/>
    <s v="GNR_ENG_LIGHTOIL_CND_E-43"/>
    <x v="4"/>
    <x v="0"/>
    <x v="0"/>
    <x v="1"/>
    <x v="0"/>
    <n v="-1.3000000000000002E-3"/>
  </r>
  <r>
    <x v="0"/>
    <x v="0"/>
    <x v="0"/>
    <s v="DENMARK"/>
    <x v="4"/>
    <s v="DK2_Large"/>
    <s v="GNR_ST_COAL_EXT_E-42"/>
    <x v="5"/>
    <x v="2"/>
    <x v="6"/>
    <x v="0"/>
    <x v="0"/>
    <n v="0.55555555555555558"/>
  </r>
  <r>
    <x v="0"/>
    <x v="0"/>
    <x v="0"/>
    <s v="DENMARK"/>
    <x v="4"/>
    <s v="DK2_Large"/>
    <s v="GNR_ST_COAL_EXT_E-42"/>
    <x v="5"/>
    <x v="2"/>
    <x v="6"/>
    <x v="1"/>
    <x v="0"/>
    <n v="-0.55555555555555558"/>
  </r>
  <r>
    <x v="0"/>
    <x v="0"/>
    <x v="0"/>
    <s v="DENMARK"/>
    <x v="4"/>
    <s v="DK2_Large"/>
    <s v="GNR_ST_COAL_EXT_E-42"/>
    <x v="5"/>
    <x v="0"/>
    <x v="6"/>
    <x v="0"/>
    <x v="0"/>
    <n v="0.5"/>
  </r>
  <r>
    <x v="0"/>
    <x v="0"/>
    <x v="0"/>
    <s v="DENMARK"/>
    <x v="4"/>
    <s v="DK2_Large"/>
    <s v="GNR_ST_COAL_EXT_E-42"/>
    <x v="5"/>
    <x v="0"/>
    <x v="6"/>
    <x v="1"/>
    <x v="0"/>
    <n v="-0.5"/>
  </r>
  <r>
    <x v="0"/>
    <x v="0"/>
    <x v="0"/>
    <s v="DENMARK"/>
    <x v="4"/>
    <s v="DK2_Large"/>
    <s v="GNR_ST_WOODPEL_EXT_E-50"/>
    <x v="9"/>
    <x v="2"/>
    <x v="6"/>
    <x v="0"/>
    <x v="0"/>
    <n v="0.63111111111111118"/>
  </r>
  <r>
    <x v="0"/>
    <x v="0"/>
    <x v="0"/>
    <s v="DENMARK"/>
    <x v="4"/>
    <s v="DK2_Large"/>
    <s v="GNR_ST_WOODPEL_EXT_E-50"/>
    <x v="9"/>
    <x v="2"/>
    <x v="6"/>
    <x v="1"/>
    <x v="0"/>
    <n v="-0.63111111111111118"/>
  </r>
  <r>
    <x v="0"/>
    <x v="0"/>
    <x v="0"/>
    <s v="DENMARK"/>
    <x v="4"/>
    <s v="DK2_Large"/>
    <s v="GNR_ST_WOODPEL_EXT_E-50"/>
    <x v="9"/>
    <x v="0"/>
    <x v="6"/>
    <x v="0"/>
    <x v="0"/>
    <n v="0.56800000000000006"/>
  </r>
  <r>
    <x v="0"/>
    <x v="0"/>
    <x v="0"/>
    <s v="DENMARK"/>
    <x v="4"/>
    <s v="DK2_Large"/>
    <s v="GNR_ST_WOODPEL_EXT_E-50"/>
    <x v="9"/>
    <x v="0"/>
    <x v="6"/>
    <x v="1"/>
    <x v="0"/>
    <n v="-0.56800000000000006"/>
  </r>
  <r>
    <x v="0"/>
    <x v="0"/>
    <x v="0"/>
    <s v="DENMARK"/>
    <x v="4"/>
    <s v="DK2_Large"/>
    <s v="GNR_ELYS_ELEC_AEC_Y-2020"/>
    <x v="2"/>
    <x v="1"/>
    <x v="3"/>
    <x v="0"/>
    <x v="0"/>
    <n v="3.9199999999999982"/>
  </r>
  <r>
    <x v="0"/>
    <x v="0"/>
    <x v="0"/>
    <s v="DENMARK"/>
    <x v="4"/>
    <s v="DK2_Large"/>
    <s v="GNR_ELYS_ELEC_AEC_Y-2020"/>
    <x v="2"/>
    <x v="1"/>
    <x v="3"/>
    <x v="1"/>
    <x v="0"/>
    <n v="-2.7834618287463253"/>
  </r>
  <r>
    <x v="0"/>
    <x v="0"/>
    <x v="0"/>
    <s v="DENMARK"/>
    <x v="4"/>
    <s v="DK2_Large"/>
    <s v="GNR_STEAM-REFORMING_E-70_Y-2020"/>
    <x v="0"/>
    <x v="1"/>
    <x v="4"/>
    <x v="0"/>
    <x v="0"/>
    <n v="0.10823016200941769"/>
  </r>
  <r>
    <x v="0"/>
    <x v="0"/>
    <x v="0"/>
    <s v="DENMARK"/>
    <x v="4"/>
    <s v="DK2_Large"/>
    <s v="GNR_STEAM-REFORMING_E-70_Y-2020"/>
    <x v="0"/>
    <x v="1"/>
    <x v="4"/>
    <x v="1"/>
    <x v="0"/>
    <n v="-0.10823016200941769"/>
  </r>
  <r>
    <x v="0"/>
    <x v="0"/>
    <x v="0"/>
    <s v="DENMARK"/>
    <x v="4"/>
    <s v="DK2_Rural"/>
    <s v="GNR_ENG_FUELOIL_CND_E-42"/>
    <x v="10"/>
    <x v="0"/>
    <x v="0"/>
    <x v="0"/>
    <x v="0"/>
    <n v="2.0000000000000001E-4"/>
  </r>
  <r>
    <x v="0"/>
    <x v="0"/>
    <x v="0"/>
    <s v="DENMARK"/>
    <x v="4"/>
    <s v="DK2_Rural"/>
    <s v="GNR_ENG_FUELOIL_CND_E-42"/>
    <x v="10"/>
    <x v="0"/>
    <x v="0"/>
    <x v="1"/>
    <x v="0"/>
    <n v="-2.0000000000000001E-4"/>
  </r>
  <r>
    <x v="0"/>
    <x v="0"/>
    <x v="0"/>
    <s v="DENMARK"/>
    <x v="4"/>
    <s v="DK2_Rural"/>
    <s v="GNR_ENG_LIGHTOIL_CND_E-37"/>
    <x v="4"/>
    <x v="0"/>
    <x v="0"/>
    <x v="0"/>
    <x v="0"/>
    <n v="1.4999999999999999E-2"/>
  </r>
  <r>
    <x v="0"/>
    <x v="0"/>
    <x v="0"/>
    <s v="DENMARK"/>
    <x v="4"/>
    <s v="DK2_Rural"/>
    <s v="GNR_ENG_LIGHTOIL_CND_E-37"/>
    <x v="4"/>
    <x v="0"/>
    <x v="0"/>
    <x v="1"/>
    <x v="0"/>
    <n v="-1.4999999999999999E-2"/>
  </r>
  <r>
    <x v="0"/>
    <x v="0"/>
    <x v="0"/>
    <s v="DENMARK"/>
    <x v="4"/>
    <s v="DK2_Rural"/>
    <s v="GNR_ENG_LIGHTOIL_CND_E-39"/>
    <x v="4"/>
    <x v="0"/>
    <x v="0"/>
    <x v="0"/>
    <x v="0"/>
    <n v="1.9600000000000003E-2"/>
  </r>
  <r>
    <x v="0"/>
    <x v="0"/>
    <x v="0"/>
    <s v="DENMARK"/>
    <x v="4"/>
    <s v="DK2_Rural"/>
    <s v="GNR_ENG_LIGHTOIL_CND_E-39"/>
    <x v="4"/>
    <x v="0"/>
    <x v="0"/>
    <x v="1"/>
    <x v="0"/>
    <n v="-1.9600000000000003E-2"/>
  </r>
  <r>
    <x v="0"/>
    <x v="0"/>
    <x v="0"/>
    <s v="DENMARK"/>
    <x v="4"/>
    <s v="DK2_Rural"/>
    <s v="GNR_ENG_LIGHTOIL_CND_E-41"/>
    <x v="4"/>
    <x v="0"/>
    <x v="0"/>
    <x v="0"/>
    <x v="0"/>
    <n v="2.8000000000000003E-4"/>
  </r>
  <r>
    <x v="0"/>
    <x v="0"/>
    <x v="0"/>
    <s v="DENMARK"/>
    <x v="4"/>
    <s v="DK2_Rural"/>
    <s v="GNR_ENG_LIGHTOIL_CND_E-41"/>
    <x v="4"/>
    <x v="0"/>
    <x v="0"/>
    <x v="1"/>
    <x v="0"/>
    <n v="-2.8000000000000003E-4"/>
  </r>
  <r>
    <x v="0"/>
    <x v="0"/>
    <x v="0"/>
    <s v="DENMARK"/>
    <x v="4"/>
    <s v="DK2_Rural"/>
    <s v="GNR_ENG_LIGHTOIL_CND_E-43"/>
    <x v="4"/>
    <x v="0"/>
    <x v="0"/>
    <x v="0"/>
    <x v="0"/>
    <n v="1.2E-4"/>
  </r>
  <r>
    <x v="0"/>
    <x v="0"/>
    <x v="0"/>
    <s v="DENMARK"/>
    <x v="4"/>
    <s v="DK2_Rural"/>
    <s v="GNR_ENG_LIGHTOIL_CND_E-43"/>
    <x v="4"/>
    <x v="0"/>
    <x v="0"/>
    <x v="1"/>
    <x v="0"/>
    <n v="-1.2E-4"/>
  </r>
  <r>
    <x v="0"/>
    <x v="0"/>
    <x v="0"/>
    <s v="DENMARK"/>
    <x v="4"/>
    <s v="DK2_Rural"/>
    <s v="GNR_GT_LIGHTOIL_CND_E-27"/>
    <x v="4"/>
    <x v="0"/>
    <x v="0"/>
    <x v="0"/>
    <x v="0"/>
    <n v="7.0000000000000007E-2"/>
  </r>
  <r>
    <x v="0"/>
    <x v="0"/>
    <x v="0"/>
    <s v="DENMARK"/>
    <x v="4"/>
    <s v="DK2_Rural"/>
    <s v="GNR_GT_LIGHTOIL_CND_E-27"/>
    <x v="4"/>
    <x v="0"/>
    <x v="0"/>
    <x v="1"/>
    <x v="0"/>
    <n v="-7.0000000000000007E-2"/>
  </r>
  <r>
    <x v="0"/>
    <x v="0"/>
    <x v="0"/>
    <s v="DENMARK"/>
    <x v="4"/>
    <s v="DK2_Rural"/>
    <s v="GNR_ST_FUELOIL_CND_E-32"/>
    <x v="10"/>
    <x v="0"/>
    <x v="0"/>
    <x v="0"/>
    <x v="0"/>
    <n v="2.75E-2"/>
  </r>
  <r>
    <x v="0"/>
    <x v="0"/>
    <x v="0"/>
    <s v="DENMARK"/>
    <x v="4"/>
    <s v="DK2_Rural"/>
    <s v="GNR_ST_FUELOIL_CND_E-32"/>
    <x v="10"/>
    <x v="0"/>
    <x v="0"/>
    <x v="1"/>
    <x v="0"/>
    <n v="-2.75E-2"/>
  </r>
  <r>
    <x v="0"/>
    <x v="0"/>
    <x v="0"/>
    <s v="DENMARK"/>
    <x v="4"/>
    <s v="DK2_Medium"/>
    <s v="GNR_GT_LIGHTOIL_CND_E-27"/>
    <x v="4"/>
    <x v="0"/>
    <x v="0"/>
    <x v="0"/>
    <x v="0"/>
    <n v="6.3E-2"/>
  </r>
  <r>
    <x v="0"/>
    <x v="0"/>
    <x v="0"/>
    <s v="DENMARK"/>
    <x v="4"/>
    <s v="DK2_Medium"/>
    <s v="GNR_GT_LIGHTOIL_CND_E-27"/>
    <x v="4"/>
    <x v="0"/>
    <x v="0"/>
    <x v="1"/>
    <x v="0"/>
    <n v="-6.3E-2"/>
  </r>
  <r>
    <x v="0"/>
    <x v="0"/>
    <x v="0"/>
    <s v="DENMARK"/>
    <x v="4"/>
    <s v="DK2_Medium"/>
    <s v="GNR_ST_COAL_EXT_E-41"/>
    <x v="5"/>
    <x v="2"/>
    <x v="6"/>
    <x v="0"/>
    <x v="0"/>
    <n v="0.71111111111111114"/>
  </r>
  <r>
    <x v="0"/>
    <x v="0"/>
    <x v="0"/>
    <s v="DENMARK"/>
    <x v="4"/>
    <s v="DK2_Medium"/>
    <s v="GNR_ST_COAL_EXT_E-41"/>
    <x v="5"/>
    <x v="2"/>
    <x v="6"/>
    <x v="1"/>
    <x v="0"/>
    <n v="-0.71111111111111114"/>
  </r>
  <r>
    <x v="0"/>
    <x v="0"/>
    <x v="0"/>
    <s v="DENMARK"/>
    <x v="4"/>
    <s v="DK2_Medium"/>
    <s v="GNR_ST_COAL_EXT_E-41"/>
    <x v="5"/>
    <x v="0"/>
    <x v="6"/>
    <x v="0"/>
    <x v="0"/>
    <n v="0.64"/>
  </r>
  <r>
    <x v="0"/>
    <x v="0"/>
    <x v="0"/>
    <s v="DENMARK"/>
    <x v="4"/>
    <s v="DK2_Medium"/>
    <s v="GNR_ST_COAL_EXT_E-41"/>
    <x v="5"/>
    <x v="0"/>
    <x v="6"/>
    <x v="1"/>
    <x v="0"/>
    <n v="-0.64"/>
  </r>
  <r>
    <x v="0"/>
    <x v="0"/>
    <x v="0"/>
    <s v="DENMARK"/>
    <x v="4"/>
    <s v="DK2_Medium"/>
    <s v="GNR_ST_LIGHTOIL_CND_E-33"/>
    <x v="4"/>
    <x v="0"/>
    <x v="0"/>
    <x v="0"/>
    <x v="0"/>
    <n v="0.52"/>
  </r>
  <r>
    <x v="0"/>
    <x v="0"/>
    <x v="0"/>
    <s v="DENMARK"/>
    <x v="4"/>
    <s v="DK2_Medium"/>
    <s v="GNR_ST_LIGHTOIL_CND_E-33"/>
    <x v="4"/>
    <x v="0"/>
    <x v="0"/>
    <x v="1"/>
    <x v="0"/>
    <n v="-0.52"/>
  </r>
  <r>
    <x v="0"/>
    <x v="0"/>
    <x v="0"/>
    <s v="DENMARK"/>
    <x v="4"/>
    <s v="DK2_NoDH"/>
    <s v="GNR_ENG_LIGHTOIL_CND_E-37"/>
    <x v="4"/>
    <x v="0"/>
    <x v="0"/>
    <x v="0"/>
    <x v="0"/>
    <n v="0.02"/>
  </r>
  <r>
    <x v="0"/>
    <x v="0"/>
    <x v="0"/>
    <s v="DENMARK"/>
    <x v="4"/>
    <s v="DK2_NoDH"/>
    <s v="GNR_ENG_LIGHTOIL_CND_E-37"/>
    <x v="4"/>
    <x v="0"/>
    <x v="0"/>
    <x v="1"/>
    <x v="0"/>
    <n v="-0.02"/>
  </r>
  <r>
    <x v="0"/>
    <x v="0"/>
    <x v="0"/>
    <s v="DENMARK"/>
    <x v="4"/>
    <s v="DK2_NoDH"/>
    <s v="GNR_ROR_WTR"/>
    <x v="1"/>
    <x v="0"/>
    <x v="2"/>
    <x v="0"/>
    <x v="0"/>
    <n v="1.5E-5"/>
  </r>
  <r>
    <x v="0"/>
    <x v="0"/>
    <x v="0"/>
    <s v="DENMARK"/>
    <x v="4"/>
    <s v="DK2_IND-MT-NODH"/>
    <s v="GNR_ENG_BGAS_CND_E-32"/>
    <x v="7"/>
    <x v="0"/>
    <x v="0"/>
    <x v="0"/>
    <x v="0"/>
    <n v="1.3000000000000002E-4"/>
  </r>
  <r>
    <x v="0"/>
    <x v="0"/>
    <x v="0"/>
    <s v="DENMARK"/>
    <x v="4"/>
    <s v="DK2_IND-MT-NODH"/>
    <s v="GNR_ENG_BGAS_CND_E-32"/>
    <x v="7"/>
    <x v="0"/>
    <x v="0"/>
    <x v="1"/>
    <x v="0"/>
    <n v="-1.3000000000000002E-4"/>
  </r>
  <r>
    <x v="0"/>
    <x v="0"/>
    <x v="0"/>
    <s v="DENMARK"/>
    <x v="4"/>
    <s v="DK2_IND-MT-NODH"/>
    <s v="GNR_ENG_BGAS_CND_E-35"/>
    <x v="7"/>
    <x v="0"/>
    <x v="0"/>
    <x v="0"/>
    <x v="0"/>
    <n v="3.1E-4"/>
  </r>
  <r>
    <x v="0"/>
    <x v="0"/>
    <x v="0"/>
    <s v="DENMARK"/>
    <x v="4"/>
    <s v="DK2_IND-MT-NODH"/>
    <s v="GNR_ENG_BGAS_CND_E-35"/>
    <x v="7"/>
    <x v="0"/>
    <x v="0"/>
    <x v="1"/>
    <x v="0"/>
    <n v="-3.1E-4"/>
  </r>
  <r>
    <x v="0"/>
    <x v="0"/>
    <x v="0"/>
    <s v="DENMARK"/>
    <x v="4"/>
    <s v="DK2_IND-MT-DH"/>
    <s v="GNR_ENG_LIGHTOIL_CND_E-40"/>
    <x v="4"/>
    <x v="0"/>
    <x v="0"/>
    <x v="0"/>
    <x v="0"/>
    <n v="1.25E-3"/>
  </r>
  <r>
    <x v="0"/>
    <x v="0"/>
    <x v="0"/>
    <s v="DENMARK"/>
    <x v="4"/>
    <s v="DK2_IND-MT-DH"/>
    <s v="GNR_ENG_LIGHTOIL_CND_E-40"/>
    <x v="4"/>
    <x v="0"/>
    <x v="0"/>
    <x v="1"/>
    <x v="0"/>
    <n v="-1.25E-3"/>
  </r>
  <r>
    <x v="0"/>
    <x v="0"/>
    <x v="0"/>
    <s v="DENMARK"/>
    <x v="4"/>
    <s v="DKE1_A"/>
    <s v="GNR_PV_SUN"/>
    <x v="8"/>
    <x v="0"/>
    <x v="9"/>
    <x v="0"/>
    <x v="0"/>
    <n v="0.26548035599999598"/>
  </r>
  <r>
    <x v="0"/>
    <x v="0"/>
    <x v="0"/>
    <s v="DENMARK"/>
    <x v="4"/>
    <s v="DKE1_A"/>
    <s v="GNR_PV_SUN"/>
    <x v="8"/>
    <x v="0"/>
    <x v="9"/>
    <x v="1"/>
    <x v="0"/>
    <n v="-0.26548035599999598"/>
  </r>
  <r>
    <x v="0"/>
    <x v="0"/>
    <x v="0"/>
    <s v="DENMARK"/>
    <x v="4"/>
    <s v="DKE1_A"/>
    <s v="GNR_WT_WIND_OFF"/>
    <x v="3"/>
    <x v="0"/>
    <x v="10"/>
    <x v="0"/>
    <x v="0"/>
    <n v="1.0444000000000002"/>
  </r>
  <r>
    <x v="0"/>
    <x v="0"/>
    <x v="0"/>
    <s v="DENMARK"/>
    <x v="4"/>
    <s v="DKE1_A"/>
    <s v="GNR_WT_WIND_OFF"/>
    <x v="3"/>
    <x v="0"/>
    <x v="10"/>
    <x v="1"/>
    <x v="0"/>
    <n v="-1.0444000000000002"/>
  </r>
  <r>
    <x v="0"/>
    <x v="0"/>
    <x v="0"/>
    <s v="DENMARK"/>
    <x v="4"/>
    <s v="DKE1_A"/>
    <s v="GNR_WT_WIND_ONS_RG1"/>
    <x v="3"/>
    <x v="0"/>
    <x v="5"/>
    <x v="0"/>
    <x v="0"/>
    <n v="6.5936682499999802E-2"/>
  </r>
  <r>
    <x v="0"/>
    <x v="0"/>
    <x v="0"/>
    <s v="DENMARK"/>
    <x v="4"/>
    <s v="DKE1_A"/>
    <s v="GNR_WT_WIND_ONS_RG1"/>
    <x v="3"/>
    <x v="0"/>
    <x v="5"/>
    <x v="1"/>
    <x v="0"/>
    <n v="-6.5936682499999788E-2"/>
  </r>
  <r>
    <x v="0"/>
    <x v="0"/>
    <x v="0"/>
    <s v="DENMARK"/>
    <x v="4"/>
    <s v="DKE1_A"/>
    <s v="GNR_WT_WIND_ONS_RG2"/>
    <x v="3"/>
    <x v="0"/>
    <x v="5"/>
    <x v="0"/>
    <x v="0"/>
    <n v="0.38602431999999903"/>
  </r>
  <r>
    <x v="0"/>
    <x v="0"/>
    <x v="0"/>
    <s v="DENMARK"/>
    <x v="4"/>
    <s v="DKE1_A"/>
    <s v="GNR_WT_WIND_ONS_RG2"/>
    <x v="3"/>
    <x v="0"/>
    <x v="5"/>
    <x v="1"/>
    <x v="0"/>
    <n v="-0.38602431999999903"/>
  </r>
  <r>
    <x v="0"/>
    <x v="0"/>
    <x v="0"/>
    <s v="DENMARK"/>
    <x v="4"/>
    <s v="DKE1_A"/>
    <s v="GNR_WT_WIND_ONS_RG3"/>
    <x v="3"/>
    <x v="0"/>
    <x v="5"/>
    <x v="0"/>
    <x v="0"/>
    <n v="0.23345149749999899"/>
  </r>
  <r>
    <x v="0"/>
    <x v="0"/>
    <x v="0"/>
    <s v="DENMARK"/>
    <x v="4"/>
    <s v="DKE1_A"/>
    <s v="GNR_WT_WIND_ONS_RG3"/>
    <x v="3"/>
    <x v="0"/>
    <x v="5"/>
    <x v="1"/>
    <x v="0"/>
    <n v="-0.23345149749999905"/>
  </r>
  <r>
    <x v="0"/>
    <x v="0"/>
    <x v="0"/>
    <s v="DENMARK"/>
    <x v="4"/>
    <s v="DKE1_A"/>
    <s v="GNR_WT_ONS-2050"/>
    <x v="3"/>
    <x v="0"/>
    <x v="5"/>
    <x v="2"/>
    <x v="0"/>
    <n v="3.9377162629757816"/>
  </r>
  <r>
    <x v="0"/>
    <x v="0"/>
    <x v="0"/>
    <s v="FINLAND"/>
    <x v="5"/>
    <s v="FinA"/>
    <s v="GNR_ENG_BGAS_CND_E-35"/>
    <x v="7"/>
    <x v="0"/>
    <x v="0"/>
    <x v="0"/>
    <x v="0"/>
    <n v="1.3000000000000002E-3"/>
  </r>
  <r>
    <x v="0"/>
    <x v="0"/>
    <x v="0"/>
    <s v="FINLAND"/>
    <x v="5"/>
    <s v="FinA"/>
    <s v="GNR_ENG_BGAS_CND_E-35"/>
    <x v="7"/>
    <x v="0"/>
    <x v="0"/>
    <x v="1"/>
    <x v="0"/>
    <n v="-1.3000000000000002E-3"/>
  </r>
  <r>
    <x v="0"/>
    <x v="0"/>
    <x v="0"/>
    <s v="FINLAND"/>
    <x v="5"/>
    <s v="FinA"/>
    <s v="GNR_ENG_NGAS_CND_E-44"/>
    <x v="0"/>
    <x v="0"/>
    <x v="0"/>
    <x v="0"/>
    <x v="0"/>
    <n v="2.7000000000000001E-3"/>
  </r>
  <r>
    <x v="0"/>
    <x v="0"/>
    <x v="0"/>
    <s v="FINLAND"/>
    <x v="5"/>
    <s v="FinA"/>
    <s v="GNR_ENG_NGAS_CND_E-44"/>
    <x v="0"/>
    <x v="0"/>
    <x v="0"/>
    <x v="1"/>
    <x v="0"/>
    <n v="-2.7000000000000001E-3"/>
  </r>
  <r>
    <x v="0"/>
    <x v="0"/>
    <x v="0"/>
    <s v="FINLAND"/>
    <x v="5"/>
    <s v="FinA"/>
    <s v="GNR_GT_FUELOIL_CND_E-31"/>
    <x v="10"/>
    <x v="0"/>
    <x v="0"/>
    <x v="0"/>
    <x v="0"/>
    <n v="4.7899999999999998E-2"/>
  </r>
  <r>
    <x v="0"/>
    <x v="0"/>
    <x v="0"/>
    <s v="FINLAND"/>
    <x v="5"/>
    <s v="FinA"/>
    <s v="GNR_GT_FUELOIL_CND_E-31"/>
    <x v="10"/>
    <x v="0"/>
    <x v="0"/>
    <x v="1"/>
    <x v="0"/>
    <n v="-4.7899999999999998E-2"/>
  </r>
  <r>
    <x v="0"/>
    <x v="0"/>
    <x v="0"/>
    <s v="FINLAND"/>
    <x v="5"/>
    <s v="FinA"/>
    <s v="GNR_GT_LIGHTOIL_CND_E-26"/>
    <x v="4"/>
    <x v="0"/>
    <x v="0"/>
    <x v="0"/>
    <x v="0"/>
    <n v="1.1017999999999999"/>
  </r>
  <r>
    <x v="0"/>
    <x v="0"/>
    <x v="0"/>
    <s v="FINLAND"/>
    <x v="5"/>
    <s v="FinA"/>
    <s v="GNR_GT_LIGHTOIL_CND_E-26"/>
    <x v="4"/>
    <x v="0"/>
    <x v="0"/>
    <x v="1"/>
    <x v="0"/>
    <n v="-1.1018000000000001"/>
  </r>
  <r>
    <x v="0"/>
    <x v="0"/>
    <x v="0"/>
    <s v="FINLAND"/>
    <x v="5"/>
    <s v="FinA"/>
    <s v="GNR_RES_WTR_NOPMP_MC-01"/>
    <x v="1"/>
    <x v="0"/>
    <x v="1"/>
    <x v="0"/>
    <x v="0"/>
    <n v="0.15694999999999998"/>
  </r>
  <r>
    <x v="0"/>
    <x v="0"/>
    <x v="0"/>
    <s v="FINLAND"/>
    <x v="5"/>
    <s v="FinA"/>
    <s v="GNR_RES_WTR_NOPMP_MC-02"/>
    <x v="1"/>
    <x v="0"/>
    <x v="1"/>
    <x v="0"/>
    <x v="0"/>
    <n v="0.15694999999999998"/>
  </r>
  <r>
    <x v="0"/>
    <x v="0"/>
    <x v="0"/>
    <s v="FINLAND"/>
    <x v="5"/>
    <s v="FinA"/>
    <s v="GNR_RES_WTR_NOPMP_MC-03"/>
    <x v="1"/>
    <x v="0"/>
    <x v="1"/>
    <x v="0"/>
    <x v="0"/>
    <n v="0.15694999999999998"/>
  </r>
  <r>
    <x v="0"/>
    <x v="0"/>
    <x v="0"/>
    <s v="FINLAND"/>
    <x v="5"/>
    <s v="FinA"/>
    <s v="GNR_RES_WTR_NOPMP_MC-04"/>
    <x v="1"/>
    <x v="0"/>
    <x v="1"/>
    <x v="0"/>
    <x v="0"/>
    <n v="0.15694999999999998"/>
  </r>
  <r>
    <x v="0"/>
    <x v="0"/>
    <x v="0"/>
    <s v="FINLAND"/>
    <x v="5"/>
    <s v="FinA"/>
    <s v="GNR_RES_WTR_NOPMP_MC-05"/>
    <x v="1"/>
    <x v="0"/>
    <x v="1"/>
    <x v="0"/>
    <x v="0"/>
    <n v="0.15694999999999998"/>
  </r>
  <r>
    <x v="0"/>
    <x v="0"/>
    <x v="0"/>
    <s v="FINLAND"/>
    <x v="5"/>
    <s v="FinA"/>
    <s v="GNR_RES_WTR_NOPMP_MC-06"/>
    <x v="1"/>
    <x v="0"/>
    <x v="1"/>
    <x v="0"/>
    <x v="0"/>
    <n v="0.15694999999999998"/>
  </r>
  <r>
    <x v="0"/>
    <x v="0"/>
    <x v="0"/>
    <s v="FINLAND"/>
    <x v="5"/>
    <s v="FinA"/>
    <s v="GNR_RES_WTR_NOPMP_MC-07"/>
    <x v="1"/>
    <x v="0"/>
    <x v="1"/>
    <x v="0"/>
    <x v="0"/>
    <n v="0.15694999999999998"/>
  </r>
  <r>
    <x v="0"/>
    <x v="0"/>
    <x v="0"/>
    <s v="FINLAND"/>
    <x v="5"/>
    <s v="FinA"/>
    <s v="GNR_RES_WTR_NOPMP_MC-08"/>
    <x v="1"/>
    <x v="0"/>
    <x v="1"/>
    <x v="0"/>
    <x v="0"/>
    <n v="0.15694999999999998"/>
  </r>
  <r>
    <x v="0"/>
    <x v="0"/>
    <x v="0"/>
    <s v="FINLAND"/>
    <x v="5"/>
    <s v="FinA"/>
    <s v="GNR_RES_WTR_NOPMP_MC-09"/>
    <x v="1"/>
    <x v="0"/>
    <x v="1"/>
    <x v="0"/>
    <x v="0"/>
    <n v="0.15694999999999998"/>
  </r>
  <r>
    <x v="0"/>
    <x v="0"/>
    <x v="0"/>
    <s v="FINLAND"/>
    <x v="5"/>
    <s v="FinA"/>
    <s v="GNR_RES_WTR_NOPMP_MC-10"/>
    <x v="1"/>
    <x v="0"/>
    <x v="1"/>
    <x v="0"/>
    <x v="0"/>
    <n v="0.15694999999999998"/>
  </r>
  <r>
    <x v="0"/>
    <x v="0"/>
    <x v="0"/>
    <s v="FINLAND"/>
    <x v="5"/>
    <s v="FinA"/>
    <s v="GNR_ROR_WTR"/>
    <x v="1"/>
    <x v="0"/>
    <x v="2"/>
    <x v="0"/>
    <x v="0"/>
    <n v="1.8567"/>
  </r>
  <r>
    <x v="0"/>
    <x v="0"/>
    <x v="0"/>
    <s v="FINLAND"/>
    <x v="5"/>
    <s v="FinA"/>
    <s v="GNR_ST_COAL_CND_E-40"/>
    <x v="5"/>
    <x v="0"/>
    <x v="0"/>
    <x v="0"/>
    <x v="0"/>
    <n v="0.56500000000000006"/>
  </r>
  <r>
    <x v="0"/>
    <x v="0"/>
    <x v="0"/>
    <s v="FINLAND"/>
    <x v="5"/>
    <s v="FinA"/>
    <s v="GNR_ST_COAL_CND_E-40"/>
    <x v="5"/>
    <x v="0"/>
    <x v="0"/>
    <x v="1"/>
    <x v="0"/>
    <n v="-0.56500000000000006"/>
  </r>
  <r>
    <x v="0"/>
    <x v="0"/>
    <x v="0"/>
    <s v="FINLAND"/>
    <x v="5"/>
    <s v="FinA"/>
    <s v="GNR_ST_NUCL_CND_E-33"/>
    <x v="11"/>
    <x v="0"/>
    <x v="0"/>
    <x v="0"/>
    <x v="0"/>
    <n v="5.569"/>
  </r>
  <r>
    <x v="0"/>
    <x v="0"/>
    <x v="0"/>
    <s v="FINLAND"/>
    <x v="5"/>
    <s v="FinA"/>
    <s v="GNR_ST_NUCL_CND_E-33"/>
    <x v="11"/>
    <x v="0"/>
    <x v="0"/>
    <x v="1"/>
    <x v="0"/>
    <n v="-5.415848028318301"/>
  </r>
  <r>
    <x v="0"/>
    <x v="0"/>
    <x v="0"/>
    <s v="FINLAND"/>
    <x v="5"/>
    <s v="FinA"/>
    <s v="GNR_ST_PEAT_CND_E-38"/>
    <x v="12"/>
    <x v="0"/>
    <x v="0"/>
    <x v="0"/>
    <x v="0"/>
    <n v="0.15"/>
  </r>
  <r>
    <x v="0"/>
    <x v="0"/>
    <x v="0"/>
    <s v="FINLAND"/>
    <x v="5"/>
    <s v="FinA"/>
    <s v="GNR_ST_PEAT_CND_E-38"/>
    <x v="12"/>
    <x v="0"/>
    <x v="0"/>
    <x v="1"/>
    <x v="0"/>
    <n v="-0.15"/>
  </r>
  <r>
    <x v="0"/>
    <x v="0"/>
    <x v="0"/>
    <s v="FINLAND"/>
    <x v="5"/>
    <s v="FI_large"/>
    <s v="GNR_HS_HEAT_PIT_L-CEN_E-70"/>
    <x v="13"/>
    <x v="2"/>
    <x v="11"/>
    <x v="0"/>
    <x v="0"/>
    <n v="0.12121212121212122"/>
  </r>
  <r>
    <x v="0"/>
    <x v="0"/>
    <x v="0"/>
    <s v="FINLAND"/>
    <x v="5"/>
    <s v="FI_large"/>
    <s v="GNR_HS_HEAT_PIT_L-CEN_E-70"/>
    <x v="13"/>
    <x v="2"/>
    <x v="11"/>
    <x v="1"/>
    <x v="0"/>
    <n v="-0.12121212121212122"/>
  </r>
  <r>
    <x v="0"/>
    <x v="0"/>
    <x v="0"/>
    <s v="FINLAND"/>
    <x v="5"/>
    <s v="FI_large"/>
    <s v="KELJONLAHTI_ST_PEAT_EXT"/>
    <x v="12"/>
    <x v="2"/>
    <x v="6"/>
    <x v="0"/>
    <x v="0"/>
    <n v="0.23712499999999997"/>
  </r>
  <r>
    <x v="0"/>
    <x v="0"/>
    <x v="0"/>
    <s v="FINLAND"/>
    <x v="5"/>
    <s v="FI_large"/>
    <s v="KELJONLAHTI_ST_PEAT_EXT"/>
    <x v="12"/>
    <x v="2"/>
    <x v="6"/>
    <x v="1"/>
    <x v="0"/>
    <n v="-0.23712499999999997"/>
  </r>
  <r>
    <x v="0"/>
    <x v="0"/>
    <x v="0"/>
    <s v="FINLAND"/>
    <x v="5"/>
    <s v="FI_large"/>
    <s v="KELJONLAHTI_ST_PEAT_EXT"/>
    <x v="12"/>
    <x v="0"/>
    <x v="6"/>
    <x v="0"/>
    <x v="0"/>
    <n v="0.18969999999999998"/>
  </r>
  <r>
    <x v="0"/>
    <x v="0"/>
    <x v="0"/>
    <s v="FINLAND"/>
    <x v="5"/>
    <s v="FI_large"/>
    <s v="KELJONLAHTI_ST_PEAT_EXT"/>
    <x v="12"/>
    <x v="0"/>
    <x v="6"/>
    <x v="1"/>
    <x v="0"/>
    <n v="-0.18969999999999998"/>
  </r>
  <r>
    <x v="0"/>
    <x v="0"/>
    <x v="0"/>
    <s v="FINLAND"/>
    <x v="5"/>
    <s v="FI_large"/>
    <s v="NA1_IND-ST_COAL_EXT"/>
    <x v="5"/>
    <x v="2"/>
    <x v="6"/>
    <x v="0"/>
    <x v="0"/>
    <n v="0.10476190476190476"/>
  </r>
  <r>
    <x v="0"/>
    <x v="0"/>
    <x v="0"/>
    <s v="FINLAND"/>
    <x v="5"/>
    <s v="FI_large"/>
    <s v="NA1_IND-ST_COAL_EXT"/>
    <x v="5"/>
    <x v="2"/>
    <x v="6"/>
    <x v="1"/>
    <x v="0"/>
    <n v="-0.10476190476190476"/>
  </r>
  <r>
    <x v="0"/>
    <x v="0"/>
    <x v="0"/>
    <s v="FINLAND"/>
    <x v="5"/>
    <s v="FI_large"/>
    <s v="NA1_IND-ST_COAL_EXT"/>
    <x v="5"/>
    <x v="0"/>
    <x v="6"/>
    <x v="0"/>
    <x v="0"/>
    <n v="0.11"/>
  </r>
  <r>
    <x v="0"/>
    <x v="0"/>
    <x v="0"/>
    <s v="FINLAND"/>
    <x v="5"/>
    <s v="FI_large"/>
    <s v="NA1_IND-ST_COAL_EXT"/>
    <x v="5"/>
    <x v="0"/>
    <x v="6"/>
    <x v="1"/>
    <x v="0"/>
    <n v="-0.11"/>
  </r>
  <r>
    <x v="0"/>
    <x v="0"/>
    <x v="0"/>
    <s v="FINLAND"/>
    <x v="5"/>
    <s v="FI_large"/>
    <s v="NA2y3_ST_COAL_EXT"/>
    <x v="5"/>
    <x v="2"/>
    <x v="6"/>
    <x v="0"/>
    <x v="0"/>
    <n v="0.36666666666666664"/>
  </r>
  <r>
    <x v="0"/>
    <x v="0"/>
    <x v="0"/>
    <s v="FINLAND"/>
    <x v="5"/>
    <s v="FI_large"/>
    <s v="NA2y3_ST_COAL_EXT"/>
    <x v="5"/>
    <x v="2"/>
    <x v="6"/>
    <x v="1"/>
    <x v="0"/>
    <n v="-0.36666666666666664"/>
  </r>
  <r>
    <x v="0"/>
    <x v="0"/>
    <x v="0"/>
    <s v="FINLAND"/>
    <x v="5"/>
    <s v="FI_large"/>
    <s v="NA2y3_ST_COAL_EXT"/>
    <x v="5"/>
    <x v="0"/>
    <x v="6"/>
    <x v="0"/>
    <x v="0"/>
    <n v="0.22"/>
  </r>
  <r>
    <x v="0"/>
    <x v="0"/>
    <x v="0"/>
    <s v="FINLAND"/>
    <x v="5"/>
    <s v="FI_large"/>
    <s v="NA2y3_ST_COAL_EXT"/>
    <x v="5"/>
    <x v="0"/>
    <x v="6"/>
    <x v="1"/>
    <x v="0"/>
    <n v="-0.22"/>
  </r>
  <r>
    <x v="0"/>
    <x v="0"/>
    <x v="0"/>
    <s v="FINLAND"/>
    <x v="5"/>
    <s v="FI_large"/>
    <s v="TOPPILA2_ST_PEAT_EXT"/>
    <x v="12"/>
    <x v="2"/>
    <x v="6"/>
    <x v="0"/>
    <x v="0"/>
    <n v="0.18000000000000002"/>
  </r>
  <r>
    <x v="0"/>
    <x v="0"/>
    <x v="0"/>
    <s v="FINLAND"/>
    <x v="5"/>
    <s v="FI_large"/>
    <s v="TOPPILA2_ST_PEAT_EXT"/>
    <x v="12"/>
    <x v="2"/>
    <x v="6"/>
    <x v="1"/>
    <x v="0"/>
    <n v="-0.18000000000000002"/>
  </r>
  <r>
    <x v="0"/>
    <x v="0"/>
    <x v="0"/>
    <s v="FINLAND"/>
    <x v="5"/>
    <s v="FI_large"/>
    <s v="TOPPILA2_ST_PEAT_EXT"/>
    <x v="12"/>
    <x v="0"/>
    <x v="6"/>
    <x v="0"/>
    <x v="0"/>
    <n v="0.13500000000000001"/>
  </r>
  <r>
    <x v="0"/>
    <x v="0"/>
    <x v="0"/>
    <s v="FINLAND"/>
    <x v="5"/>
    <s v="FI_large"/>
    <s v="TOPPILA2_ST_PEAT_EXT"/>
    <x v="12"/>
    <x v="0"/>
    <x v="6"/>
    <x v="1"/>
    <x v="0"/>
    <n v="-0.13500000000000001"/>
  </r>
  <r>
    <x v="0"/>
    <x v="0"/>
    <x v="0"/>
    <s v="FINLAND"/>
    <x v="5"/>
    <s v="FI_large"/>
    <s v="GNR_ELYS_ELEC_AEC_Y-2050"/>
    <x v="2"/>
    <x v="1"/>
    <x v="3"/>
    <x v="2"/>
    <x v="0"/>
    <n v="0.1641192061559896"/>
  </r>
  <r>
    <x v="0"/>
    <x v="0"/>
    <x v="0"/>
    <s v="FINLAND"/>
    <x v="5"/>
    <s v="FI_large"/>
    <s v="GNR_STEAM-REFORMING_E-70_Y-2020"/>
    <x v="0"/>
    <x v="1"/>
    <x v="4"/>
    <x v="0"/>
    <x v="0"/>
    <n v="0.63014878890530346"/>
  </r>
  <r>
    <x v="0"/>
    <x v="0"/>
    <x v="0"/>
    <s v="FINLAND"/>
    <x v="5"/>
    <s v="FI_large"/>
    <s v="GNR_STEAM-REFORMING_E-70_Y-2020"/>
    <x v="0"/>
    <x v="1"/>
    <x v="4"/>
    <x v="1"/>
    <x v="0"/>
    <n v="-0.63014878890530346"/>
  </r>
  <r>
    <x v="0"/>
    <x v="0"/>
    <x v="0"/>
    <s v="FINLAND"/>
    <x v="5"/>
    <s v="FI_large_gas"/>
    <s v="GNR_HS_HEAT_PIT_L-CEN_E-70"/>
    <x v="13"/>
    <x v="2"/>
    <x v="11"/>
    <x v="0"/>
    <x v="0"/>
    <n v="0.1406060606060606"/>
  </r>
  <r>
    <x v="0"/>
    <x v="0"/>
    <x v="0"/>
    <s v="FINLAND"/>
    <x v="5"/>
    <s v="FI_large_gas"/>
    <s v="GNR_HS_HEAT_PIT_L-CEN_E-70"/>
    <x v="13"/>
    <x v="2"/>
    <x v="11"/>
    <x v="1"/>
    <x v="0"/>
    <n v="-0.1406060606060606"/>
  </r>
  <r>
    <x v="0"/>
    <x v="0"/>
    <x v="0"/>
    <s v="FINLAND"/>
    <x v="5"/>
    <s v="FI_large_gas"/>
    <s v="VUOSAARIB_CC_NGAS_EXT"/>
    <x v="0"/>
    <x v="2"/>
    <x v="6"/>
    <x v="0"/>
    <x v="0"/>
    <n v="0.4292035398230088"/>
  </r>
  <r>
    <x v="0"/>
    <x v="0"/>
    <x v="0"/>
    <s v="FINLAND"/>
    <x v="5"/>
    <s v="FI_large_gas"/>
    <s v="VUOSAARIB_CC_NGAS_EXT"/>
    <x v="0"/>
    <x v="2"/>
    <x v="6"/>
    <x v="1"/>
    <x v="0"/>
    <n v="-0.4292035398230088"/>
  </r>
  <r>
    <x v="0"/>
    <x v="0"/>
    <x v="0"/>
    <s v="FINLAND"/>
    <x v="5"/>
    <s v="FI_large_gas"/>
    <s v="VUOSAARIB_CC_NGAS_EXT"/>
    <x v="0"/>
    <x v="0"/>
    <x v="6"/>
    <x v="0"/>
    <x v="0"/>
    <n v="0.48499999999999999"/>
  </r>
  <r>
    <x v="0"/>
    <x v="0"/>
    <x v="0"/>
    <s v="FINLAND"/>
    <x v="5"/>
    <s v="FI_large_gas"/>
    <s v="VUOSAARIB_CC_NGAS_EXT"/>
    <x v="0"/>
    <x v="0"/>
    <x v="6"/>
    <x v="1"/>
    <x v="0"/>
    <n v="-0.48499999999999999"/>
  </r>
  <r>
    <x v="0"/>
    <x v="0"/>
    <x v="0"/>
    <s v="FINLAND"/>
    <x v="5"/>
    <s v="FIN_IND-MT-NODH"/>
    <s v="AITTALUOTO_IND-ST_PEAT_EXT"/>
    <x v="12"/>
    <x v="2"/>
    <x v="6"/>
    <x v="0"/>
    <x v="0"/>
    <n v="0.16228571428571428"/>
  </r>
  <r>
    <x v="0"/>
    <x v="0"/>
    <x v="0"/>
    <s v="FINLAND"/>
    <x v="5"/>
    <s v="FIN_IND-MT-NODH"/>
    <s v="AITTALUOTO_IND-ST_PEAT_EXT"/>
    <x v="12"/>
    <x v="2"/>
    <x v="6"/>
    <x v="1"/>
    <x v="0"/>
    <n v="-0.16228571428571428"/>
  </r>
  <r>
    <x v="0"/>
    <x v="0"/>
    <x v="0"/>
    <s v="FINLAND"/>
    <x v="5"/>
    <s v="FIN_IND-MT-NODH"/>
    <s v="AITTALUOTO_IND-ST_PEAT_EXT"/>
    <x v="12"/>
    <x v="0"/>
    <x v="6"/>
    <x v="0"/>
    <x v="0"/>
    <n v="5.6799999999999996E-2"/>
  </r>
  <r>
    <x v="0"/>
    <x v="0"/>
    <x v="0"/>
    <s v="FINLAND"/>
    <x v="5"/>
    <s v="FIN_IND-MT-NODH"/>
    <s v="AITTALUOTO_IND-ST_PEAT_EXT"/>
    <x v="12"/>
    <x v="0"/>
    <x v="6"/>
    <x v="1"/>
    <x v="0"/>
    <n v="-5.6799999999999996E-2"/>
  </r>
  <r>
    <x v="0"/>
    <x v="0"/>
    <x v="0"/>
    <s v="FINLAND"/>
    <x v="5"/>
    <s v="FIN_IND-MT-NODH"/>
    <s v="ALHOLMEN2_IND-ST_PEAT_EXT"/>
    <x v="12"/>
    <x v="2"/>
    <x v="6"/>
    <x v="0"/>
    <x v="0"/>
    <n v="0.15894039735099338"/>
  </r>
  <r>
    <x v="0"/>
    <x v="0"/>
    <x v="0"/>
    <s v="FINLAND"/>
    <x v="5"/>
    <s v="FIN_IND-MT-NODH"/>
    <s v="ALHOLMEN2_IND-ST_PEAT_EXT"/>
    <x v="12"/>
    <x v="2"/>
    <x v="6"/>
    <x v="1"/>
    <x v="0"/>
    <n v="-0.15894039735099338"/>
  </r>
  <r>
    <x v="0"/>
    <x v="0"/>
    <x v="0"/>
    <s v="FINLAND"/>
    <x v="5"/>
    <s v="FIN_IND-MT-NODH"/>
    <s v="ALHOLMEN2_IND-ST_PEAT_EXT"/>
    <x v="12"/>
    <x v="0"/>
    <x v="6"/>
    <x v="0"/>
    <x v="0"/>
    <n v="0.24"/>
  </r>
  <r>
    <x v="0"/>
    <x v="0"/>
    <x v="0"/>
    <s v="FINLAND"/>
    <x v="5"/>
    <s v="FIN_IND-MT-NODH"/>
    <s v="ALHOLMEN2_IND-ST_PEAT_EXT"/>
    <x v="12"/>
    <x v="0"/>
    <x v="6"/>
    <x v="1"/>
    <x v="0"/>
    <n v="-0.24"/>
  </r>
  <r>
    <x v="0"/>
    <x v="0"/>
    <x v="0"/>
    <s v="FINLAND"/>
    <x v="5"/>
    <s v="FIN_IND-MT-NODH"/>
    <s v="ANJALANKOSKI_IND-ST_WOODWST_EXT"/>
    <x v="14"/>
    <x v="2"/>
    <x v="6"/>
    <x v="0"/>
    <x v="0"/>
    <n v="0.13235294117647059"/>
  </r>
  <r>
    <x v="0"/>
    <x v="0"/>
    <x v="0"/>
    <s v="FINLAND"/>
    <x v="5"/>
    <s v="FIN_IND-MT-NODH"/>
    <s v="ANJALANKOSKI_IND-ST_WOODWST_EXT"/>
    <x v="14"/>
    <x v="2"/>
    <x v="6"/>
    <x v="1"/>
    <x v="0"/>
    <n v="-0.13235294117647059"/>
  </r>
  <r>
    <x v="0"/>
    <x v="0"/>
    <x v="0"/>
    <s v="FINLAND"/>
    <x v="5"/>
    <s v="FIN_IND-MT-NODH"/>
    <s v="ANJALANKOSKI_IND-ST_WOODWST_EXT"/>
    <x v="14"/>
    <x v="0"/>
    <x v="6"/>
    <x v="0"/>
    <x v="0"/>
    <n v="0.09"/>
  </r>
  <r>
    <x v="0"/>
    <x v="0"/>
    <x v="0"/>
    <s v="FINLAND"/>
    <x v="5"/>
    <s v="FIN_IND-MT-NODH"/>
    <s v="ANJALANKOSKI_IND-ST_WOODWST_EXT"/>
    <x v="14"/>
    <x v="0"/>
    <x v="6"/>
    <x v="1"/>
    <x v="0"/>
    <n v="-0.09"/>
  </r>
  <r>
    <x v="0"/>
    <x v="0"/>
    <x v="0"/>
    <s v="FINLAND"/>
    <x v="5"/>
    <s v="FI00_A"/>
    <s v="GNR_WT_WIND_ONS_RG1"/>
    <x v="3"/>
    <x v="0"/>
    <x v="5"/>
    <x v="0"/>
    <x v="0"/>
    <n v="0.14011334350000001"/>
  </r>
  <r>
    <x v="0"/>
    <x v="0"/>
    <x v="0"/>
    <s v="FINLAND"/>
    <x v="5"/>
    <s v="FI00_A"/>
    <s v="GNR_WT_WIND_ONS_RG1"/>
    <x v="3"/>
    <x v="0"/>
    <x v="5"/>
    <x v="1"/>
    <x v="0"/>
    <n v="-0.14011334350000001"/>
  </r>
  <r>
    <x v="0"/>
    <x v="0"/>
    <x v="0"/>
    <s v="FINLAND"/>
    <x v="5"/>
    <s v="FI00_A"/>
    <s v="GNR_WT_WIND_ONS_RG2"/>
    <x v="3"/>
    <x v="0"/>
    <x v="5"/>
    <x v="0"/>
    <x v="0"/>
    <n v="1.8862398165000001"/>
  </r>
  <r>
    <x v="0"/>
    <x v="0"/>
    <x v="0"/>
    <s v="FINLAND"/>
    <x v="5"/>
    <s v="FI00_A"/>
    <s v="GNR_WT_WIND_ONS_RG2"/>
    <x v="3"/>
    <x v="0"/>
    <x v="5"/>
    <x v="1"/>
    <x v="0"/>
    <n v="-1.8862398165000001"/>
  </r>
  <r>
    <x v="0"/>
    <x v="0"/>
    <x v="0"/>
    <s v="FINLAND"/>
    <x v="5"/>
    <s v="FI00_A"/>
    <s v="GNR_WT_WIND_ONS_RG3"/>
    <x v="3"/>
    <x v="0"/>
    <x v="5"/>
    <x v="0"/>
    <x v="0"/>
    <n v="1.1799018400000001"/>
  </r>
  <r>
    <x v="0"/>
    <x v="0"/>
    <x v="0"/>
    <s v="FINLAND"/>
    <x v="5"/>
    <s v="FI00_A"/>
    <s v="GNR_WT_WIND_ONS_RG3"/>
    <x v="3"/>
    <x v="0"/>
    <x v="5"/>
    <x v="1"/>
    <x v="0"/>
    <n v="-1.1799018400000001"/>
  </r>
  <r>
    <x v="0"/>
    <x v="0"/>
    <x v="0"/>
    <s v="FINLAND"/>
    <x v="5"/>
    <s v="FI00_A"/>
    <s v="GNR_WT_ONS-2050"/>
    <x v="3"/>
    <x v="0"/>
    <x v="5"/>
    <x v="2"/>
    <x v="0"/>
    <n v="14.999999999999998"/>
  </r>
  <r>
    <x v="0"/>
    <x v="0"/>
    <x v="0"/>
    <s v="GERMANY"/>
    <x v="6"/>
    <s v="DE4-E_A"/>
    <s v="GNR_CC_NGAS_CND_E-51"/>
    <x v="0"/>
    <x v="0"/>
    <x v="0"/>
    <x v="0"/>
    <x v="0"/>
    <n v="0.16"/>
  </r>
  <r>
    <x v="0"/>
    <x v="0"/>
    <x v="0"/>
    <s v="GERMANY"/>
    <x v="6"/>
    <s v="DE4-E_A"/>
    <s v="GNR_CC_NGAS_CND_E-51"/>
    <x v="0"/>
    <x v="0"/>
    <x v="0"/>
    <x v="1"/>
    <x v="0"/>
    <n v="-0.16"/>
  </r>
  <r>
    <x v="0"/>
    <x v="0"/>
    <x v="0"/>
    <s v="GERMANY"/>
    <x v="6"/>
    <s v="DE4-E_A"/>
    <s v="GNR_CC_NGAS_CND_E-56"/>
    <x v="0"/>
    <x v="0"/>
    <x v="0"/>
    <x v="0"/>
    <x v="0"/>
    <n v="8.8999999999999996E-2"/>
  </r>
  <r>
    <x v="0"/>
    <x v="0"/>
    <x v="0"/>
    <s v="GERMANY"/>
    <x v="6"/>
    <s v="DE4-E_A"/>
    <s v="GNR_CC_NGAS_CND_E-56"/>
    <x v="0"/>
    <x v="0"/>
    <x v="0"/>
    <x v="1"/>
    <x v="0"/>
    <n v="-8.8999999999999996E-2"/>
  </r>
  <r>
    <x v="0"/>
    <x v="0"/>
    <x v="0"/>
    <s v="GERMANY"/>
    <x v="6"/>
    <s v="DE4-E_A"/>
    <s v="GNR_ENG_BGAS_CND_E-42"/>
    <x v="7"/>
    <x v="0"/>
    <x v="0"/>
    <x v="0"/>
    <x v="0"/>
    <n v="1.82674"/>
  </r>
  <r>
    <x v="0"/>
    <x v="0"/>
    <x v="0"/>
    <s v="GERMANY"/>
    <x v="6"/>
    <s v="DE4-E_A"/>
    <s v="GNR_ENG_BGAS_CND_E-42"/>
    <x v="7"/>
    <x v="0"/>
    <x v="0"/>
    <x v="1"/>
    <x v="0"/>
    <n v="-1.82674"/>
  </r>
  <r>
    <x v="0"/>
    <x v="0"/>
    <x v="0"/>
    <s v="GERMANY"/>
    <x v="6"/>
    <s v="DE4-E_A"/>
    <s v="GNR_GEO_HEAT_EO"/>
    <x v="15"/>
    <x v="0"/>
    <x v="0"/>
    <x v="0"/>
    <x v="0"/>
    <n v="2.2000000000000001E-4"/>
  </r>
  <r>
    <x v="0"/>
    <x v="0"/>
    <x v="0"/>
    <s v="GERMANY"/>
    <x v="6"/>
    <s v="DE4-E_A"/>
    <s v="GNR_GEO_HEAT_EO"/>
    <x v="15"/>
    <x v="0"/>
    <x v="0"/>
    <x v="1"/>
    <x v="0"/>
    <n v="-2.2000000000000001E-4"/>
  </r>
  <r>
    <x v="0"/>
    <x v="0"/>
    <x v="0"/>
    <s v="GERMANY"/>
    <x v="6"/>
    <s v="DE4-E_A"/>
    <s v="GNR_GT_FUELOIL_CND_E-30"/>
    <x v="10"/>
    <x v="0"/>
    <x v="0"/>
    <x v="0"/>
    <x v="0"/>
    <n v="5.1000000000000004E-2"/>
  </r>
  <r>
    <x v="0"/>
    <x v="0"/>
    <x v="0"/>
    <s v="GERMANY"/>
    <x v="6"/>
    <s v="DE4-E_A"/>
    <s v="GNR_GT_FUELOIL_CND_E-30"/>
    <x v="10"/>
    <x v="0"/>
    <x v="0"/>
    <x v="1"/>
    <x v="0"/>
    <n v="-5.1000000000000004E-2"/>
  </r>
  <r>
    <x v="0"/>
    <x v="0"/>
    <x v="0"/>
    <s v="GERMANY"/>
    <x v="6"/>
    <s v="DE4-E_A"/>
    <s v="GNR_GT_FUELOIL_CND_E-36"/>
    <x v="10"/>
    <x v="0"/>
    <x v="0"/>
    <x v="0"/>
    <x v="0"/>
    <n v="0.12"/>
  </r>
  <r>
    <x v="0"/>
    <x v="0"/>
    <x v="0"/>
    <s v="GERMANY"/>
    <x v="6"/>
    <s v="DE4-E_A"/>
    <s v="GNR_GT_FUELOIL_CND_E-36"/>
    <x v="10"/>
    <x v="0"/>
    <x v="0"/>
    <x v="1"/>
    <x v="0"/>
    <n v="-0.12"/>
  </r>
  <r>
    <x v="0"/>
    <x v="0"/>
    <x v="0"/>
    <s v="GERMANY"/>
    <x v="6"/>
    <s v="DE4-E_A"/>
    <s v="GNR_GT_NGAS_CND_E-35"/>
    <x v="0"/>
    <x v="0"/>
    <x v="0"/>
    <x v="0"/>
    <x v="0"/>
    <n v="0.44600000000000001"/>
  </r>
  <r>
    <x v="0"/>
    <x v="0"/>
    <x v="0"/>
    <s v="GERMANY"/>
    <x v="6"/>
    <s v="DE4-E_A"/>
    <s v="GNR_GT_NGAS_CND_E-35"/>
    <x v="0"/>
    <x v="0"/>
    <x v="0"/>
    <x v="1"/>
    <x v="0"/>
    <n v="-0.44600000000000001"/>
  </r>
  <r>
    <x v="0"/>
    <x v="0"/>
    <x v="0"/>
    <s v="GERMANY"/>
    <x v="6"/>
    <s v="DE4-E_A"/>
    <s v="GNR_ROR_WTR"/>
    <x v="1"/>
    <x v="0"/>
    <x v="2"/>
    <x v="0"/>
    <x v="0"/>
    <n v="0.55007000000000006"/>
  </r>
  <r>
    <x v="0"/>
    <x v="0"/>
    <x v="0"/>
    <s v="GERMANY"/>
    <x v="6"/>
    <s v="DE4-E_A"/>
    <s v="GNR_ST_BGAS_CND_E-38"/>
    <x v="7"/>
    <x v="0"/>
    <x v="0"/>
    <x v="0"/>
    <x v="0"/>
    <n v="5.5200000000000006E-2"/>
  </r>
  <r>
    <x v="0"/>
    <x v="0"/>
    <x v="0"/>
    <s v="GERMANY"/>
    <x v="6"/>
    <s v="DE4-E_A"/>
    <s v="GNR_ST_BGAS_CND_E-38"/>
    <x v="7"/>
    <x v="0"/>
    <x v="0"/>
    <x v="1"/>
    <x v="0"/>
    <n v="-5.5200000000000006E-2"/>
  </r>
  <r>
    <x v="0"/>
    <x v="0"/>
    <x v="0"/>
    <s v="GERMANY"/>
    <x v="6"/>
    <s v="DE4-E_A"/>
    <s v="GNR_ST_BGAS_EXT_E-38"/>
    <x v="7"/>
    <x v="2"/>
    <x v="6"/>
    <x v="0"/>
    <x v="0"/>
    <n v="0.16734939759036144"/>
  </r>
  <r>
    <x v="0"/>
    <x v="0"/>
    <x v="0"/>
    <s v="GERMANY"/>
    <x v="6"/>
    <s v="DE4-E_A"/>
    <s v="GNR_ST_BGAS_EXT_E-38"/>
    <x v="7"/>
    <x v="2"/>
    <x v="6"/>
    <x v="1"/>
    <x v="0"/>
    <n v="-0.16734939759036144"/>
  </r>
  <r>
    <x v="0"/>
    <x v="0"/>
    <x v="0"/>
    <s v="GERMANY"/>
    <x v="6"/>
    <s v="DE4-E_A"/>
    <s v="GNR_ST_BGAS_EXT_E-38"/>
    <x v="7"/>
    <x v="0"/>
    <x v="6"/>
    <x v="0"/>
    <x v="0"/>
    <n v="0.1389"/>
  </r>
  <r>
    <x v="0"/>
    <x v="0"/>
    <x v="0"/>
    <s v="GERMANY"/>
    <x v="6"/>
    <s v="DE4-E_A"/>
    <s v="GNR_ST_BGAS_EXT_E-38"/>
    <x v="7"/>
    <x v="0"/>
    <x v="6"/>
    <x v="1"/>
    <x v="0"/>
    <n v="-0.1389"/>
  </r>
  <r>
    <x v="0"/>
    <x v="0"/>
    <x v="0"/>
    <s v="GERMANY"/>
    <x v="6"/>
    <s v="DE4-E_A"/>
    <s v="GNR_ST_COAL_EXT_E-35"/>
    <x v="5"/>
    <x v="2"/>
    <x v="6"/>
    <x v="0"/>
    <x v="0"/>
    <n v="0.13777777777777778"/>
  </r>
  <r>
    <x v="0"/>
    <x v="0"/>
    <x v="0"/>
    <s v="GERMANY"/>
    <x v="6"/>
    <s v="DE4-E_A"/>
    <s v="GNR_ST_COAL_EXT_E-35"/>
    <x v="5"/>
    <x v="2"/>
    <x v="6"/>
    <x v="1"/>
    <x v="0"/>
    <n v="-0.13777777777777778"/>
  </r>
  <r>
    <x v="0"/>
    <x v="0"/>
    <x v="0"/>
    <s v="GERMANY"/>
    <x v="6"/>
    <s v="DE4-E_A"/>
    <s v="GNR_ST_COAL_EXT_E-35"/>
    <x v="5"/>
    <x v="0"/>
    <x v="6"/>
    <x v="0"/>
    <x v="0"/>
    <n v="0.124"/>
  </r>
  <r>
    <x v="0"/>
    <x v="0"/>
    <x v="0"/>
    <s v="GERMANY"/>
    <x v="6"/>
    <s v="DE4-E_A"/>
    <s v="GNR_ST_COAL_EXT_E-35"/>
    <x v="5"/>
    <x v="0"/>
    <x v="6"/>
    <x v="1"/>
    <x v="0"/>
    <n v="-0.124"/>
  </r>
  <r>
    <x v="0"/>
    <x v="0"/>
    <x v="0"/>
    <s v="GERMANY"/>
    <x v="6"/>
    <s v="DE4-E_A"/>
    <s v="GNR_ST_COAL_EXT_E-40"/>
    <x v="5"/>
    <x v="2"/>
    <x v="6"/>
    <x v="0"/>
    <x v="0"/>
    <n v="1.1977777777777778"/>
  </r>
  <r>
    <x v="0"/>
    <x v="0"/>
    <x v="0"/>
    <s v="GERMANY"/>
    <x v="6"/>
    <s v="DE4-E_A"/>
    <s v="GNR_ST_COAL_EXT_E-40"/>
    <x v="5"/>
    <x v="2"/>
    <x v="6"/>
    <x v="1"/>
    <x v="0"/>
    <n v="-1.1977777777777778"/>
  </r>
  <r>
    <x v="0"/>
    <x v="0"/>
    <x v="0"/>
    <s v="GERMANY"/>
    <x v="6"/>
    <s v="DE4-E_A"/>
    <s v="GNR_ST_COAL_EXT_E-40"/>
    <x v="5"/>
    <x v="0"/>
    <x v="6"/>
    <x v="0"/>
    <x v="0"/>
    <n v="1.0780000000000001"/>
  </r>
  <r>
    <x v="0"/>
    <x v="0"/>
    <x v="0"/>
    <s v="GERMANY"/>
    <x v="6"/>
    <s v="DE4-E_A"/>
    <s v="GNR_ST_COAL_EXT_E-40"/>
    <x v="5"/>
    <x v="0"/>
    <x v="6"/>
    <x v="1"/>
    <x v="0"/>
    <n v="-1.0780000000000001"/>
  </r>
  <r>
    <x v="0"/>
    <x v="0"/>
    <x v="0"/>
    <s v="GERMANY"/>
    <x v="6"/>
    <s v="DE4-E_A"/>
    <s v="GNR_ST_FUELOIL_CND_E-39"/>
    <x v="10"/>
    <x v="0"/>
    <x v="0"/>
    <x v="0"/>
    <x v="0"/>
    <n v="0.1105"/>
  </r>
  <r>
    <x v="0"/>
    <x v="0"/>
    <x v="0"/>
    <s v="GERMANY"/>
    <x v="6"/>
    <s v="DE4-E_A"/>
    <s v="GNR_ST_FUELOIL_CND_E-39"/>
    <x v="10"/>
    <x v="0"/>
    <x v="0"/>
    <x v="1"/>
    <x v="0"/>
    <n v="-0.1105"/>
  </r>
  <r>
    <x v="0"/>
    <x v="0"/>
    <x v="0"/>
    <s v="GERMANY"/>
    <x v="6"/>
    <s v="DE4-E_A"/>
    <s v="GNR_ST_LIGN_CND_E-43"/>
    <x v="16"/>
    <x v="0"/>
    <x v="0"/>
    <x v="0"/>
    <x v="0"/>
    <n v="0.64"/>
  </r>
  <r>
    <x v="0"/>
    <x v="0"/>
    <x v="0"/>
    <s v="GERMANY"/>
    <x v="6"/>
    <s v="DE4-E_A"/>
    <s v="GNR_ST_LIGN_CND_E-43"/>
    <x v="16"/>
    <x v="0"/>
    <x v="0"/>
    <x v="1"/>
    <x v="0"/>
    <n v="-0.64"/>
  </r>
  <r>
    <x v="0"/>
    <x v="0"/>
    <x v="0"/>
    <s v="GERMANY"/>
    <x v="6"/>
    <s v="DE4-E_A"/>
    <s v="GNR_ST_LIGN_EXT_E-39"/>
    <x v="16"/>
    <x v="2"/>
    <x v="6"/>
    <x v="0"/>
    <x v="0"/>
    <n v="9.6966666666666672"/>
  </r>
  <r>
    <x v="0"/>
    <x v="0"/>
    <x v="0"/>
    <s v="GERMANY"/>
    <x v="6"/>
    <s v="DE4-E_A"/>
    <s v="GNR_ST_LIGN_EXT_E-39"/>
    <x v="16"/>
    <x v="2"/>
    <x v="6"/>
    <x v="1"/>
    <x v="0"/>
    <n v="-9.6966666666666672"/>
  </r>
  <r>
    <x v="0"/>
    <x v="0"/>
    <x v="0"/>
    <s v="GERMANY"/>
    <x v="6"/>
    <s v="DE4-E_A"/>
    <s v="GNR_ST_LIGN_EXT_E-39"/>
    <x v="16"/>
    <x v="0"/>
    <x v="6"/>
    <x v="0"/>
    <x v="0"/>
    <n v="8.7270000000000003"/>
  </r>
  <r>
    <x v="0"/>
    <x v="0"/>
    <x v="0"/>
    <s v="GERMANY"/>
    <x v="6"/>
    <s v="DE4-E_A"/>
    <s v="GNR_ST_LIGN_EXT_E-39"/>
    <x v="16"/>
    <x v="0"/>
    <x v="6"/>
    <x v="1"/>
    <x v="0"/>
    <n v="-8.7270000000000003"/>
  </r>
  <r>
    <x v="0"/>
    <x v="0"/>
    <x v="0"/>
    <s v="GERMANY"/>
    <x v="6"/>
    <s v="DE4-E_A"/>
    <s v="GNR_ST_MSW_CND_E-33"/>
    <x v="17"/>
    <x v="0"/>
    <x v="0"/>
    <x v="0"/>
    <x v="0"/>
    <n v="6.5099999999999991E-2"/>
  </r>
  <r>
    <x v="0"/>
    <x v="0"/>
    <x v="0"/>
    <s v="GERMANY"/>
    <x v="6"/>
    <s v="DE4-E_A"/>
    <s v="GNR_ST_MSW_CND_E-33"/>
    <x v="17"/>
    <x v="0"/>
    <x v="0"/>
    <x v="1"/>
    <x v="0"/>
    <n v="-6.5099999999999991E-2"/>
  </r>
  <r>
    <x v="0"/>
    <x v="0"/>
    <x v="0"/>
    <s v="GERMANY"/>
    <x v="6"/>
    <s v="DE4-E_A"/>
    <s v="GNR_ST_NGAS_CND_E-38"/>
    <x v="0"/>
    <x v="0"/>
    <x v="0"/>
    <x v="0"/>
    <x v="0"/>
    <n v="6.3399999999999998E-2"/>
  </r>
  <r>
    <x v="0"/>
    <x v="0"/>
    <x v="0"/>
    <s v="GERMANY"/>
    <x v="6"/>
    <s v="DE4-E_A"/>
    <s v="GNR_ST_NGAS_CND_E-38"/>
    <x v="0"/>
    <x v="0"/>
    <x v="0"/>
    <x v="1"/>
    <x v="0"/>
    <n v="-6.3399999999999998E-2"/>
  </r>
  <r>
    <x v="0"/>
    <x v="0"/>
    <x v="0"/>
    <s v="GERMANY"/>
    <x v="6"/>
    <s v="DE4-E_A"/>
    <s v="GNR_ST_NGAS_EXT_E-39"/>
    <x v="0"/>
    <x v="2"/>
    <x v="6"/>
    <x v="0"/>
    <x v="0"/>
    <n v="0.9999563777419106"/>
  </r>
  <r>
    <x v="0"/>
    <x v="0"/>
    <x v="0"/>
    <s v="GERMANY"/>
    <x v="6"/>
    <s v="DE4-E_A"/>
    <s v="GNR_ST_NGAS_EXT_E-39"/>
    <x v="0"/>
    <x v="2"/>
    <x v="6"/>
    <x v="1"/>
    <x v="0"/>
    <n v="-0.9999563777419106"/>
  </r>
  <r>
    <x v="0"/>
    <x v="0"/>
    <x v="0"/>
    <s v="GERMANY"/>
    <x v="6"/>
    <s v="DE4-E_A"/>
    <s v="GNR_ST_NGAS_EXT_E-39"/>
    <x v="0"/>
    <x v="0"/>
    <x v="6"/>
    <x v="0"/>
    <x v="0"/>
    <n v="0.59599999999999997"/>
  </r>
  <r>
    <x v="0"/>
    <x v="0"/>
    <x v="0"/>
    <s v="GERMANY"/>
    <x v="6"/>
    <s v="DE4-E_A"/>
    <s v="GNR_ST_NGAS_EXT_E-39"/>
    <x v="0"/>
    <x v="0"/>
    <x v="6"/>
    <x v="1"/>
    <x v="0"/>
    <n v="-0.59599999999999997"/>
  </r>
  <r>
    <x v="0"/>
    <x v="0"/>
    <x v="0"/>
    <s v="GERMANY"/>
    <x v="6"/>
    <s v="DE4-E_A"/>
    <s v="GNR_ELYS_ELEC_AEC_Y-2020"/>
    <x v="2"/>
    <x v="1"/>
    <x v="3"/>
    <x v="0"/>
    <x v="0"/>
    <n v="2.6559999999999997"/>
  </r>
  <r>
    <x v="0"/>
    <x v="0"/>
    <x v="0"/>
    <s v="GERMANY"/>
    <x v="6"/>
    <s v="DE4-E_A"/>
    <s v="GNR_ELYS_ELEC_AEC_Y-2020"/>
    <x v="2"/>
    <x v="1"/>
    <x v="3"/>
    <x v="1"/>
    <x v="0"/>
    <n v="-0.66400000000000159"/>
  </r>
  <r>
    <x v="0"/>
    <x v="0"/>
    <x v="0"/>
    <s v="GERMANY"/>
    <x v="6"/>
    <s v="DE4-E_A"/>
    <s v="GNR_H2S_H2-CAVERN_Y-2050"/>
    <x v="6"/>
    <x v="1"/>
    <x v="7"/>
    <x v="2"/>
    <x v="0"/>
    <n v="4.0712480429190148"/>
  </r>
  <r>
    <x v="0"/>
    <x v="0"/>
    <x v="0"/>
    <s v="GERMANY"/>
    <x v="6"/>
    <s v="DE4-E_A"/>
    <s v="GNR_STEAM-REFORMING_E-70_Y-2020"/>
    <x v="0"/>
    <x v="1"/>
    <x v="4"/>
    <x v="0"/>
    <x v="0"/>
    <n v="0.84973883174720399"/>
  </r>
  <r>
    <x v="0"/>
    <x v="0"/>
    <x v="0"/>
    <s v="GERMANY"/>
    <x v="6"/>
    <s v="DE4-E_A"/>
    <s v="GNR_STEAM-REFORMING_E-70_Y-2020"/>
    <x v="0"/>
    <x v="1"/>
    <x v="4"/>
    <x v="2"/>
    <x v="0"/>
    <n v="-1.5916157281026244E-16"/>
  </r>
  <r>
    <x v="0"/>
    <x v="0"/>
    <x v="0"/>
    <s v="GERMANY"/>
    <x v="6"/>
    <s v="DE4-E_A"/>
    <s v="GNR_STEAM-REFORMING_E-70_Y-2020"/>
    <x v="0"/>
    <x v="1"/>
    <x v="4"/>
    <x v="1"/>
    <x v="0"/>
    <n v="-0.84973883174720377"/>
  </r>
  <r>
    <x v="0"/>
    <x v="0"/>
    <x v="0"/>
    <s v="GERMANY"/>
    <x v="6"/>
    <s v="DE4-N_A"/>
    <s v="GNR_ENG_BGAS_CND_E-42"/>
    <x v="7"/>
    <x v="0"/>
    <x v="0"/>
    <x v="0"/>
    <x v="0"/>
    <n v="0.48417000000000004"/>
  </r>
  <r>
    <x v="0"/>
    <x v="0"/>
    <x v="0"/>
    <s v="GERMANY"/>
    <x v="6"/>
    <s v="DE4-N_A"/>
    <s v="GNR_ENG_BGAS_CND_E-42"/>
    <x v="7"/>
    <x v="0"/>
    <x v="0"/>
    <x v="1"/>
    <x v="0"/>
    <n v="-0.4841700000000001"/>
  </r>
  <r>
    <x v="0"/>
    <x v="0"/>
    <x v="0"/>
    <s v="GERMANY"/>
    <x v="6"/>
    <s v="DE4-N_A"/>
    <s v="GNR_GEO_HEAT_EO"/>
    <x v="15"/>
    <x v="0"/>
    <x v="0"/>
    <x v="0"/>
    <x v="0"/>
    <n v="1.0000000000000001E-5"/>
  </r>
  <r>
    <x v="0"/>
    <x v="0"/>
    <x v="0"/>
    <s v="GERMANY"/>
    <x v="6"/>
    <s v="DE4-N_A"/>
    <s v="GNR_GEO_HEAT_EO"/>
    <x v="15"/>
    <x v="0"/>
    <x v="0"/>
    <x v="1"/>
    <x v="0"/>
    <n v="-1.0000000000000001E-5"/>
  </r>
  <r>
    <x v="0"/>
    <x v="0"/>
    <x v="0"/>
    <s v="GERMANY"/>
    <x v="6"/>
    <s v="DE4-N_A"/>
    <s v="GNR_GT_FUELOIL_CND_E-31"/>
    <x v="10"/>
    <x v="0"/>
    <x v="0"/>
    <x v="0"/>
    <x v="0"/>
    <n v="0.29149999999999998"/>
  </r>
  <r>
    <x v="0"/>
    <x v="0"/>
    <x v="0"/>
    <s v="GERMANY"/>
    <x v="6"/>
    <s v="DE4-N_A"/>
    <s v="GNR_GT_FUELOIL_CND_E-31"/>
    <x v="10"/>
    <x v="0"/>
    <x v="0"/>
    <x v="1"/>
    <x v="0"/>
    <n v="-0.29149999999999998"/>
  </r>
  <r>
    <x v="0"/>
    <x v="0"/>
    <x v="0"/>
    <s v="GERMANY"/>
    <x v="6"/>
    <s v="DE4-N_A"/>
    <s v="GNR_ROR_WTR"/>
    <x v="1"/>
    <x v="0"/>
    <x v="2"/>
    <x v="0"/>
    <x v="0"/>
    <n v="4.8399999999999997E-3"/>
  </r>
  <r>
    <x v="0"/>
    <x v="0"/>
    <x v="0"/>
    <s v="GERMANY"/>
    <x v="6"/>
    <s v="DE4-N_A"/>
    <s v="GNR_ST_COAL_EXT_E-44"/>
    <x v="5"/>
    <x v="2"/>
    <x v="6"/>
    <x v="0"/>
    <x v="0"/>
    <n v="2.6411111111111114"/>
  </r>
  <r>
    <x v="0"/>
    <x v="0"/>
    <x v="0"/>
    <s v="GERMANY"/>
    <x v="6"/>
    <s v="DE4-N_A"/>
    <s v="GNR_ST_COAL_EXT_E-44"/>
    <x v="5"/>
    <x v="2"/>
    <x v="6"/>
    <x v="1"/>
    <x v="0"/>
    <n v="-2.6411111111111114"/>
  </r>
  <r>
    <x v="0"/>
    <x v="0"/>
    <x v="0"/>
    <s v="GERMANY"/>
    <x v="6"/>
    <s v="DE4-N_A"/>
    <s v="GNR_ST_COAL_EXT_E-44"/>
    <x v="5"/>
    <x v="0"/>
    <x v="6"/>
    <x v="0"/>
    <x v="0"/>
    <n v="2.3770000000000002"/>
  </r>
  <r>
    <x v="0"/>
    <x v="0"/>
    <x v="0"/>
    <s v="GERMANY"/>
    <x v="6"/>
    <s v="DE4-N_A"/>
    <s v="GNR_ST_COAL_EXT_E-44"/>
    <x v="5"/>
    <x v="0"/>
    <x v="6"/>
    <x v="1"/>
    <x v="0"/>
    <n v="-2.3770000000000002"/>
  </r>
  <r>
    <x v="0"/>
    <x v="0"/>
    <x v="0"/>
    <s v="GERMANY"/>
    <x v="6"/>
    <s v="DE4-N_A"/>
    <s v="GNR_ST_FUELOIL_CND_E-35"/>
    <x v="10"/>
    <x v="0"/>
    <x v="0"/>
    <x v="0"/>
    <x v="0"/>
    <n v="0.17500000000000002"/>
  </r>
  <r>
    <x v="0"/>
    <x v="0"/>
    <x v="0"/>
    <s v="GERMANY"/>
    <x v="6"/>
    <s v="DE4-N_A"/>
    <s v="GNR_ST_FUELOIL_CND_E-35"/>
    <x v="10"/>
    <x v="0"/>
    <x v="0"/>
    <x v="1"/>
    <x v="0"/>
    <n v="-0.17500000000000002"/>
  </r>
  <r>
    <x v="0"/>
    <x v="0"/>
    <x v="0"/>
    <s v="GERMANY"/>
    <x v="6"/>
    <s v="DE4-N_A"/>
    <s v="GNR_ST_NUCL_CND_E-33"/>
    <x v="11"/>
    <x v="0"/>
    <x v="0"/>
    <x v="0"/>
    <x v="0"/>
    <n v="1.41"/>
  </r>
  <r>
    <x v="0"/>
    <x v="0"/>
    <x v="0"/>
    <s v="GERMANY"/>
    <x v="6"/>
    <s v="DE4-N_A"/>
    <s v="GNR_ST_NUCL_CND_E-33"/>
    <x v="11"/>
    <x v="0"/>
    <x v="0"/>
    <x v="1"/>
    <x v="0"/>
    <n v="-1.41"/>
  </r>
  <r>
    <x v="0"/>
    <x v="0"/>
    <x v="0"/>
    <s v="GERMANY"/>
    <x v="6"/>
    <s v="DE4-N_A"/>
    <s v="GNR_ELYS_ELEC_AEC_Y-2020"/>
    <x v="2"/>
    <x v="1"/>
    <x v="3"/>
    <x v="0"/>
    <x v="0"/>
    <n v="0.24100000000000027"/>
  </r>
  <r>
    <x v="0"/>
    <x v="0"/>
    <x v="0"/>
    <s v="GERMANY"/>
    <x v="6"/>
    <s v="DE4-N_A"/>
    <s v="GNR_ELYS_ELEC_AEC_Y-2020"/>
    <x v="2"/>
    <x v="1"/>
    <x v="3"/>
    <x v="1"/>
    <x v="0"/>
    <n v="-5.999999999999997E-2"/>
  </r>
  <r>
    <x v="0"/>
    <x v="0"/>
    <x v="0"/>
    <s v="GERMANY"/>
    <x v="6"/>
    <s v="DE4-N_A"/>
    <s v="GNR_H2S_H2-CAVERN_Y-2050"/>
    <x v="6"/>
    <x v="1"/>
    <x v="7"/>
    <x v="2"/>
    <x v="0"/>
    <n v="4.1816621756434236"/>
  </r>
  <r>
    <x v="0"/>
    <x v="0"/>
    <x v="0"/>
    <s v="GERMANY"/>
    <x v="6"/>
    <s v="DE4-N_A"/>
    <s v="GNR_STEAM-REFORMING_E-70_Y-2020"/>
    <x v="0"/>
    <x v="1"/>
    <x v="4"/>
    <x v="0"/>
    <x v="0"/>
    <n v="0.26145810207606246"/>
  </r>
  <r>
    <x v="0"/>
    <x v="0"/>
    <x v="0"/>
    <s v="GERMANY"/>
    <x v="6"/>
    <s v="DE4-N_A"/>
    <s v="GNR_STEAM-REFORMING_E-70_Y-2020"/>
    <x v="0"/>
    <x v="1"/>
    <x v="4"/>
    <x v="1"/>
    <x v="0"/>
    <n v="-0.26145810207606246"/>
  </r>
  <r>
    <x v="0"/>
    <x v="0"/>
    <x v="0"/>
    <s v="GERMANY"/>
    <x v="6"/>
    <s v="DE4-S_A"/>
    <s v="GNR_CC_FUELOIL_CND_E-38"/>
    <x v="10"/>
    <x v="0"/>
    <x v="0"/>
    <x v="0"/>
    <x v="0"/>
    <n v="0.34850000000000003"/>
  </r>
  <r>
    <x v="0"/>
    <x v="0"/>
    <x v="0"/>
    <s v="GERMANY"/>
    <x v="6"/>
    <s v="DE4-S_A"/>
    <s v="GNR_CC_FUELOIL_CND_E-38"/>
    <x v="10"/>
    <x v="0"/>
    <x v="0"/>
    <x v="1"/>
    <x v="0"/>
    <n v="-0.34850000000000003"/>
  </r>
  <r>
    <x v="0"/>
    <x v="0"/>
    <x v="0"/>
    <s v="GERMANY"/>
    <x v="6"/>
    <s v="DE4-S_A"/>
    <s v="GNR_CC_NGAS_CND_E-43"/>
    <x v="0"/>
    <x v="0"/>
    <x v="0"/>
    <x v="0"/>
    <x v="0"/>
    <n v="0.82300000000000006"/>
  </r>
  <r>
    <x v="0"/>
    <x v="0"/>
    <x v="0"/>
    <s v="GERMANY"/>
    <x v="6"/>
    <s v="DE4-S_A"/>
    <s v="GNR_CC_NGAS_CND_E-43"/>
    <x v="0"/>
    <x v="0"/>
    <x v="0"/>
    <x v="1"/>
    <x v="0"/>
    <n v="-0.82300000000000006"/>
  </r>
  <r>
    <x v="0"/>
    <x v="0"/>
    <x v="0"/>
    <s v="GERMANY"/>
    <x v="6"/>
    <s v="DE4-S_A"/>
    <s v="GNR_CC_NGAS_CND_E-57"/>
    <x v="0"/>
    <x v="0"/>
    <x v="0"/>
    <x v="0"/>
    <x v="0"/>
    <n v="1.8546"/>
  </r>
  <r>
    <x v="0"/>
    <x v="0"/>
    <x v="0"/>
    <s v="GERMANY"/>
    <x v="6"/>
    <s v="DE4-S_A"/>
    <s v="GNR_CC_NGAS_CND_E-57"/>
    <x v="0"/>
    <x v="0"/>
    <x v="0"/>
    <x v="1"/>
    <x v="0"/>
    <n v="-1.8546"/>
  </r>
  <r>
    <x v="0"/>
    <x v="0"/>
    <x v="0"/>
    <s v="GERMANY"/>
    <x v="6"/>
    <s v="DE4-S_A"/>
    <s v="GNR_ENG_BGAS_CND_E-42"/>
    <x v="7"/>
    <x v="0"/>
    <x v="0"/>
    <x v="0"/>
    <x v="0"/>
    <n v="2.5206500000000003"/>
  </r>
  <r>
    <x v="0"/>
    <x v="0"/>
    <x v="0"/>
    <s v="GERMANY"/>
    <x v="6"/>
    <s v="DE4-S_A"/>
    <s v="GNR_ENG_BGAS_CND_E-42"/>
    <x v="7"/>
    <x v="0"/>
    <x v="0"/>
    <x v="1"/>
    <x v="0"/>
    <n v="-2.5206500000000003"/>
  </r>
  <r>
    <x v="0"/>
    <x v="0"/>
    <x v="0"/>
    <s v="GERMANY"/>
    <x v="6"/>
    <s v="DE4-S_A"/>
    <s v="GNR_GEO_HEAT_EO"/>
    <x v="15"/>
    <x v="0"/>
    <x v="0"/>
    <x v="0"/>
    <x v="0"/>
    <n v="3.9259999999999996E-2"/>
  </r>
  <r>
    <x v="0"/>
    <x v="0"/>
    <x v="0"/>
    <s v="GERMANY"/>
    <x v="6"/>
    <s v="DE4-S_A"/>
    <s v="GNR_GEO_HEAT_EO"/>
    <x v="15"/>
    <x v="0"/>
    <x v="0"/>
    <x v="1"/>
    <x v="0"/>
    <n v="-3.9259999999999996E-2"/>
  </r>
  <r>
    <x v="0"/>
    <x v="0"/>
    <x v="0"/>
    <s v="GERMANY"/>
    <x v="6"/>
    <s v="DE4-S_A"/>
    <s v="GNR_GT_FUELOIL_CND_E-32"/>
    <x v="10"/>
    <x v="0"/>
    <x v="0"/>
    <x v="0"/>
    <x v="0"/>
    <n v="0.42210000000000003"/>
  </r>
  <r>
    <x v="0"/>
    <x v="0"/>
    <x v="0"/>
    <s v="GERMANY"/>
    <x v="6"/>
    <s v="DE4-S_A"/>
    <s v="GNR_GT_FUELOIL_CND_E-32"/>
    <x v="10"/>
    <x v="0"/>
    <x v="0"/>
    <x v="1"/>
    <x v="0"/>
    <n v="-0.42210000000000003"/>
  </r>
  <r>
    <x v="0"/>
    <x v="0"/>
    <x v="0"/>
    <s v="GERMANY"/>
    <x v="6"/>
    <s v="DE4-S_A"/>
    <s v="GNR_GT_FUELOIL_CND_E-35"/>
    <x v="10"/>
    <x v="0"/>
    <x v="0"/>
    <x v="0"/>
    <x v="0"/>
    <n v="2.4E-2"/>
  </r>
  <r>
    <x v="0"/>
    <x v="0"/>
    <x v="0"/>
    <s v="GERMANY"/>
    <x v="6"/>
    <s v="DE4-S_A"/>
    <s v="GNR_GT_FUELOIL_CND_E-35"/>
    <x v="10"/>
    <x v="0"/>
    <x v="0"/>
    <x v="1"/>
    <x v="0"/>
    <n v="-2.4E-2"/>
  </r>
  <r>
    <x v="0"/>
    <x v="0"/>
    <x v="0"/>
    <s v="GERMANY"/>
    <x v="6"/>
    <s v="DE4-S_A"/>
    <s v="GNR_GT_NGAS_CND_E-31"/>
    <x v="0"/>
    <x v="0"/>
    <x v="0"/>
    <x v="0"/>
    <x v="0"/>
    <n v="0.32300000000000001"/>
  </r>
  <r>
    <x v="0"/>
    <x v="0"/>
    <x v="0"/>
    <s v="GERMANY"/>
    <x v="6"/>
    <s v="DE4-S_A"/>
    <s v="GNR_GT_NGAS_CND_E-31"/>
    <x v="0"/>
    <x v="0"/>
    <x v="0"/>
    <x v="1"/>
    <x v="0"/>
    <n v="-0.32300000000000001"/>
  </r>
  <r>
    <x v="0"/>
    <x v="0"/>
    <x v="0"/>
    <s v="GERMANY"/>
    <x v="6"/>
    <s v="DE4-S_A"/>
    <s v="GNR_RES_WTR_NOPMP"/>
    <x v="1"/>
    <x v="0"/>
    <x v="1"/>
    <x v="0"/>
    <x v="0"/>
    <n v="0.124"/>
  </r>
  <r>
    <x v="0"/>
    <x v="0"/>
    <x v="0"/>
    <s v="GERMANY"/>
    <x v="6"/>
    <s v="DE4-S_A"/>
    <s v="GNR_ROR_WTR"/>
    <x v="1"/>
    <x v="0"/>
    <x v="2"/>
    <x v="0"/>
    <x v="0"/>
    <n v="7.92713"/>
  </r>
  <r>
    <x v="0"/>
    <x v="0"/>
    <x v="0"/>
    <s v="GERMANY"/>
    <x v="6"/>
    <s v="DE4-S_A"/>
    <s v="GNR_ST_BGAS_CND_E-38"/>
    <x v="7"/>
    <x v="0"/>
    <x v="0"/>
    <x v="0"/>
    <x v="0"/>
    <n v="4.0299999999999996E-2"/>
  </r>
  <r>
    <x v="0"/>
    <x v="0"/>
    <x v="0"/>
    <s v="GERMANY"/>
    <x v="6"/>
    <s v="DE4-S_A"/>
    <s v="GNR_ST_BGAS_CND_E-38"/>
    <x v="7"/>
    <x v="0"/>
    <x v="0"/>
    <x v="1"/>
    <x v="0"/>
    <n v="-4.0299999999999996E-2"/>
  </r>
  <r>
    <x v="0"/>
    <x v="0"/>
    <x v="0"/>
    <s v="GERMANY"/>
    <x v="6"/>
    <s v="DE4-S_A"/>
    <s v="GNR_ST_COAL_CND_E-38"/>
    <x v="5"/>
    <x v="0"/>
    <x v="0"/>
    <x v="0"/>
    <x v="0"/>
    <n v="0.72599999999999998"/>
  </r>
  <r>
    <x v="0"/>
    <x v="0"/>
    <x v="0"/>
    <s v="GERMANY"/>
    <x v="6"/>
    <s v="DE4-S_A"/>
    <s v="GNR_ST_COAL_CND_E-38"/>
    <x v="5"/>
    <x v="0"/>
    <x v="0"/>
    <x v="1"/>
    <x v="0"/>
    <n v="-0.72599999999999998"/>
  </r>
  <r>
    <x v="0"/>
    <x v="0"/>
    <x v="0"/>
    <s v="GERMANY"/>
    <x v="6"/>
    <s v="DE4-S_A"/>
    <s v="GNR_ST_COAL_CND_E-45"/>
    <x v="5"/>
    <x v="0"/>
    <x v="0"/>
    <x v="0"/>
    <x v="0"/>
    <n v="0.77700000000000002"/>
  </r>
  <r>
    <x v="0"/>
    <x v="0"/>
    <x v="0"/>
    <s v="GERMANY"/>
    <x v="6"/>
    <s v="DE4-S_A"/>
    <s v="GNR_ST_COAL_CND_E-45"/>
    <x v="5"/>
    <x v="0"/>
    <x v="0"/>
    <x v="1"/>
    <x v="0"/>
    <n v="-0.77700000000000002"/>
  </r>
  <r>
    <x v="0"/>
    <x v="0"/>
    <x v="0"/>
    <s v="GERMANY"/>
    <x v="6"/>
    <s v="DE4-S_A"/>
    <s v="GNR_ST_COAL_EXT_E-37"/>
    <x v="5"/>
    <x v="2"/>
    <x v="6"/>
    <x v="0"/>
    <x v="0"/>
    <n v="1.8495555555555554"/>
  </r>
  <r>
    <x v="0"/>
    <x v="0"/>
    <x v="0"/>
    <s v="GERMANY"/>
    <x v="6"/>
    <s v="DE4-S_A"/>
    <s v="GNR_ST_COAL_EXT_E-37"/>
    <x v="5"/>
    <x v="2"/>
    <x v="6"/>
    <x v="1"/>
    <x v="0"/>
    <n v="-1.8495555555555554"/>
  </r>
  <r>
    <x v="0"/>
    <x v="0"/>
    <x v="0"/>
    <s v="GERMANY"/>
    <x v="6"/>
    <s v="DE4-S_A"/>
    <s v="GNR_ST_COAL_EXT_E-37"/>
    <x v="5"/>
    <x v="0"/>
    <x v="6"/>
    <x v="0"/>
    <x v="0"/>
    <n v="1.6645999999999999"/>
  </r>
  <r>
    <x v="0"/>
    <x v="0"/>
    <x v="0"/>
    <s v="GERMANY"/>
    <x v="6"/>
    <s v="DE4-S_A"/>
    <s v="GNR_ST_COAL_EXT_E-37"/>
    <x v="5"/>
    <x v="0"/>
    <x v="6"/>
    <x v="1"/>
    <x v="0"/>
    <n v="-1.6645999999999999"/>
  </r>
  <r>
    <x v="0"/>
    <x v="0"/>
    <x v="0"/>
    <s v="GERMANY"/>
    <x v="6"/>
    <s v="DE4-S_A"/>
    <s v="GNR_ST_COAL_EXT_E-44"/>
    <x v="5"/>
    <x v="2"/>
    <x v="6"/>
    <x v="0"/>
    <x v="0"/>
    <n v="6.1696666666666662"/>
  </r>
  <r>
    <x v="0"/>
    <x v="0"/>
    <x v="0"/>
    <s v="GERMANY"/>
    <x v="6"/>
    <s v="DE4-S_A"/>
    <s v="GNR_ST_COAL_EXT_E-44"/>
    <x v="5"/>
    <x v="2"/>
    <x v="6"/>
    <x v="1"/>
    <x v="0"/>
    <n v="-6.1696666666666662"/>
  </r>
  <r>
    <x v="0"/>
    <x v="0"/>
    <x v="0"/>
    <s v="GERMANY"/>
    <x v="6"/>
    <s v="DE4-S_A"/>
    <s v="GNR_ST_COAL_EXT_E-44"/>
    <x v="5"/>
    <x v="0"/>
    <x v="6"/>
    <x v="0"/>
    <x v="0"/>
    <n v="5.5526999999999997"/>
  </r>
  <r>
    <x v="0"/>
    <x v="0"/>
    <x v="0"/>
    <s v="GERMANY"/>
    <x v="6"/>
    <s v="DE4-S_A"/>
    <s v="GNR_ST_COAL_EXT_E-44"/>
    <x v="5"/>
    <x v="0"/>
    <x v="6"/>
    <x v="1"/>
    <x v="0"/>
    <n v="-5.5526999999999997"/>
  </r>
  <r>
    <x v="0"/>
    <x v="0"/>
    <x v="0"/>
    <s v="GERMANY"/>
    <x v="6"/>
    <s v="DE4-S_A"/>
    <s v="GNR_ST_FUELOIL_CND_E-36"/>
    <x v="10"/>
    <x v="0"/>
    <x v="0"/>
    <x v="0"/>
    <x v="0"/>
    <n v="0.83479999999999999"/>
  </r>
  <r>
    <x v="0"/>
    <x v="0"/>
    <x v="0"/>
    <s v="GERMANY"/>
    <x v="6"/>
    <s v="DE4-S_A"/>
    <s v="GNR_ST_FUELOIL_CND_E-36"/>
    <x v="10"/>
    <x v="0"/>
    <x v="0"/>
    <x v="1"/>
    <x v="0"/>
    <n v="-0.83479999999999999"/>
  </r>
  <r>
    <x v="0"/>
    <x v="0"/>
    <x v="0"/>
    <s v="GERMANY"/>
    <x v="6"/>
    <s v="DE4-S_A"/>
    <s v="GNR_ST_MSW_CND_E-33"/>
    <x v="17"/>
    <x v="0"/>
    <x v="0"/>
    <x v="0"/>
    <x v="0"/>
    <n v="6.4500000000000002E-2"/>
  </r>
  <r>
    <x v="0"/>
    <x v="0"/>
    <x v="0"/>
    <s v="GERMANY"/>
    <x v="6"/>
    <s v="DE4-S_A"/>
    <s v="GNR_ST_MSW_CND_E-33"/>
    <x v="17"/>
    <x v="0"/>
    <x v="0"/>
    <x v="1"/>
    <x v="0"/>
    <n v="-6.4500000000000002E-2"/>
  </r>
  <r>
    <x v="0"/>
    <x v="0"/>
    <x v="0"/>
    <s v="GERMANY"/>
    <x v="6"/>
    <s v="DE4-S_A"/>
    <s v="GNR_ST_NUCL_CND_E-33"/>
    <x v="11"/>
    <x v="0"/>
    <x v="0"/>
    <x v="0"/>
    <x v="0"/>
    <n v="6.694"/>
  </r>
  <r>
    <x v="0"/>
    <x v="0"/>
    <x v="0"/>
    <s v="GERMANY"/>
    <x v="6"/>
    <s v="DE4-S_A"/>
    <s v="GNR_ST_NUCL_CND_E-33"/>
    <x v="11"/>
    <x v="0"/>
    <x v="0"/>
    <x v="1"/>
    <x v="0"/>
    <n v="-6.694"/>
  </r>
  <r>
    <x v="0"/>
    <x v="0"/>
    <x v="0"/>
    <s v="GERMANY"/>
    <x v="6"/>
    <s v="DE4-S_A"/>
    <s v="GNR_ELYS_ELEC_AEC_Y-2020"/>
    <x v="2"/>
    <x v="1"/>
    <x v="3"/>
    <x v="0"/>
    <x v="0"/>
    <n v="1.6640000000000033"/>
  </r>
  <r>
    <x v="0"/>
    <x v="0"/>
    <x v="0"/>
    <s v="GERMANY"/>
    <x v="6"/>
    <s v="DE4-S_A"/>
    <s v="GNR_ELYS_ELEC_AEC_Y-2020"/>
    <x v="2"/>
    <x v="1"/>
    <x v="3"/>
    <x v="1"/>
    <x v="0"/>
    <n v="-0.41599999999999981"/>
  </r>
  <r>
    <x v="0"/>
    <x v="0"/>
    <x v="0"/>
    <s v="GERMANY"/>
    <x v="6"/>
    <s v="DE4-S_A"/>
    <s v="GNR_STEAM-REFORMING_E-70_Y-2020"/>
    <x v="0"/>
    <x v="1"/>
    <x v="4"/>
    <x v="0"/>
    <x v="0"/>
    <n v="2.2996428523508232"/>
  </r>
  <r>
    <x v="0"/>
    <x v="0"/>
    <x v="0"/>
    <s v="GERMANY"/>
    <x v="6"/>
    <s v="DE4-S_A"/>
    <s v="GNR_STEAM-REFORMING_E-70_Y-2020"/>
    <x v="0"/>
    <x v="1"/>
    <x v="4"/>
    <x v="1"/>
    <x v="0"/>
    <n v="-2.2996428523508232"/>
  </r>
  <r>
    <x v="0"/>
    <x v="0"/>
    <x v="0"/>
    <s v="GERMANY"/>
    <x v="6"/>
    <s v="DE4-W_A"/>
    <s v="GNR_CC_FUELOIL_CND_E-38"/>
    <x v="10"/>
    <x v="0"/>
    <x v="0"/>
    <x v="0"/>
    <x v="0"/>
    <n v="0.26600000000000001"/>
  </r>
  <r>
    <x v="0"/>
    <x v="0"/>
    <x v="0"/>
    <s v="GERMANY"/>
    <x v="6"/>
    <s v="DE4-W_A"/>
    <s v="GNR_CC_FUELOIL_CND_E-38"/>
    <x v="10"/>
    <x v="0"/>
    <x v="0"/>
    <x v="1"/>
    <x v="0"/>
    <n v="-0.26600000000000001"/>
  </r>
  <r>
    <x v="0"/>
    <x v="0"/>
    <x v="0"/>
    <s v="GERMANY"/>
    <x v="6"/>
    <s v="DE4-W_A"/>
    <s v="GNR_CC_NGAS_CND_E-42"/>
    <x v="0"/>
    <x v="0"/>
    <x v="0"/>
    <x v="0"/>
    <x v="0"/>
    <n v="1.0215000000000001"/>
  </r>
  <r>
    <x v="0"/>
    <x v="0"/>
    <x v="0"/>
    <s v="GERMANY"/>
    <x v="6"/>
    <s v="DE4-W_A"/>
    <s v="GNR_CC_NGAS_CND_E-42"/>
    <x v="0"/>
    <x v="0"/>
    <x v="0"/>
    <x v="1"/>
    <x v="0"/>
    <n v="-1.0215000000000001"/>
  </r>
  <r>
    <x v="0"/>
    <x v="0"/>
    <x v="0"/>
    <s v="GERMANY"/>
    <x v="6"/>
    <s v="DE4-W_A"/>
    <s v="GNR_CC_NGAS_CND_E-57"/>
    <x v="0"/>
    <x v="0"/>
    <x v="0"/>
    <x v="0"/>
    <x v="0"/>
    <n v="3.1595"/>
  </r>
  <r>
    <x v="0"/>
    <x v="0"/>
    <x v="0"/>
    <s v="GERMANY"/>
    <x v="6"/>
    <s v="DE4-W_A"/>
    <s v="GNR_CC_NGAS_CND_E-57"/>
    <x v="0"/>
    <x v="0"/>
    <x v="0"/>
    <x v="1"/>
    <x v="0"/>
    <n v="-3.1595"/>
  </r>
  <r>
    <x v="0"/>
    <x v="0"/>
    <x v="0"/>
    <s v="GERMANY"/>
    <x v="6"/>
    <s v="DE4-W_A"/>
    <s v="GNR_ENG_BGAS_CND_E-42"/>
    <x v="7"/>
    <x v="0"/>
    <x v="0"/>
    <x v="0"/>
    <x v="0"/>
    <n v="2.5203200000000003"/>
  </r>
  <r>
    <x v="0"/>
    <x v="0"/>
    <x v="0"/>
    <s v="GERMANY"/>
    <x v="6"/>
    <s v="DE4-W_A"/>
    <s v="GNR_ENG_BGAS_CND_E-42"/>
    <x v="7"/>
    <x v="0"/>
    <x v="0"/>
    <x v="1"/>
    <x v="0"/>
    <n v="-2.5203199999999994"/>
  </r>
  <r>
    <x v="0"/>
    <x v="0"/>
    <x v="0"/>
    <s v="GERMANY"/>
    <x v="6"/>
    <s v="DE4-W_A"/>
    <s v="GNR_GT_FUELOIL_CND_E-31"/>
    <x v="10"/>
    <x v="0"/>
    <x v="0"/>
    <x v="0"/>
    <x v="0"/>
    <n v="0.22819999999999999"/>
  </r>
  <r>
    <x v="0"/>
    <x v="0"/>
    <x v="0"/>
    <s v="GERMANY"/>
    <x v="6"/>
    <s v="DE4-W_A"/>
    <s v="GNR_GT_FUELOIL_CND_E-31"/>
    <x v="10"/>
    <x v="0"/>
    <x v="0"/>
    <x v="1"/>
    <x v="0"/>
    <n v="-0.22819999999999999"/>
  </r>
  <r>
    <x v="0"/>
    <x v="0"/>
    <x v="0"/>
    <s v="GERMANY"/>
    <x v="6"/>
    <s v="DE4-W_A"/>
    <s v="GNR_GT_NGAS_CND_E-32"/>
    <x v="0"/>
    <x v="0"/>
    <x v="0"/>
    <x v="0"/>
    <x v="0"/>
    <n v="0.58140000000000003"/>
  </r>
  <r>
    <x v="0"/>
    <x v="0"/>
    <x v="0"/>
    <s v="GERMANY"/>
    <x v="6"/>
    <s v="DE4-W_A"/>
    <s v="GNR_GT_NGAS_CND_E-32"/>
    <x v="0"/>
    <x v="0"/>
    <x v="0"/>
    <x v="1"/>
    <x v="0"/>
    <n v="-0.58140000000000003"/>
  </r>
  <r>
    <x v="0"/>
    <x v="0"/>
    <x v="0"/>
    <s v="GERMANY"/>
    <x v="6"/>
    <s v="DE4-W_A"/>
    <s v="GNR_GT_NGAS_CND_E-40"/>
    <x v="0"/>
    <x v="0"/>
    <x v="0"/>
    <x v="0"/>
    <x v="0"/>
    <n v="0.72099999999999997"/>
  </r>
  <r>
    <x v="0"/>
    <x v="0"/>
    <x v="0"/>
    <s v="GERMANY"/>
    <x v="6"/>
    <s v="DE4-W_A"/>
    <s v="GNR_GT_NGAS_CND_E-40"/>
    <x v="0"/>
    <x v="0"/>
    <x v="0"/>
    <x v="1"/>
    <x v="0"/>
    <n v="-0.72099999999999997"/>
  </r>
  <r>
    <x v="0"/>
    <x v="0"/>
    <x v="0"/>
    <s v="GERMANY"/>
    <x v="6"/>
    <s v="DE4-W_A"/>
    <s v="GNR_ROR_WTR"/>
    <x v="1"/>
    <x v="0"/>
    <x v="2"/>
    <x v="0"/>
    <x v="0"/>
    <n v="0.3604"/>
  </r>
  <r>
    <x v="0"/>
    <x v="0"/>
    <x v="0"/>
    <s v="GERMANY"/>
    <x v="6"/>
    <s v="DE4-W_A"/>
    <s v="GNR_ST_BGAS_CND_E-33"/>
    <x v="7"/>
    <x v="0"/>
    <x v="0"/>
    <x v="0"/>
    <x v="0"/>
    <n v="3.3399999999999999E-2"/>
  </r>
  <r>
    <x v="0"/>
    <x v="0"/>
    <x v="0"/>
    <s v="GERMANY"/>
    <x v="6"/>
    <s v="DE4-W_A"/>
    <s v="GNR_ST_BGAS_CND_E-33"/>
    <x v="7"/>
    <x v="0"/>
    <x v="0"/>
    <x v="1"/>
    <x v="0"/>
    <n v="-3.3399999999999999E-2"/>
  </r>
  <r>
    <x v="0"/>
    <x v="0"/>
    <x v="0"/>
    <s v="GERMANY"/>
    <x v="6"/>
    <s v="DE4-W_A"/>
    <s v="GNR_ST_BGAS_CND_E-38"/>
    <x v="7"/>
    <x v="0"/>
    <x v="0"/>
    <x v="0"/>
    <x v="0"/>
    <n v="7.8799999999999995E-2"/>
  </r>
  <r>
    <x v="0"/>
    <x v="0"/>
    <x v="0"/>
    <s v="GERMANY"/>
    <x v="6"/>
    <s v="DE4-W_A"/>
    <s v="GNR_ST_BGAS_CND_E-38"/>
    <x v="7"/>
    <x v="0"/>
    <x v="0"/>
    <x v="1"/>
    <x v="0"/>
    <n v="-7.8799999999999995E-2"/>
  </r>
  <r>
    <x v="0"/>
    <x v="0"/>
    <x v="0"/>
    <s v="GERMANY"/>
    <x v="6"/>
    <s v="DE4-W_A"/>
    <s v="GNR_ST_COAL_CND_E-37"/>
    <x v="5"/>
    <x v="0"/>
    <x v="0"/>
    <x v="0"/>
    <x v="0"/>
    <n v="7.1000000000000005"/>
  </r>
  <r>
    <x v="0"/>
    <x v="0"/>
    <x v="0"/>
    <s v="GERMANY"/>
    <x v="6"/>
    <s v="DE4-W_A"/>
    <s v="GNR_ST_COAL_CND_E-37"/>
    <x v="5"/>
    <x v="0"/>
    <x v="0"/>
    <x v="1"/>
    <x v="0"/>
    <n v="-7.1000000000000005"/>
  </r>
  <r>
    <x v="0"/>
    <x v="0"/>
    <x v="0"/>
    <s v="GERMANY"/>
    <x v="6"/>
    <s v="DE4-W_A"/>
    <s v="GNR_ST_COAL_CND_E-45"/>
    <x v="5"/>
    <x v="0"/>
    <x v="0"/>
    <x v="0"/>
    <x v="0"/>
    <n v="3.4487000000000001"/>
  </r>
  <r>
    <x v="0"/>
    <x v="0"/>
    <x v="0"/>
    <s v="GERMANY"/>
    <x v="6"/>
    <s v="DE4-W_A"/>
    <s v="GNR_ST_COAL_CND_E-45"/>
    <x v="5"/>
    <x v="0"/>
    <x v="0"/>
    <x v="1"/>
    <x v="0"/>
    <n v="-3.4487000000000001"/>
  </r>
  <r>
    <x v="0"/>
    <x v="0"/>
    <x v="0"/>
    <s v="GERMANY"/>
    <x v="6"/>
    <s v="DE4-W_A"/>
    <s v="GNR_ST_COAL_EXT_E-36"/>
    <x v="5"/>
    <x v="2"/>
    <x v="6"/>
    <x v="0"/>
    <x v="0"/>
    <n v="4.3066666666666666"/>
  </r>
  <r>
    <x v="0"/>
    <x v="0"/>
    <x v="0"/>
    <s v="GERMANY"/>
    <x v="6"/>
    <s v="DE4-W_A"/>
    <s v="GNR_ST_COAL_EXT_E-36"/>
    <x v="5"/>
    <x v="2"/>
    <x v="6"/>
    <x v="1"/>
    <x v="0"/>
    <n v="-4.3066666666666666"/>
  </r>
  <r>
    <x v="0"/>
    <x v="0"/>
    <x v="0"/>
    <s v="GERMANY"/>
    <x v="6"/>
    <s v="DE4-W_A"/>
    <s v="GNR_ST_COAL_EXT_E-36"/>
    <x v="5"/>
    <x v="0"/>
    <x v="6"/>
    <x v="0"/>
    <x v="0"/>
    <n v="3.8759999999999999"/>
  </r>
  <r>
    <x v="0"/>
    <x v="0"/>
    <x v="0"/>
    <s v="GERMANY"/>
    <x v="6"/>
    <s v="DE4-W_A"/>
    <s v="GNR_ST_COAL_EXT_E-36"/>
    <x v="5"/>
    <x v="0"/>
    <x v="6"/>
    <x v="1"/>
    <x v="0"/>
    <n v="-3.8759999999999999"/>
  </r>
  <r>
    <x v="0"/>
    <x v="0"/>
    <x v="0"/>
    <s v="GERMANY"/>
    <x v="6"/>
    <s v="DE4-W_A"/>
    <s v="GNR_ST_COAL_EXT_E-43"/>
    <x v="5"/>
    <x v="2"/>
    <x v="6"/>
    <x v="0"/>
    <x v="0"/>
    <n v="5.0866666666666669"/>
  </r>
  <r>
    <x v="0"/>
    <x v="0"/>
    <x v="0"/>
    <s v="GERMANY"/>
    <x v="6"/>
    <s v="DE4-W_A"/>
    <s v="GNR_ST_COAL_EXT_E-43"/>
    <x v="5"/>
    <x v="2"/>
    <x v="6"/>
    <x v="1"/>
    <x v="0"/>
    <n v="-5.0866666666666669"/>
  </r>
  <r>
    <x v="0"/>
    <x v="0"/>
    <x v="0"/>
    <s v="GERMANY"/>
    <x v="6"/>
    <s v="DE4-W_A"/>
    <s v="GNR_ST_COAL_EXT_E-43"/>
    <x v="5"/>
    <x v="0"/>
    <x v="6"/>
    <x v="0"/>
    <x v="0"/>
    <n v="4.5780000000000003"/>
  </r>
  <r>
    <x v="0"/>
    <x v="0"/>
    <x v="0"/>
    <s v="GERMANY"/>
    <x v="6"/>
    <s v="DE4-W_A"/>
    <s v="GNR_ST_COAL_EXT_E-43"/>
    <x v="5"/>
    <x v="0"/>
    <x v="6"/>
    <x v="1"/>
    <x v="0"/>
    <n v="-4.5780000000000003"/>
  </r>
  <r>
    <x v="0"/>
    <x v="0"/>
    <x v="0"/>
    <s v="GERMANY"/>
    <x v="6"/>
    <s v="DE4-W_A"/>
    <s v="GNR_ST_FUELOIL_CND_E-39"/>
    <x v="10"/>
    <x v="0"/>
    <x v="0"/>
    <x v="0"/>
    <x v="0"/>
    <n v="3.32E-2"/>
  </r>
  <r>
    <x v="0"/>
    <x v="0"/>
    <x v="0"/>
    <s v="GERMANY"/>
    <x v="6"/>
    <s v="DE4-W_A"/>
    <s v="GNR_ST_FUELOIL_CND_E-39"/>
    <x v="10"/>
    <x v="0"/>
    <x v="0"/>
    <x v="1"/>
    <x v="0"/>
    <n v="-3.32E-2"/>
  </r>
  <r>
    <x v="0"/>
    <x v="0"/>
    <x v="0"/>
    <s v="GERMANY"/>
    <x v="6"/>
    <s v="DE4-W_A"/>
    <s v="GNR_ST_LIGN_CND_E-32"/>
    <x v="16"/>
    <x v="0"/>
    <x v="0"/>
    <x v="0"/>
    <x v="0"/>
    <n v="4.5389999999999997"/>
  </r>
  <r>
    <x v="0"/>
    <x v="0"/>
    <x v="0"/>
    <s v="GERMANY"/>
    <x v="6"/>
    <s v="DE4-W_A"/>
    <s v="GNR_ST_LIGN_CND_E-32"/>
    <x v="16"/>
    <x v="0"/>
    <x v="0"/>
    <x v="1"/>
    <x v="0"/>
    <n v="-4.5389999999999997"/>
  </r>
  <r>
    <x v="0"/>
    <x v="0"/>
    <x v="0"/>
    <s v="GERMANY"/>
    <x v="6"/>
    <s v="DE4-W_A"/>
    <s v="GNR_ST_LIGN_CND_E-41"/>
    <x v="16"/>
    <x v="0"/>
    <x v="0"/>
    <x v="0"/>
    <x v="0"/>
    <n v="4.3420000000000005"/>
  </r>
  <r>
    <x v="0"/>
    <x v="0"/>
    <x v="0"/>
    <s v="GERMANY"/>
    <x v="6"/>
    <s v="DE4-W_A"/>
    <s v="GNR_ST_LIGN_CND_E-41"/>
    <x v="16"/>
    <x v="0"/>
    <x v="0"/>
    <x v="1"/>
    <x v="0"/>
    <n v="-4.3420000000000005"/>
  </r>
  <r>
    <x v="0"/>
    <x v="0"/>
    <x v="0"/>
    <s v="GERMANY"/>
    <x v="6"/>
    <s v="DE4-W_A"/>
    <s v="GNR_ST_LIGN_EXT_E-34"/>
    <x v="16"/>
    <x v="2"/>
    <x v="6"/>
    <x v="0"/>
    <x v="0"/>
    <n v="2.9477777777777776"/>
  </r>
  <r>
    <x v="0"/>
    <x v="0"/>
    <x v="0"/>
    <s v="GERMANY"/>
    <x v="6"/>
    <s v="DE4-W_A"/>
    <s v="GNR_ST_LIGN_EXT_E-34"/>
    <x v="16"/>
    <x v="2"/>
    <x v="6"/>
    <x v="1"/>
    <x v="0"/>
    <n v="-2.9477777777777776"/>
  </r>
  <r>
    <x v="0"/>
    <x v="0"/>
    <x v="0"/>
    <s v="GERMANY"/>
    <x v="6"/>
    <s v="DE4-W_A"/>
    <s v="GNR_ST_LIGN_EXT_E-34"/>
    <x v="16"/>
    <x v="0"/>
    <x v="6"/>
    <x v="0"/>
    <x v="0"/>
    <n v="2.653"/>
  </r>
  <r>
    <x v="0"/>
    <x v="0"/>
    <x v="0"/>
    <s v="GERMANY"/>
    <x v="6"/>
    <s v="DE4-W_A"/>
    <s v="GNR_ST_LIGN_EXT_E-34"/>
    <x v="16"/>
    <x v="0"/>
    <x v="6"/>
    <x v="1"/>
    <x v="0"/>
    <n v="-2.653"/>
  </r>
  <r>
    <x v="0"/>
    <x v="0"/>
    <x v="0"/>
    <s v="GERMANY"/>
    <x v="6"/>
    <s v="DE4-W_A"/>
    <s v="GNR_ST_LIGN_EXT_E-40"/>
    <x v="16"/>
    <x v="2"/>
    <x v="6"/>
    <x v="0"/>
    <x v="0"/>
    <n v="1.2088888888888889"/>
  </r>
  <r>
    <x v="0"/>
    <x v="0"/>
    <x v="0"/>
    <s v="GERMANY"/>
    <x v="6"/>
    <s v="DE4-W_A"/>
    <s v="GNR_ST_LIGN_EXT_E-40"/>
    <x v="16"/>
    <x v="2"/>
    <x v="6"/>
    <x v="1"/>
    <x v="0"/>
    <n v="-1.2088888888888889"/>
  </r>
  <r>
    <x v="0"/>
    <x v="0"/>
    <x v="0"/>
    <s v="GERMANY"/>
    <x v="6"/>
    <s v="DE4-W_A"/>
    <s v="GNR_ST_LIGN_EXT_E-40"/>
    <x v="16"/>
    <x v="0"/>
    <x v="6"/>
    <x v="0"/>
    <x v="0"/>
    <n v="1.0880000000000001"/>
  </r>
  <r>
    <x v="0"/>
    <x v="0"/>
    <x v="0"/>
    <s v="GERMANY"/>
    <x v="6"/>
    <s v="DE4-W_A"/>
    <s v="GNR_ST_LIGN_EXT_E-40"/>
    <x v="16"/>
    <x v="0"/>
    <x v="6"/>
    <x v="1"/>
    <x v="0"/>
    <n v="-1.0880000000000001"/>
  </r>
  <r>
    <x v="0"/>
    <x v="0"/>
    <x v="0"/>
    <s v="GERMANY"/>
    <x v="6"/>
    <s v="DE4-W_A"/>
    <s v="GNR_ST_MSW_CND_E-33"/>
    <x v="17"/>
    <x v="0"/>
    <x v="0"/>
    <x v="0"/>
    <x v="0"/>
    <n v="0.19080000000000003"/>
  </r>
  <r>
    <x v="0"/>
    <x v="0"/>
    <x v="0"/>
    <s v="GERMANY"/>
    <x v="6"/>
    <s v="DE4-W_A"/>
    <s v="GNR_ST_MSW_CND_E-33"/>
    <x v="17"/>
    <x v="0"/>
    <x v="0"/>
    <x v="1"/>
    <x v="0"/>
    <n v="-0.19080000000000003"/>
  </r>
  <r>
    <x v="0"/>
    <x v="0"/>
    <x v="0"/>
    <s v="GERMANY"/>
    <x v="6"/>
    <s v="DE4-W_A"/>
    <s v="GNR_ST_NGAS_CND_E-36"/>
    <x v="0"/>
    <x v="0"/>
    <x v="0"/>
    <x v="0"/>
    <x v="0"/>
    <n v="2.1259999999999999"/>
  </r>
  <r>
    <x v="0"/>
    <x v="0"/>
    <x v="0"/>
    <s v="GERMANY"/>
    <x v="6"/>
    <s v="DE4-W_A"/>
    <s v="GNR_ST_NGAS_CND_E-36"/>
    <x v="0"/>
    <x v="0"/>
    <x v="0"/>
    <x v="1"/>
    <x v="0"/>
    <n v="-2.1259999999999999"/>
  </r>
  <r>
    <x v="0"/>
    <x v="0"/>
    <x v="0"/>
    <s v="GERMANY"/>
    <x v="6"/>
    <s v="DE4-W_A"/>
    <s v="GNR_ST_NGAS_CND_E-40"/>
    <x v="0"/>
    <x v="0"/>
    <x v="0"/>
    <x v="0"/>
    <x v="0"/>
    <n v="1.4E-2"/>
  </r>
  <r>
    <x v="0"/>
    <x v="0"/>
    <x v="0"/>
    <s v="GERMANY"/>
    <x v="6"/>
    <s v="DE4-W_A"/>
    <s v="GNR_ST_NGAS_CND_E-40"/>
    <x v="0"/>
    <x v="0"/>
    <x v="0"/>
    <x v="1"/>
    <x v="0"/>
    <n v="-1.4E-2"/>
  </r>
  <r>
    <x v="0"/>
    <x v="0"/>
    <x v="0"/>
    <s v="GERMANY"/>
    <x v="6"/>
    <s v="DE4-W_A"/>
    <s v="GNR_ST_NGAS_EXT_E-36"/>
    <x v="0"/>
    <x v="2"/>
    <x v="6"/>
    <x v="0"/>
    <x v="0"/>
    <n v="1.2415565763909628"/>
  </r>
  <r>
    <x v="0"/>
    <x v="0"/>
    <x v="0"/>
    <s v="GERMANY"/>
    <x v="6"/>
    <s v="DE4-W_A"/>
    <s v="GNR_ST_NGAS_EXT_E-36"/>
    <x v="0"/>
    <x v="2"/>
    <x v="6"/>
    <x v="1"/>
    <x v="0"/>
    <n v="-1.2415565763909628"/>
  </r>
  <r>
    <x v="0"/>
    <x v="0"/>
    <x v="0"/>
    <s v="GERMANY"/>
    <x v="6"/>
    <s v="DE4-W_A"/>
    <s v="GNR_ST_NGAS_EXT_E-36"/>
    <x v="0"/>
    <x v="0"/>
    <x v="6"/>
    <x v="0"/>
    <x v="0"/>
    <n v="0.74"/>
  </r>
  <r>
    <x v="0"/>
    <x v="0"/>
    <x v="0"/>
    <s v="GERMANY"/>
    <x v="6"/>
    <s v="DE4-W_A"/>
    <s v="GNR_ST_NGAS_EXT_E-36"/>
    <x v="0"/>
    <x v="0"/>
    <x v="6"/>
    <x v="1"/>
    <x v="0"/>
    <n v="-0.74"/>
  </r>
  <r>
    <x v="0"/>
    <x v="0"/>
    <x v="0"/>
    <s v="GERMANY"/>
    <x v="6"/>
    <s v="DE4-W_A"/>
    <s v="GNR_ST_NGAS_EXT_E-40"/>
    <x v="0"/>
    <x v="2"/>
    <x v="6"/>
    <x v="0"/>
    <x v="0"/>
    <n v="0.77161063443541056"/>
  </r>
  <r>
    <x v="0"/>
    <x v="0"/>
    <x v="0"/>
    <s v="GERMANY"/>
    <x v="6"/>
    <s v="DE4-W_A"/>
    <s v="GNR_ST_NGAS_EXT_E-40"/>
    <x v="0"/>
    <x v="2"/>
    <x v="6"/>
    <x v="1"/>
    <x v="0"/>
    <n v="-0.77161063443541056"/>
  </r>
  <r>
    <x v="0"/>
    <x v="0"/>
    <x v="0"/>
    <s v="GERMANY"/>
    <x v="6"/>
    <s v="DE4-W_A"/>
    <s v="GNR_ST_NGAS_EXT_E-40"/>
    <x v="0"/>
    <x v="0"/>
    <x v="6"/>
    <x v="0"/>
    <x v="0"/>
    <n v="0.45989999999999998"/>
  </r>
  <r>
    <x v="0"/>
    <x v="0"/>
    <x v="0"/>
    <s v="GERMANY"/>
    <x v="6"/>
    <s v="DE4-W_A"/>
    <s v="GNR_ST_NGAS_EXT_E-40"/>
    <x v="0"/>
    <x v="0"/>
    <x v="6"/>
    <x v="1"/>
    <x v="0"/>
    <n v="-0.45989999999999998"/>
  </r>
  <r>
    <x v="0"/>
    <x v="0"/>
    <x v="0"/>
    <s v="GERMANY"/>
    <x v="6"/>
    <s v="DE4-W_A"/>
    <s v="GNR_ST_NUCL_CND_E-33"/>
    <x v="11"/>
    <x v="0"/>
    <x v="0"/>
    <x v="0"/>
    <x v="0"/>
    <n v="2.6960000000000002"/>
  </r>
  <r>
    <x v="0"/>
    <x v="0"/>
    <x v="0"/>
    <s v="GERMANY"/>
    <x v="6"/>
    <s v="DE4-W_A"/>
    <s v="GNR_ST_NUCL_CND_E-33"/>
    <x v="11"/>
    <x v="0"/>
    <x v="0"/>
    <x v="1"/>
    <x v="0"/>
    <n v="-2.6960000000000002"/>
  </r>
  <r>
    <x v="0"/>
    <x v="0"/>
    <x v="0"/>
    <s v="GERMANY"/>
    <x v="6"/>
    <s v="DE4-W_A"/>
    <s v="GNR_ELYS_ELEC_AEC_Y-2020"/>
    <x v="2"/>
    <x v="1"/>
    <x v="3"/>
    <x v="0"/>
    <x v="0"/>
    <n v="4.1020000000000003"/>
  </r>
  <r>
    <x v="0"/>
    <x v="0"/>
    <x v="0"/>
    <s v="GERMANY"/>
    <x v="6"/>
    <s v="DE4-W_A"/>
    <s v="GNR_ELYS_ELEC_AEC_Y-2020"/>
    <x v="2"/>
    <x v="1"/>
    <x v="3"/>
    <x v="1"/>
    <x v="0"/>
    <n v="-1.0250000000000015"/>
  </r>
  <r>
    <x v="0"/>
    <x v="0"/>
    <x v="0"/>
    <s v="GERMANY"/>
    <x v="6"/>
    <s v="DE4-W_A"/>
    <s v="GNR_H2S_H2-CAVERN_Y-2050"/>
    <x v="6"/>
    <x v="1"/>
    <x v="7"/>
    <x v="2"/>
    <x v="0"/>
    <n v="5.630630725059814"/>
  </r>
  <r>
    <x v="0"/>
    <x v="0"/>
    <x v="0"/>
    <s v="GERMANY"/>
    <x v="6"/>
    <s v="DE4-W_A"/>
    <s v="GNR_STEAM-REFORMING_E-70_Y-2020"/>
    <x v="0"/>
    <x v="1"/>
    <x v="4"/>
    <x v="0"/>
    <x v="0"/>
    <n v="2.531389806463693"/>
  </r>
  <r>
    <x v="0"/>
    <x v="0"/>
    <x v="0"/>
    <s v="GERMANY"/>
    <x v="6"/>
    <s v="DE4-W_A"/>
    <s v="GNR_STEAM-REFORMING_E-70_Y-2020"/>
    <x v="0"/>
    <x v="1"/>
    <x v="4"/>
    <x v="2"/>
    <x v="0"/>
    <n v="-3.1832314562052488E-16"/>
  </r>
  <r>
    <x v="0"/>
    <x v="0"/>
    <x v="0"/>
    <s v="GERMANY"/>
    <x v="6"/>
    <s v="DE4-W_A"/>
    <s v="GNR_STEAM-REFORMING_E-70_Y-2020"/>
    <x v="0"/>
    <x v="1"/>
    <x v="4"/>
    <x v="1"/>
    <x v="0"/>
    <n v="-2.5313898064636926"/>
  </r>
  <r>
    <x v="0"/>
    <x v="0"/>
    <x v="0"/>
    <s v="GERMANY"/>
    <x v="6"/>
    <s v="DE00_A"/>
    <s v="GNR_PV_SUN"/>
    <x v="8"/>
    <x v="0"/>
    <x v="9"/>
    <x v="0"/>
    <x v="0"/>
    <n v="41.962900000000005"/>
  </r>
  <r>
    <x v="0"/>
    <x v="0"/>
    <x v="0"/>
    <s v="GERMANY"/>
    <x v="6"/>
    <s v="DE00_A"/>
    <s v="GNR_PV_SUN"/>
    <x v="8"/>
    <x v="0"/>
    <x v="9"/>
    <x v="1"/>
    <x v="0"/>
    <n v="-41.962900000000005"/>
  </r>
  <r>
    <x v="0"/>
    <x v="0"/>
    <x v="0"/>
    <s v="GERMANY"/>
    <x v="6"/>
    <s v="DE00_A"/>
    <s v="GNR_WT_WIND_OFF"/>
    <x v="3"/>
    <x v="0"/>
    <x v="10"/>
    <x v="0"/>
    <x v="0"/>
    <n v="9.3972999999999995"/>
  </r>
  <r>
    <x v="0"/>
    <x v="0"/>
    <x v="0"/>
    <s v="GERMANY"/>
    <x v="6"/>
    <s v="DE00_A"/>
    <s v="GNR_WT_WIND_OFF"/>
    <x v="3"/>
    <x v="0"/>
    <x v="10"/>
    <x v="1"/>
    <x v="0"/>
    <n v="-9.3972999999999995"/>
  </r>
  <r>
    <x v="0"/>
    <x v="0"/>
    <x v="0"/>
    <s v="GERMANY"/>
    <x v="6"/>
    <s v="DE00_A"/>
    <s v="GNR_WT_WIND_ONS_RG1"/>
    <x v="3"/>
    <x v="0"/>
    <x v="5"/>
    <x v="0"/>
    <x v="0"/>
    <n v="10.763824946000002"/>
  </r>
  <r>
    <x v="0"/>
    <x v="0"/>
    <x v="0"/>
    <s v="GERMANY"/>
    <x v="6"/>
    <s v="DE00_A"/>
    <s v="GNR_WT_WIND_ONS_RG1"/>
    <x v="3"/>
    <x v="0"/>
    <x v="5"/>
    <x v="1"/>
    <x v="0"/>
    <n v="-10.763824946000002"/>
  </r>
  <r>
    <x v="0"/>
    <x v="0"/>
    <x v="0"/>
    <s v="GERMANY"/>
    <x v="6"/>
    <s v="DE00_A"/>
    <s v="GNR_WT_WIND_ONS_RG2"/>
    <x v="3"/>
    <x v="0"/>
    <x v="5"/>
    <x v="0"/>
    <x v="0"/>
    <n v="29.044389956"/>
  </r>
  <r>
    <x v="0"/>
    <x v="0"/>
    <x v="0"/>
    <s v="GERMANY"/>
    <x v="6"/>
    <s v="DE00_A"/>
    <s v="GNR_WT_WIND_ONS_RG2"/>
    <x v="3"/>
    <x v="0"/>
    <x v="5"/>
    <x v="1"/>
    <x v="0"/>
    <n v="-29.044389956"/>
  </r>
  <r>
    <x v="0"/>
    <x v="0"/>
    <x v="0"/>
    <s v="GERMANY"/>
    <x v="6"/>
    <s v="DE00_A"/>
    <s v="GNR_WT_WIND_ONS_RG3"/>
    <x v="3"/>
    <x v="0"/>
    <x v="5"/>
    <x v="0"/>
    <x v="0"/>
    <n v="10.552863769"/>
  </r>
  <r>
    <x v="0"/>
    <x v="0"/>
    <x v="0"/>
    <s v="GERMANY"/>
    <x v="6"/>
    <s v="DE00_A"/>
    <s v="GNR_WT_WIND_ONS_RG3"/>
    <x v="3"/>
    <x v="0"/>
    <x v="5"/>
    <x v="1"/>
    <x v="0"/>
    <n v="-10.552863768999998"/>
  </r>
  <r>
    <x v="0"/>
    <x v="0"/>
    <x v="0"/>
    <s v="GERMANY"/>
    <x v="6"/>
    <s v="DE00_A"/>
    <s v="GNR_WT_ONS-2050"/>
    <x v="3"/>
    <x v="0"/>
    <x v="5"/>
    <x v="2"/>
    <x v="0"/>
    <n v="98.69999999999996"/>
  </r>
  <r>
    <x v="0"/>
    <x v="0"/>
    <x v="0"/>
    <s v="GERMANY"/>
    <x v="6"/>
    <s v="DE00_A"/>
    <s v="GNR_PV-2050"/>
    <x v="8"/>
    <x v="0"/>
    <x v="9"/>
    <x v="2"/>
    <x v="0"/>
    <n v="7.3706268008608165"/>
  </r>
  <r>
    <x v="0"/>
    <x v="0"/>
    <x v="0"/>
    <s v="NETHERLANDS"/>
    <x v="7"/>
    <s v="NL_A"/>
    <s v="GNR_CC_NGAS_CND_E-47"/>
    <x v="0"/>
    <x v="0"/>
    <x v="0"/>
    <x v="0"/>
    <x v="0"/>
    <n v="10.734"/>
  </r>
  <r>
    <x v="0"/>
    <x v="0"/>
    <x v="0"/>
    <s v="NETHERLANDS"/>
    <x v="7"/>
    <s v="NL_A"/>
    <s v="GNR_CC_NGAS_CND_E-47"/>
    <x v="0"/>
    <x v="0"/>
    <x v="0"/>
    <x v="1"/>
    <x v="0"/>
    <n v="-10.734"/>
  </r>
  <r>
    <x v="0"/>
    <x v="0"/>
    <x v="0"/>
    <s v="NETHERLANDS"/>
    <x v="7"/>
    <s v="NL_A"/>
    <s v="GNR_ROR_WTR"/>
    <x v="1"/>
    <x v="0"/>
    <x v="2"/>
    <x v="0"/>
    <x v="0"/>
    <n v="3.7999999999999999E-2"/>
  </r>
  <r>
    <x v="0"/>
    <x v="0"/>
    <x v="0"/>
    <s v="NETHERLANDS"/>
    <x v="7"/>
    <s v="NL_A"/>
    <s v="GNR_ST_COAL_CND_E-40"/>
    <x v="5"/>
    <x v="0"/>
    <x v="0"/>
    <x v="0"/>
    <x v="0"/>
    <n v="5.6580000000000004"/>
  </r>
  <r>
    <x v="0"/>
    <x v="0"/>
    <x v="0"/>
    <s v="NETHERLANDS"/>
    <x v="7"/>
    <s v="NL_A"/>
    <s v="GNR_ST_COAL_CND_E-40"/>
    <x v="5"/>
    <x v="0"/>
    <x v="0"/>
    <x v="1"/>
    <x v="0"/>
    <n v="-5.6580000000000004"/>
  </r>
  <r>
    <x v="0"/>
    <x v="0"/>
    <x v="0"/>
    <s v="NETHERLANDS"/>
    <x v="7"/>
    <s v="NL_A"/>
    <s v="GNR_ST_MSW_CND_E-20"/>
    <x v="17"/>
    <x v="0"/>
    <x v="0"/>
    <x v="0"/>
    <x v="0"/>
    <n v="0.75800000000000001"/>
  </r>
  <r>
    <x v="0"/>
    <x v="0"/>
    <x v="0"/>
    <s v="NETHERLANDS"/>
    <x v="7"/>
    <s v="NL_A"/>
    <s v="GNR_ST_MSW_CND_E-20"/>
    <x v="17"/>
    <x v="0"/>
    <x v="0"/>
    <x v="1"/>
    <x v="0"/>
    <n v="-0.75800000000000001"/>
  </r>
  <r>
    <x v="0"/>
    <x v="0"/>
    <x v="0"/>
    <s v="NETHERLANDS"/>
    <x v="7"/>
    <s v="NL_A"/>
    <s v="GNR_ST_NUCL_CND_E-33"/>
    <x v="11"/>
    <x v="0"/>
    <x v="0"/>
    <x v="0"/>
    <x v="0"/>
    <n v="0.48499999999999999"/>
  </r>
  <r>
    <x v="0"/>
    <x v="0"/>
    <x v="0"/>
    <s v="NETHERLANDS"/>
    <x v="7"/>
    <s v="NL_A"/>
    <s v="GNR_ST_NUCL_CND_E-33"/>
    <x v="11"/>
    <x v="0"/>
    <x v="0"/>
    <x v="1"/>
    <x v="0"/>
    <n v="-0.48499999999999999"/>
  </r>
  <r>
    <x v="0"/>
    <x v="0"/>
    <x v="0"/>
    <s v="NETHERLANDS"/>
    <x v="7"/>
    <s v="NL_A"/>
    <s v="GNR_ST_WOOD_CND_E-50"/>
    <x v="18"/>
    <x v="0"/>
    <x v="0"/>
    <x v="0"/>
    <x v="0"/>
    <n v="0.4"/>
  </r>
  <r>
    <x v="0"/>
    <x v="0"/>
    <x v="0"/>
    <s v="NETHERLANDS"/>
    <x v="7"/>
    <s v="NL_A"/>
    <s v="GNR_ST_WOOD_CND_E-50"/>
    <x v="18"/>
    <x v="0"/>
    <x v="0"/>
    <x v="1"/>
    <x v="0"/>
    <n v="-0.4"/>
  </r>
  <r>
    <x v="0"/>
    <x v="0"/>
    <x v="0"/>
    <s v="NETHERLANDS"/>
    <x v="7"/>
    <s v="NL_A"/>
    <s v="GNR_ELYS_ELEC_AEC_Y-2020"/>
    <x v="2"/>
    <x v="1"/>
    <x v="3"/>
    <x v="0"/>
    <x v="0"/>
    <n v="5.1660000000000004"/>
  </r>
  <r>
    <x v="0"/>
    <x v="0"/>
    <x v="0"/>
    <s v="NETHERLANDS"/>
    <x v="7"/>
    <s v="NL_A"/>
    <s v="GNR_ELYS_ELEC_AEC_Y-2020"/>
    <x v="2"/>
    <x v="1"/>
    <x v="3"/>
    <x v="1"/>
    <x v="0"/>
    <n v="-1.6659999999999981"/>
  </r>
  <r>
    <x v="0"/>
    <x v="0"/>
    <x v="0"/>
    <s v="NETHERLANDS"/>
    <x v="7"/>
    <s v="NL_A"/>
    <s v="GNR_H2S_H2-CAVERN_Y-2050"/>
    <x v="6"/>
    <x v="1"/>
    <x v="7"/>
    <x v="2"/>
    <x v="0"/>
    <n v="19.585912307337864"/>
  </r>
  <r>
    <x v="0"/>
    <x v="0"/>
    <x v="0"/>
    <s v="NETHERLANDS"/>
    <x v="7"/>
    <s v="NL_A"/>
    <s v="GNR_STEAM-REFORMING_E-70_Y-2020"/>
    <x v="0"/>
    <x v="1"/>
    <x v="4"/>
    <x v="0"/>
    <x v="0"/>
    <n v="1.0110856733936839"/>
  </r>
  <r>
    <x v="0"/>
    <x v="0"/>
    <x v="0"/>
    <s v="NETHERLANDS"/>
    <x v="7"/>
    <s v="NL_A"/>
    <s v="GNR_STEAM-REFORMING_E-70_Y-2020"/>
    <x v="0"/>
    <x v="1"/>
    <x v="4"/>
    <x v="1"/>
    <x v="0"/>
    <n v="-1.0110856733936839"/>
  </r>
  <r>
    <x v="0"/>
    <x v="0"/>
    <x v="0"/>
    <s v="NETHERLANDS"/>
    <x v="7"/>
    <s v="NL_IND-MT-DH"/>
    <s v="GNR_CC_NGAS_EXT_E-61"/>
    <x v="0"/>
    <x v="2"/>
    <x v="6"/>
    <x v="0"/>
    <x v="0"/>
    <n v="4.7076923076923078"/>
  </r>
  <r>
    <x v="0"/>
    <x v="0"/>
    <x v="0"/>
    <s v="NETHERLANDS"/>
    <x v="7"/>
    <s v="NL_IND-MT-DH"/>
    <s v="GNR_CC_NGAS_EXT_E-61"/>
    <x v="0"/>
    <x v="2"/>
    <x v="6"/>
    <x v="1"/>
    <x v="0"/>
    <n v="-4.7076923076923078"/>
  </r>
  <r>
    <x v="0"/>
    <x v="0"/>
    <x v="0"/>
    <s v="NETHERLANDS"/>
    <x v="7"/>
    <s v="NL_IND-MT-DH"/>
    <s v="GNR_CC_NGAS_EXT_E-61"/>
    <x v="0"/>
    <x v="0"/>
    <x v="6"/>
    <x v="0"/>
    <x v="0"/>
    <n v="9.18"/>
  </r>
  <r>
    <x v="0"/>
    <x v="0"/>
    <x v="0"/>
    <s v="NETHERLANDS"/>
    <x v="7"/>
    <s v="NL_IND-MT-DH"/>
    <s v="GNR_CC_NGAS_EXT_E-61"/>
    <x v="0"/>
    <x v="0"/>
    <x v="6"/>
    <x v="1"/>
    <x v="0"/>
    <n v="-9.18"/>
  </r>
  <r>
    <x v="0"/>
    <x v="0"/>
    <x v="0"/>
    <s v="NETHERLANDS"/>
    <x v="7"/>
    <s v="NL00_A"/>
    <s v="GNR_PV_SUN"/>
    <x v="8"/>
    <x v="0"/>
    <x v="9"/>
    <x v="0"/>
    <x v="0"/>
    <n v="3.9370000000000003"/>
  </r>
  <r>
    <x v="0"/>
    <x v="0"/>
    <x v="0"/>
    <s v="NETHERLANDS"/>
    <x v="7"/>
    <s v="NL00_A"/>
    <s v="GNR_PV_SUN"/>
    <x v="8"/>
    <x v="0"/>
    <x v="9"/>
    <x v="1"/>
    <x v="0"/>
    <n v="-3.9370000000000003"/>
  </r>
  <r>
    <x v="0"/>
    <x v="0"/>
    <x v="0"/>
    <s v="NETHERLANDS"/>
    <x v="7"/>
    <s v="NL00_A"/>
    <s v="GNR_WT_WIND_OFF"/>
    <x v="3"/>
    <x v="0"/>
    <x v="10"/>
    <x v="0"/>
    <x v="0"/>
    <n v="2.048"/>
  </r>
  <r>
    <x v="0"/>
    <x v="0"/>
    <x v="0"/>
    <s v="NETHERLANDS"/>
    <x v="7"/>
    <s v="NL00_A"/>
    <s v="GNR_WT_WIND_OFF"/>
    <x v="3"/>
    <x v="0"/>
    <x v="10"/>
    <x v="1"/>
    <x v="0"/>
    <n v="-1.728"/>
  </r>
  <r>
    <x v="0"/>
    <x v="0"/>
    <x v="0"/>
    <s v="NETHERLANDS"/>
    <x v="7"/>
    <s v="NL00_A"/>
    <s v="GNR_WT_WIND_ONS_RG1"/>
    <x v="3"/>
    <x v="0"/>
    <x v="5"/>
    <x v="0"/>
    <x v="0"/>
    <n v="0.90587609999999996"/>
  </r>
  <r>
    <x v="0"/>
    <x v="0"/>
    <x v="0"/>
    <s v="NETHERLANDS"/>
    <x v="7"/>
    <s v="NL00_A"/>
    <s v="GNR_WT_WIND_ONS_RG1"/>
    <x v="3"/>
    <x v="0"/>
    <x v="5"/>
    <x v="1"/>
    <x v="0"/>
    <n v="-0.90587609999999996"/>
  </r>
  <r>
    <x v="0"/>
    <x v="0"/>
    <x v="0"/>
    <s v="NETHERLANDS"/>
    <x v="7"/>
    <s v="NL00_A"/>
    <s v="GNR_WT_WIND_ONS_RG2"/>
    <x v="3"/>
    <x v="0"/>
    <x v="5"/>
    <x v="0"/>
    <x v="0"/>
    <n v="2.3026644000000003"/>
  </r>
  <r>
    <x v="0"/>
    <x v="0"/>
    <x v="0"/>
    <s v="NETHERLANDS"/>
    <x v="7"/>
    <s v="NL00_A"/>
    <s v="GNR_WT_WIND_ONS_RG2"/>
    <x v="3"/>
    <x v="0"/>
    <x v="5"/>
    <x v="1"/>
    <x v="0"/>
    <n v="-2.3026644000000007"/>
  </r>
  <r>
    <x v="0"/>
    <x v="0"/>
    <x v="0"/>
    <s v="NETHERLANDS"/>
    <x v="7"/>
    <s v="NL00_A"/>
    <s v="GNR_WT_WIND_ONS_RG3"/>
    <x v="3"/>
    <x v="0"/>
    <x v="5"/>
    <x v="0"/>
    <x v="0"/>
    <n v="0.46045950000000002"/>
  </r>
  <r>
    <x v="0"/>
    <x v="0"/>
    <x v="0"/>
    <s v="NETHERLANDS"/>
    <x v="7"/>
    <s v="NL00_A"/>
    <s v="GNR_WT_WIND_ONS_RG3"/>
    <x v="3"/>
    <x v="0"/>
    <x v="5"/>
    <x v="1"/>
    <x v="0"/>
    <n v="-0.46045950000000008"/>
  </r>
  <r>
    <x v="0"/>
    <x v="0"/>
    <x v="0"/>
    <s v="NETHERLANDS"/>
    <x v="7"/>
    <s v="NL00_A"/>
    <s v="GNR_WT_ONS-2050"/>
    <x v="3"/>
    <x v="0"/>
    <x v="5"/>
    <x v="2"/>
    <x v="0"/>
    <n v="10.3"/>
  </r>
  <r>
    <x v="0"/>
    <x v="0"/>
    <x v="0"/>
    <s v="NETHERLANDS"/>
    <x v="7"/>
    <s v="NL00_A"/>
    <s v="GNR_PV-2050"/>
    <x v="8"/>
    <x v="0"/>
    <x v="9"/>
    <x v="2"/>
    <x v="0"/>
    <n v="34.664537800122808"/>
  </r>
  <r>
    <x v="0"/>
    <x v="0"/>
    <x v="0"/>
    <s v="SWEDEN"/>
    <x v="8"/>
    <s v="SE1A"/>
    <s v="GNR_RES_WTR_NOPMP_MC-01"/>
    <x v="1"/>
    <x v="0"/>
    <x v="1"/>
    <x v="0"/>
    <x v="0"/>
    <n v="0.40550000000000003"/>
  </r>
  <r>
    <x v="0"/>
    <x v="0"/>
    <x v="0"/>
    <s v="SWEDEN"/>
    <x v="8"/>
    <s v="SE1A"/>
    <s v="GNR_RES_WTR_NOPMP_MC-02"/>
    <x v="1"/>
    <x v="0"/>
    <x v="1"/>
    <x v="0"/>
    <x v="0"/>
    <n v="0.40550000000000003"/>
  </r>
  <r>
    <x v="0"/>
    <x v="0"/>
    <x v="0"/>
    <s v="SWEDEN"/>
    <x v="8"/>
    <s v="SE1A"/>
    <s v="GNR_RES_WTR_NOPMP_MC-03"/>
    <x v="1"/>
    <x v="0"/>
    <x v="1"/>
    <x v="0"/>
    <x v="0"/>
    <n v="0.40550000000000003"/>
  </r>
  <r>
    <x v="0"/>
    <x v="0"/>
    <x v="0"/>
    <s v="SWEDEN"/>
    <x v="8"/>
    <s v="SE1A"/>
    <s v="GNR_RES_WTR_NOPMP_MC-04"/>
    <x v="1"/>
    <x v="0"/>
    <x v="1"/>
    <x v="0"/>
    <x v="0"/>
    <n v="0.40550000000000003"/>
  </r>
  <r>
    <x v="0"/>
    <x v="0"/>
    <x v="0"/>
    <s v="SWEDEN"/>
    <x v="8"/>
    <s v="SE1A"/>
    <s v="GNR_RES_WTR_NOPMP_MC-05"/>
    <x v="1"/>
    <x v="0"/>
    <x v="1"/>
    <x v="0"/>
    <x v="0"/>
    <n v="0.40550000000000003"/>
  </r>
  <r>
    <x v="0"/>
    <x v="0"/>
    <x v="0"/>
    <s v="SWEDEN"/>
    <x v="8"/>
    <s v="SE1A"/>
    <s v="GNR_RES_WTR_NOPMP_MC-06"/>
    <x v="1"/>
    <x v="0"/>
    <x v="1"/>
    <x v="0"/>
    <x v="0"/>
    <n v="0.40550000000000003"/>
  </r>
  <r>
    <x v="0"/>
    <x v="0"/>
    <x v="0"/>
    <s v="SWEDEN"/>
    <x v="8"/>
    <s v="SE1A"/>
    <s v="GNR_RES_WTR_NOPMP_MC-07"/>
    <x v="1"/>
    <x v="0"/>
    <x v="1"/>
    <x v="0"/>
    <x v="0"/>
    <n v="0.40550000000000003"/>
  </r>
  <r>
    <x v="0"/>
    <x v="0"/>
    <x v="0"/>
    <s v="SWEDEN"/>
    <x v="8"/>
    <s v="SE1A"/>
    <s v="GNR_RES_WTR_NOPMP_MC-08"/>
    <x v="1"/>
    <x v="0"/>
    <x v="1"/>
    <x v="0"/>
    <x v="0"/>
    <n v="0.40550000000000003"/>
  </r>
  <r>
    <x v="0"/>
    <x v="0"/>
    <x v="0"/>
    <s v="SWEDEN"/>
    <x v="8"/>
    <s v="SE1A"/>
    <s v="GNR_RES_WTR_NOPMP_MC-09"/>
    <x v="1"/>
    <x v="0"/>
    <x v="1"/>
    <x v="0"/>
    <x v="0"/>
    <n v="0.40550000000000003"/>
  </r>
  <r>
    <x v="0"/>
    <x v="0"/>
    <x v="0"/>
    <s v="SWEDEN"/>
    <x v="8"/>
    <s v="SE1A"/>
    <s v="GNR_RES_WTR_NOPMP_MC-10"/>
    <x v="1"/>
    <x v="0"/>
    <x v="1"/>
    <x v="0"/>
    <x v="0"/>
    <n v="0.40550000000000003"/>
  </r>
  <r>
    <x v="0"/>
    <x v="0"/>
    <x v="0"/>
    <s v="SWEDEN"/>
    <x v="8"/>
    <s v="SE1A"/>
    <s v="GNR_ROR_WTR"/>
    <x v="1"/>
    <x v="0"/>
    <x v="2"/>
    <x v="0"/>
    <x v="0"/>
    <n v="1.2282000000000002"/>
  </r>
  <r>
    <x v="0"/>
    <x v="0"/>
    <x v="0"/>
    <s v="SWEDEN"/>
    <x v="8"/>
    <s v="SE1_medium"/>
    <s v="LULEKRAFT_ST_BFG_EXT"/>
    <x v="19"/>
    <x v="2"/>
    <x v="6"/>
    <x v="0"/>
    <x v="0"/>
    <n v="0.17321428571428571"/>
  </r>
  <r>
    <x v="0"/>
    <x v="0"/>
    <x v="0"/>
    <s v="SWEDEN"/>
    <x v="8"/>
    <s v="SE1_medium"/>
    <s v="LULEKRAFT_ST_BFG_EXT"/>
    <x v="19"/>
    <x v="2"/>
    <x v="6"/>
    <x v="1"/>
    <x v="0"/>
    <n v="-0.17321428571428571"/>
  </r>
  <r>
    <x v="0"/>
    <x v="0"/>
    <x v="0"/>
    <s v="SWEDEN"/>
    <x v="8"/>
    <s v="SE1_medium"/>
    <s v="LULEKRAFT_ST_BFG_EXT"/>
    <x v="19"/>
    <x v="0"/>
    <x v="6"/>
    <x v="0"/>
    <x v="0"/>
    <n v="9.7000000000000003E-2"/>
  </r>
  <r>
    <x v="0"/>
    <x v="0"/>
    <x v="0"/>
    <s v="SWEDEN"/>
    <x v="8"/>
    <s v="SE1_medium"/>
    <s v="LULEKRAFT_ST_BFG_EXT"/>
    <x v="19"/>
    <x v="0"/>
    <x v="6"/>
    <x v="1"/>
    <x v="0"/>
    <n v="-9.7000000000000003E-2"/>
  </r>
  <r>
    <x v="0"/>
    <x v="0"/>
    <x v="0"/>
    <s v="SWEDEN"/>
    <x v="8"/>
    <s v="SE1_medium"/>
    <s v="GNR_ELYS_ELEC_AEC_Y-2020"/>
    <x v="2"/>
    <x v="1"/>
    <x v="3"/>
    <x v="0"/>
    <x v="0"/>
    <n v="0.56399999999999939"/>
  </r>
  <r>
    <x v="0"/>
    <x v="0"/>
    <x v="0"/>
    <s v="SWEDEN"/>
    <x v="8"/>
    <s v="SE1_medium"/>
    <s v="GNR_ELYS_ELEC_AEC_Y-2020"/>
    <x v="2"/>
    <x v="1"/>
    <x v="3"/>
    <x v="1"/>
    <x v="0"/>
    <n v="-0.14099999999999968"/>
  </r>
  <r>
    <x v="0"/>
    <x v="0"/>
    <x v="0"/>
    <s v="SWEDEN"/>
    <x v="8"/>
    <s v="SE1_medium"/>
    <s v="GNR_STEAM-REFORMING_E-70_Y-2020"/>
    <x v="0"/>
    <x v="1"/>
    <x v="4"/>
    <x v="0"/>
    <x v="0"/>
    <n v="0.10461136476058169"/>
  </r>
  <r>
    <x v="0"/>
    <x v="0"/>
    <x v="0"/>
    <s v="SWEDEN"/>
    <x v="8"/>
    <s v="SE1_medium"/>
    <s v="GNR_STEAM-REFORMING_E-70_Y-2020"/>
    <x v="0"/>
    <x v="1"/>
    <x v="4"/>
    <x v="1"/>
    <x v="0"/>
    <n v="-0.10461136476058169"/>
  </r>
  <r>
    <x v="0"/>
    <x v="0"/>
    <x v="0"/>
    <s v="SWEDEN"/>
    <x v="8"/>
    <s v="SE1_small"/>
    <s v="GNR_ENG_BGAS_CND_E-35"/>
    <x v="7"/>
    <x v="0"/>
    <x v="0"/>
    <x v="0"/>
    <x v="0"/>
    <n v="6.3359999999999901E-3"/>
  </r>
  <r>
    <x v="0"/>
    <x v="0"/>
    <x v="0"/>
    <s v="SWEDEN"/>
    <x v="8"/>
    <s v="SE1_small"/>
    <s v="GNR_ENG_BGAS_CND_E-35"/>
    <x v="7"/>
    <x v="0"/>
    <x v="0"/>
    <x v="1"/>
    <x v="0"/>
    <n v="-6.3359999999999901E-3"/>
  </r>
  <r>
    <x v="0"/>
    <x v="0"/>
    <x v="0"/>
    <s v="SWEDEN"/>
    <x v="8"/>
    <s v="SE01_A"/>
    <s v="GNR_WT_WIND_ONS_RG2"/>
    <x v="3"/>
    <x v="0"/>
    <x v="5"/>
    <x v="0"/>
    <x v="0"/>
    <n v="1.3161213"/>
  </r>
  <r>
    <x v="0"/>
    <x v="0"/>
    <x v="0"/>
    <s v="SWEDEN"/>
    <x v="8"/>
    <s v="SE01_A"/>
    <s v="GNR_WT_WIND_ONS_RG2"/>
    <x v="3"/>
    <x v="0"/>
    <x v="5"/>
    <x v="1"/>
    <x v="0"/>
    <n v="-1.3161213000000003"/>
  </r>
  <r>
    <x v="0"/>
    <x v="0"/>
    <x v="0"/>
    <s v="SWEDEN"/>
    <x v="8"/>
    <s v="SE01_A"/>
    <s v="GNR_WT_WIND_ONS_RG3"/>
    <x v="3"/>
    <x v="0"/>
    <x v="5"/>
    <x v="0"/>
    <x v="0"/>
    <n v="0.67287869999999994"/>
  </r>
  <r>
    <x v="0"/>
    <x v="0"/>
    <x v="0"/>
    <s v="SWEDEN"/>
    <x v="8"/>
    <s v="SE01_A"/>
    <s v="GNR_WT_WIND_ONS_RG3"/>
    <x v="3"/>
    <x v="0"/>
    <x v="5"/>
    <x v="1"/>
    <x v="0"/>
    <n v="-0.67287869999999994"/>
  </r>
  <r>
    <x v="0"/>
    <x v="0"/>
    <x v="0"/>
    <s v="SWEDEN"/>
    <x v="9"/>
    <s v="SE2A"/>
    <s v="GNR_RES_WTR_NOPMP_MC-01"/>
    <x v="1"/>
    <x v="0"/>
    <x v="1"/>
    <x v="0"/>
    <x v="0"/>
    <n v="0.407485221835787"/>
  </r>
  <r>
    <x v="0"/>
    <x v="0"/>
    <x v="0"/>
    <s v="SWEDEN"/>
    <x v="9"/>
    <s v="SE2A"/>
    <s v="GNR_RES_WTR_NOPMP_MC-02"/>
    <x v="1"/>
    <x v="0"/>
    <x v="1"/>
    <x v="0"/>
    <x v="0"/>
    <n v="0.51548522183578704"/>
  </r>
  <r>
    <x v="0"/>
    <x v="0"/>
    <x v="0"/>
    <s v="SWEDEN"/>
    <x v="9"/>
    <s v="SE2A"/>
    <s v="GNR_RES_WTR_NOPMP_MC-03"/>
    <x v="1"/>
    <x v="0"/>
    <x v="1"/>
    <x v="0"/>
    <x v="0"/>
    <n v="0.51548522183578704"/>
  </r>
  <r>
    <x v="0"/>
    <x v="0"/>
    <x v="0"/>
    <s v="SWEDEN"/>
    <x v="9"/>
    <s v="SE2A"/>
    <s v="GNR_RES_WTR_NOPMP_MC-04"/>
    <x v="1"/>
    <x v="0"/>
    <x v="1"/>
    <x v="0"/>
    <x v="0"/>
    <n v="0.51548522183578704"/>
  </r>
  <r>
    <x v="0"/>
    <x v="0"/>
    <x v="0"/>
    <s v="SWEDEN"/>
    <x v="9"/>
    <s v="SE2A"/>
    <s v="GNR_RES_WTR_NOPMP_MC-05"/>
    <x v="1"/>
    <x v="0"/>
    <x v="1"/>
    <x v="0"/>
    <x v="0"/>
    <n v="0.51548522183578704"/>
  </r>
  <r>
    <x v="0"/>
    <x v="0"/>
    <x v="0"/>
    <s v="SWEDEN"/>
    <x v="9"/>
    <s v="SE2A"/>
    <s v="GNR_RES_WTR_NOPMP_MC-06"/>
    <x v="1"/>
    <x v="0"/>
    <x v="1"/>
    <x v="0"/>
    <x v="0"/>
    <n v="0.51548522183578704"/>
  </r>
  <r>
    <x v="0"/>
    <x v="0"/>
    <x v="0"/>
    <s v="SWEDEN"/>
    <x v="9"/>
    <s v="SE2A"/>
    <s v="GNR_RES_WTR_NOPMP_MC-07"/>
    <x v="1"/>
    <x v="0"/>
    <x v="1"/>
    <x v="0"/>
    <x v="0"/>
    <n v="0.51548522183578704"/>
  </r>
  <r>
    <x v="0"/>
    <x v="0"/>
    <x v="0"/>
    <s v="SWEDEN"/>
    <x v="9"/>
    <s v="SE2A"/>
    <s v="GNR_RES_WTR_NOPMP_MC-08"/>
    <x v="1"/>
    <x v="0"/>
    <x v="1"/>
    <x v="0"/>
    <x v="0"/>
    <n v="0.51548522183578704"/>
  </r>
  <r>
    <x v="0"/>
    <x v="0"/>
    <x v="0"/>
    <s v="SWEDEN"/>
    <x v="9"/>
    <s v="SE2A"/>
    <s v="GNR_RES_WTR_NOPMP_MC-09"/>
    <x v="1"/>
    <x v="0"/>
    <x v="1"/>
    <x v="0"/>
    <x v="0"/>
    <n v="0.51548522183578704"/>
  </r>
  <r>
    <x v="0"/>
    <x v="0"/>
    <x v="0"/>
    <s v="SWEDEN"/>
    <x v="9"/>
    <s v="SE2A"/>
    <s v="GNR_RES_WTR_NOPMP_MC-10"/>
    <x v="1"/>
    <x v="0"/>
    <x v="1"/>
    <x v="0"/>
    <x v="0"/>
    <n v="0.51548522183578704"/>
  </r>
  <r>
    <x v="0"/>
    <x v="0"/>
    <x v="0"/>
    <s v="SWEDEN"/>
    <x v="9"/>
    <s v="SE2A"/>
    <s v="GNR_RES_WTR_PMP_MC-01"/>
    <x v="1"/>
    <x v="0"/>
    <x v="1"/>
    <x v="0"/>
    <x v="0"/>
    <n v="0.108"/>
  </r>
  <r>
    <x v="0"/>
    <x v="0"/>
    <x v="0"/>
    <s v="SWEDEN"/>
    <x v="9"/>
    <s v="SE2A"/>
    <s v="GNR_ROR_WTR"/>
    <x v="1"/>
    <x v="0"/>
    <x v="2"/>
    <x v="0"/>
    <x v="0"/>
    <n v="2.9209877816421299"/>
  </r>
  <r>
    <x v="0"/>
    <x v="0"/>
    <x v="0"/>
    <s v="SWEDEN"/>
    <x v="9"/>
    <s v="SE2_medium"/>
    <s v="GNR_ENG_BGAS_CND_E-35"/>
    <x v="7"/>
    <x v="0"/>
    <x v="0"/>
    <x v="0"/>
    <x v="0"/>
    <n v="1.3000000000000001E-2"/>
  </r>
  <r>
    <x v="0"/>
    <x v="0"/>
    <x v="0"/>
    <s v="SWEDEN"/>
    <x v="9"/>
    <s v="SE2_medium"/>
    <s v="GNR_ENG_BGAS_CND_E-35"/>
    <x v="7"/>
    <x v="0"/>
    <x v="0"/>
    <x v="1"/>
    <x v="0"/>
    <n v="-1.3000000000000001E-2"/>
  </r>
  <r>
    <x v="0"/>
    <x v="0"/>
    <x v="0"/>
    <s v="SWEDEN"/>
    <x v="9"/>
    <s v="SE2_medium"/>
    <s v="GNR_ELYS_ELEC_AEC_Y-2020"/>
    <x v="2"/>
    <x v="1"/>
    <x v="3"/>
    <x v="0"/>
    <x v="0"/>
    <n v="0.32899999999999996"/>
  </r>
  <r>
    <x v="0"/>
    <x v="0"/>
    <x v="0"/>
    <s v="SWEDEN"/>
    <x v="9"/>
    <s v="SE2_medium"/>
    <s v="GNR_ELYS_ELEC_AEC_Y-2020"/>
    <x v="2"/>
    <x v="1"/>
    <x v="3"/>
    <x v="1"/>
    <x v="0"/>
    <n v="-8.2000000000000128E-2"/>
  </r>
  <r>
    <x v="0"/>
    <x v="0"/>
    <x v="0"/>
    <s v="SWEDEN"/>
    <x v="9"/>
    <s v="SE2_medium"/>
    <s v="GNR_ELYS_ELEC_AEC_Y-2050"/>
    <x v="2"/>
    <x v="1"/>
    <x v="3"/>
    <x v="2"/>
    <x v="0"/>
    <n v="0.8525167808774774"/>
  </r>
  <r>
    <x v="0"/>
    <x v="0"/>
    <x v="0"/>
    <s v="SWEDEN"/>
    <x v="9"/>
    <s v="SE2_medium"/>
    <s v="GNR_STEAM-REFORMING_E-70_Y-2020"/>
    <x v="0"/>
    <x v="1"/>
    <x v="4"/>
    <x v="0"/>
    <x v="0"/>
    <n v="0.18788526078142312"/>
  </r>
  <r>
    <x v="0"/>
    <x v="0"/>
    <x v="0"/>
    <s v="SWEDEN"/>
    <x v="9"/>
    <s v="SE2_medium"/>
    <s v="GNR_STEAM-REFORMING_E-70_Y-2020"/>
    <x v="0"/>
    <x v="1"/>
    <x v="4"/>
    <x v="1"/>
    <x v="0"/>
    <n v="-0.18788526078142312"/>
  </r>
  <r>
    <x v="0"/>
    <x v="0"/>
    <x v="0"/>
    <s v="SWEDEN"/>
    <x v="9"/>
    <s v="SE02_A"/>
    <s v="GNR_WT_WIND_ONS_RG1"/>
    <x v="3"/>
    <x v="0"/>
    <x v="5"/>
    <x v="0"/>
    <x v="0"/>
    <n v="6.8148000000000002E-3"/>
  </r>
  <r>
    <x v="0"/>
    <x v="0"/>
    <x v="0"/>
    <s v="SWEDEN"/>
    <x v="9"/>
    <s v="SE02_A"/>
    <s v="GNR_WT_WIND_ONS_RG1"/>
    <x v="3"/>
    <x v="0"/>
    <x v="5"/>
    <x v="1"/>
    <x v="0"/>
    <n v="-6.8148000000000019E-3"/>
  </r>
  <r>
    <x v="0"/>
    <x v="0"/>
    <x v="0"/>
    <s v="SWEDEN"/>
    <x v="9"/>
    <s v="SE02_A"/>
    <s v="GNR_WT_WIND_ONS_RG2"/>
    <x v="3"/>
    <x v="0"/>
    <x v="5"/>
    <x v="0"/>
    <x v="0"/>
    <n v="2.7777881999999998"/>
  </r>
  <r>
    <x v="0"/>
    <x v="0"/>
    <x v="0"/>
    <s v="SWEDEN"/>
    <x v="9"/>
    <s v="SE02_A"/>
    <s v="GNR_WT_WIND_ONS_RG2"/>
    <x v="3"/>
    <x v="0"/>
    <x v="5"/>
    <x v="1"/>
    <x v="0"/>
    <n v="-2.7777881999999994"/>
  </r>
  <r>
    <x v="0"/>
    <x v="0"/>
    <x v="0"/>
    <s v="SWEDEN"/>
    <x v="9"/>
    <s v="SE02_A"/>
    <s v="GNR_WT_WIND_ONS_RG3"/>
    <x v="3"/>
    <x v="0"/>
    <x v="5"/>
    <x v="0"/>
    <x v="0"/>
    <n v="1.0010184"/>
  </r>
  <r>
    <x v="0"/>
    <x v="0"/>
    <x v="0"/>
    <s v="SWEDEN"/>
    <x v="9"/>
    <s v="SE02_A"/>
    <s v="GNR_WT_WIND_ONS_RG3"/>
    <x v="3"/>
    <x v="0"/>
    <x v="5"/>
    <x v="1"/>
    <x v="0"/>
    <n v="-1.0010184"/>
  </r>
  <r>
    <x v="0"/>
    <x v="0"/>
    <x v="0"/>
    <s v="SWEDEN"/>
    <x v="9"/>
    <s v="SE02_A"/>
    <s v="GNR_WT_ONS-2050"/>
    <x v="3"/>
    <x v="0"/>
    <x v="5"/>
    <x v="2"/>
    <x v="0"/>
    <n v="11.036036036036021"/>
  </r>
  <r>
    <x v="0"/>
    <x v="0"/>
    <x v="0"/>
    <s v="SWEDEN"/>
    <x v="10"/>
    <s v="SE3A"/>
    <s v="GNR_ENG_LIGHTOIL_CND_E-39"/>
    <x v="4"/>
    <x v="0"/>
    <x v="0"/>
    <x v="0"/>
    <x v="0"/>
    <n v="3.5000000000000003E-2"/>
  </r>
  <r>
    <x v="0"/>
    <x v="0"/>
    <x v="0"/>
    <s v="SWEDEN"/>
    <x v="10"/>
    <s v="SE3A"/>
    <s v="GNR_ENG_LIGHTOIL_CND_E-39"/>
    <x v="4"/>
    <x v="0"/>
    <x v="0"/>
    <x v="1"/>
    <x v="0"/>
    <n v="-3.5000000000000003E-2"/>
  </r>
  <r>
    <x v="0"/>
    <x v="0"/>
    <x v="0"/>
    <s v="SWEDEN"/>
    <x v="10"/>
    <s v="SE3A"/>
    <s v="GNR_GT_LIGHTOIL_CND_E-24"/>
    <x v="4"/>
    <x v="0"/>
    <x v="0"/>
    <x v="0"/>
    <x v="0"/>
    <n v="0.86499999999999999"/>
  </r>
  <r>
    <x v="0"/>
    <x v="0"/>
    <x v="0"/>
    <s v="SWEDEN"/>
    <x v="10"/>
    <s v="SE3A"/>
    <s v="GNR_GT_LIGHTOIL_CND_E-24"/>
    <x v="4"/>
    <x v="0"/>
    <x v="0"/>
    <x v="1"/>
    <x v="0"/>
    <n v="-0.86499999999999999"/>
  </r>
  <r>
    <x v="0"/>
    <x v="0"/>
    <x v="0"/>
    <s v="SWEDEN"/>
    <x v="10"/>
    <s v="SE3A"/>
    <s v="GNR_RES_WTR_NOPMP_MC-01"/>
    <x v="1"/>
    <x v="0"/>
    <x v="1"/>
    <x v="0"/>
    <x v="0"/>
    <n v="0.13159999999999999"/>
  </r>
  <r>
    <x v="0"/>
    <x v="0"/>
    <x v="0"/>
    <s v="SWEDEN"/>
    <x v="10"/>
    <s v="SE3A"/>
    <s v="GNR_RES_WTR_NOPMP_MC-02"/>
    <x v="1"/>
    <x v="0"/>
    <x v="1"/>
    <x v="0"/>
    <x v="0"/>
    <n v="0.13159999999999999"/>
  </r>
  <r>
    <x v="0"/>
    <x v="0"/>
    <x v="0"/>
    <s v="SWEDEN"/>
    <x v="10"/>
    <s v="SE3A"/>
    <s v="GNR_RES_WTR_NOPMP_MC-03"/>
    <x v="1"/>
    <x v="0"/>
    <x v="1"/>
    <x v="0"/>
    <x v="0"/>
    <n v="0.13159999999999999"/>
  </r>
  <r>
    <x v="0"/>
    <x v="0"/>
    <x v="0"/>
    <s v="SWEDEN"/>
    <x v="10"/>
    <s v="SE3A"/>
    <s v="GNR_RES_WTR_NOPMP_MC-04"/>
    <x v="1"/>
    <x v="0"/>
    <x v="1"/>
    <x v="0"/>
    <x v="0"/>
    <n v="0.13159999999999999"/>
  </r>
  <r>
    <x v="0"/>
    <x v="0"/>
    <x v="0"/>
    <s v="SWEDEN"/>
    <x v="10"/>
    <s v="SE3A"/>
    <s v="GNR_RES_WTR_NOPMP_MC-05"/>
    <x v="1"/>
    <x v="0"/>
    <x v="1"/>
    <x v="0"/>
    <x v="0"/>
    <n v="0.13159999999999999"/>
  </r>
  <r>
    <x v="0"/>
    <x v="0"/>
    <x v="0"/>
    <s v="SWEDEN"/>
    <x v="10"/>
    <s v="SE3A"/>
    <s v="GNR_RES_WTR_NOPMP_MC-06"/>
    <x v="1"/>
    <x v="0"/>
    <x v="1"/>
    <x v="0"/>
    <x v="0"/>
    <n v="0.13159999999999999"/>
  </r>
  <r>
    <x v="0"/>
    <x v="0"/>
    <x v="0"/>
    <s v="SWEDEN"/>
    <x v="10"/>
    <s v="SE3A"/>
    <s v="GNR_RES_WTR_NOPMP_MC-07"/>
    <x v="1"/>
    <x v="0"/>
    <x v="1"/>
    <x v="0"/>
    <x v="0"/>
    <n v="0.13159999999999999"/>
  </r>
  <r>
    <x v="0"/>
    <x v="0"/>
    <x v="0"/>
    <s v="SWEDEN"/>
    <x v="10"/>
    <s v="SE3A"/>
    <s v="GNR_RES_WTR_NOPMP_MC-08"/>
    <x v="1"/>
    <x v="0"/>
    <x v="1"/>
    <x v="0"/>
    <x v="0"/>
    <n v="0.13159999999999999"/>
  </r>
  <r>
    <x v="0"/>
    <x v="0"/>
    <x v="0"/>
    <s v="SWEDEN"/>
    <x v="10"/>
    <s v="SE3A"/>
    <s v="GNR_RES_WTR_NOPMP_MC-09"/>
    <x v="1"/>
    <x v="0"/>
    <x v="1"/>
    <x v="0"/>
    <x v="0"/>
    <n v="0.13159999999999999"/>
  </r>
  <r>
    <x v="0"/>
    <x v="0"/>
    <x v="0"/>
    <s v="SWEDEN"/>
    <x v="10"/>
    <s v="SE3A"/>
    <s v="GNR_RES_WTR_NOPMP_MC-10"/>
    <x v="1"/>
    <x v="0"/>
    <x v="1"/>
    <x v="0"/>
    <x v="0"/>
    <n v="0.13159999999999999"/>
  </r>
  <r>
    <x v="0"/>
    <x v="0"/>
    <x v="0"/>
    <s v="SWEDEN"/>
    <x v="10"/>
    <s v="SE3A"/>
    <s v="GNR_ROR_WTR"/>
    <x v="1"/>
    <x v="0"/>
    <x v="2"/>
    <x v="0"/>
    <x v="0"/>
    <n v="1.2985899999999999"/>
  </r>
  <r>
    <x v="0"/>
    <x v="0"/>
    <x v="0"/>
    <s v="SWEDEN"/>
    <x v="10"/>
    <s v="SE3A"/>
    <s v="GNR_ST_FUELOIL_CND_E-33"/>
    <x v="10"/>
    <x v="0"/>
    <x v="0"/>
    <x v="0"/>
    <x v="0"/>
    <n v="0.5"/>
  </r>
  <r>
    <x v="0"/>
    <x v="0"/>
    <x v="0"/>
    <s v="SWEDEN"/>
    <x v="10"/>
    <s v="SE3A"/>
    <s v="GNR_ST_FUELOIL_CND_E-33"/>
    <x v="10"/>
    <x v="0"/>
    <x v="0"/>
    <x v="1"/>
    <x v="0"/>
    <n v="-0.5"/>
  </r>
  <r>
    <x v="0"/>
    <x v="0"/>
    <x v="0"/>
    <s v="SWEDEN"/>
    <x v="10"/>
    <s v="SE3A"/>
    <s v="GNR_ST_NUCL_CND_E-33"/>
    <x v="11"/>
    <x v="0"/>
    <x v="0"/>
    <x v="0"/>
    <x v="0"/>
    <n v="8.8490000000000002"/>
  </r>
  <r>
    <x v="0"/>
    <x v="0"/>
    <x v="0"/>
    <s v="SWEDEN"/>
    <x v="10"/>
    <s v="SE3A"/>
    <s v="GNR_ST_NUCL_CND_E-33"/>
    <x v="11"/>
    <x v="0"/>
    <x v="0"/>
    <x v="1"/>
    <x v="0"/>
    <n v="-8.8490000000000002"/>
  </r>
  <r>
    <x v="0"/>
    <x v="0"/>
    <x v="0"/>
    <s v="SWEDEN"/>
    <x v="10"/>
    <s v="SE3_large"/>
    <s v="AROS3_ST_FUELOIL_EXT"/>
    <x v="10"/>
    <x v="2"/>
    <x v="6"/>
    <x v="0"/>
    <x v="0"/>
    <n v="0.40163934426229508"/>
  </r>
  <r>
    <x v="0"/>
    <x v="0"/>
    <x v="0"/>
    <s v="SWEDEN"/>
    <x v="10"/>
    <s v="SE3_large"/>
    <s v="AROS3_ST_FUELOIL_EXT"/>
    <x v="10"/>
    <x v="2"/>
    <x v="6"/>
    <x v="1"/>
    <x v="0"/>
    <n v="-0.40163934426229508"/>
  </r>
  <r>
    <x v="0"/>
    <x v="0"/>
    <x v="0"/>
    <s v="SWEDEN"/>
    <x v="10"/>
    <s v="SE3_large"/>
    <s v="AROS3_ST_FUELOIL_EXT"/>
    <x v="10"/>
    <x v="0"/>
    <x v="6"/>
    <x v="0"/>
    <x v="0"/>
    <n v="0.245"/>
  </r>
  <r>
    <x v="0"/>
    <x v="0"/>
    <x v="0"/>
    <s v="SWEDEN"/>
    <x v="10"/>
    <s v="SE3_large"/>
    <s v="AROS3_ST_FUELOIL_EXT"/>
    <x v="10"/>
    <x v="0"/>
    <x v="6"/>
    <x v="1"/>
    <x v="0"/>
    <n v="-0.245"/>
  </r>
  <r>
    <x v="0"/>
    <x v="0"/>
    <x v="0"/>
    <s v="SWEDEN"/>
    <x v="10"/>
    <s v="SE3_large"/>
    <s v="AROS6_ST_MSW_EXT"/>
    <x v="17"/>
    <x v="2"/>
    <x v="6"/>
    <x v="0"/>
    <x v="0"/>
    <n v="0.11590909090909092"/>
  </r>
  <r>
    <x v="0"/>
    <x v="0"/>
    <x v="0"/>
    <s v="SWEDEN"/>
    <x v="10"/>
    <s v="SE3_large"/>
    <s v="AROS6_ST_MSW_EXT"/>
    <x v="17"/>
    <x v="2"/>
    <x v="6"/>
    <x v="1"/>
    <x v="0"/>
    <n v="-0.11590909090909092"/>
  </r>
  <r>
    <x v="0"/>
    <x v="0"/>
    <x v="0"/>
    <s v="SWEDEN"/>
    <x v="10"/>
    <s v="SE3_large"/>
    <s v="AROS6_ST_MSW_EXT"/>
    <x v="17"/>
    <x v="0"/>
    <x v="6"/>
    <x v="0"/>
    <x v="0"/>
    <n v="5.1000000000000004E-2"/>
  </r>
  <r>
    <x v="0"/>
    <x v="0"/>
    <x v="0"/>
    <s v="SWEDEN"/>
    <x v="10"/>
    <s v="SE3_large"/>
    <s v="AROS6_ST_MSW_EXT"/>
    <x v="17"/>
    <x v="0"/>
    <x v="6"/>
    <x v="1"/>
    <x v="0"/>
    <n v="-5.1000000000000004E-2"/>
  </r>
  <r>
    <x v="0"/>
    <x v="0"/>
    <x v="0"/>
    <s v="SWEDEN"/>
    <x v="10"/>
    <s v="SE3_large"/>
    <s v="AROS7_ST_WOODWST_EXT"/>
    <x v="14"/>
    <x v="2"/>
    <x v="6"/>
    <x v="0"/>
    <x v="0"/>
    <n v="0.11590909090909092"/>
  </r>
  <r>
    <x v="0"/>
    <x v="0"/>
    <x v="0"/>
    <s v="SWEDEN"/>
    <x v="10"/>
    <s v="SE3_large"/>
    <s v="AROS7_ST_WOODWST_EXT"/>
    <x v="14"/>
    <x v="2"/>
    <x v="6"/>
    <x v="1"/>
    <x v="0"/>
    <n v="-0.11590909090909092"/>
  </r>
  <r>
    <x v="0"/>
    <x v="0"/>
    <x v="0"/>
    <s v="SWEDEN"/>
    <x v="10"/>
    <s v="SE3_large"/>
    <s v="AROS7_ST_WOODWST_EXT"/>
    <x v="14"/>
    <x v="0"/>
    <x v="6"/>
    <x v="0"/>
    <x v="0"/>
    <n v="5.1000000000000004E-2"/>
  </r>
  <r>
    <x v="0"/>
    <x v="0"/>
    <x v="0"/>
    <s v="SWEDEN"/>
    <x v="10"/>
    <s v="SE3_large"/>
    <s v="AROS7_ST_WOODWST_EXT"/>
    <x v="14"/>
    <x v="0"/>
    <x v="6"/>
    <x v="1"/>
    <x v="0"/>
    <n v="-5.1000000000000004E-2"/>
  </r>
  <r>
    <x v="0"/>
    <x v="0"/>
    <x v="0"/>
    <s v="SWEDEN"/>
    <x v="10"/>
    <s v="SE3_large"/>
    <s v="GNR_GT_LIGHTOIL_CND_E-24"/>
    <x v="4"/>
    <x v="0"/>
    <x v="0"/>
    <x v="0"/>
    <x v="0"/>
    <n v="7.0000000000000007E-2"/>
  </r>
  <r>
    <x v="0"/>
    <x v="0"/>
    <x v="0"/>
    <s v="SWEDEN"/>
    <x v="10"/>
    <s v="SE3_large"/>
    <s v="GNR_GT_LIGHTOIL_CND_E-24"/>
    <x v="4"/>
    <x v="0"/>
    <x v="0"/>
    <x v="1"/>
    <x v="0"/>
    <n v="-7.0000000000000007E-2"/>
  </r>
  <r>
    <x v="0"/>
    <x v="0"/>
    <x v="0"/>
    <s v="SWEDEN"/>
    <x v="10"/>
    <s v="SE3_large"/>
    <s v="LINKOPING_ST_COAL_EXT"/>
    <x v="5"/>
    <x v="2"/>
    <x v="6"/>
    <x v="0"/>
    <x v="0"/>
    <n v="0.27835294117647064"/>
  </r>
  <r>
    <x v="0"/>
    <x v="0"/>
    <x v="0"/>
    <s v="SWEDEN"/>
    <x v="10"/>
    <s v="SE3_large"/>
    <s v="LINKOPING_ST_COAL_EXT"/>
    <x v="5"/>
    <x v="2"/>
    <x v="6"/>
    <x v="1"/>
    <x v="0"/>
    <n v="-0.27835294117647064"/>
  </r>
  <r>
    <x v="0"/>
    <x v="0"/>
    <x v="0"/>
    <s v="SWEDEN"/>
    <x v="10"/>
    <s v="SE3_large"/>
    <s v="LINKOPING_ST_COAL_EXT"/>
    <x v="5"/>
    <x v="0"/>
    <x v="6"/>
    <x v="0"/>
    <x v="0"/>
    <n v="9.4640000000000002E-2"/>
  </r>
  <r>
    <x v="0"/>
    <x v="0"/>
    <x v="0"/>
    <s v="SWEDEN"/>
    <x v="10"/>
    <s v="SE3_large"/>
    <s v="LINKOPING_ST_COAL_EXT"/>
    <x v="5"/>
    <x v="0"/>
    <x v="6"/>
    <x v="1"/>
    <x v="0"/>
    <n v="-9.4640000000000002E-2"/>
  </r>
  <r>
    <x v="0"/>
    <x v="0"/>
    <x v="0"/>
    <s v="SWEDEN"/>
    <x v="10"/>
    <s v="SE3_large"/>
    <s v="VARTAN1_ST_BIOIL_EXT"/>
    <x v="20"/>
    <x v="2"/>
    <x v="6"/>
    <x v="0"/>
    <x v="0"/>
    <n v="0.3126760563380282"/>
  </r>
  <r>
    <x v="0"/>
    <x v="0"/>
    <x v="0"/>
    <s v="SWEDEN"/>
    <x v="10"/>
    <s v="SE3_large"/>
    <s v="VARTAN1_ST_BIOIL_EXT"/>
    <x v="20"/>
    <x v="2"/>
    <x v="6"/>
    <x v="1"/>
    <x v="0"/>
    <n v="-0.3126760563380282"/>
  </r>
  <r>
    <x v="0"/>
    <x v="0"/>
    <x v="0"/>
    <s v="SWEDEN"/>
    <x v="10"/>
    <s v="SE3_large"/>
    <s v="VARTAN1_ST_BIOIL_EXT"/>
    <x v="20"/>
    <x v="0"/>
    <x v="6"/>
    <x v="0"/>
    <x v="0"/>
    <n v="0.222"/>
  </r>
  <r>
    <x v="0"/>
    <x v="0"/>
    <x v="0"/>
    <s v="SWEDEN"/>
    <x v="10"/>
    <s v="SE3_large"/>
    <s v="VARTAN1_ST_BIOIL_EXT"/>
    <x v="20"/>
    <x v="0"/>
    <x v="6"/>
    <x v="1"/>
    <x v="0"/>
    <n v="-0.222"/>
  </r>
  <r>
    <x v="0"/>
    <x v="0"/>
    <x v="0"/>
    <s v="SWEDEN"/>
    <x v="10"/>
    <s v="SE3_large"/>
    <s v="VARTAN6_ST_COAL_EXT"/>
    <x v="5"/>
    <x v="2"/>
    <x v="6"/>
    <x v="0"/>
    <x v="0"/>
    <n v="0.30952380952380948"/>
  </r>
  <r>
    <x v="0"/>
    <x v="0"/>
    <x v="0"/>
    <s v="SWEDEN"/>
    <x v="10"/>
    <s v="SE3_large"/>
    <s v="VARTAN6_ST_COAL_EXT"/>
    <x v="5"/>
    <x v="2"/>
    <x v="6"/>
    <x v="1"/>
    <x v="0"/>
    <n v="-0.30952380952380948"/>
  </r>
  <r>
    <x v="0"/>
    <x v="0"/>
    <x v="0"/>
    <s v="SWEDEN"/>
    <x v="10"/>
    <s v="SE3_large"/>
    <s v="VARTAN6_ST_COAL_EXT"/>
    <x v="5"/>
    <x v="0"/>
    <x v="6"/>
    <x v="0"/>
    <x v="0"/>
    <n v="0.13"/>
  </r>
  <r>
    <x v="0"/>
    <x v="0"/>
    <x v="0"/>
    <s v="SWEDEN"/>
    <x v="10"/>
    <s v="SE3_large"/>
    <s v="VARTAN6_ST_COAL_EXT"/>
    <x v="5"/>
    <x v="0"/>
    <x v="6"/>
    <x v="1"/>
    <x v="0"/>
    <n v="-0.13"/>
  </r>
  <r>
    <x v="0"/>
    <x v="0"/>
    <x v="0"/>
    <s v="SWEDEN"/>
    <x v="10"/>
    <s v="SE3_large"/>
    <s v="GNR_ELYS_ELEC_AEC_Y-2020"/>
    <x v="2"/>
    <x v="1"/>
    <x v="3"/>
    <x v="0"/>
    <x v="0"/>
    <n v="6.2539999999999978"/>
  </r>
  <r>
    <x v="0"/>
    <x v="0"/>
    <x v="0"/>
    <s v="SWEDEN"/>
    <x v="10"/>
    <s v="SE3_large"/>
    <s v="GNR_ELYS_ELEC_AEC_Y-2020"/>
    <x v="2"/>
    <x v="1"/>
    <x v="3"/>
    <x v="1"/>
    <x v="0"/>
    <n v="-1.881469089424751"/>
  </r>
  <r>
    <x v="0"/>
    <x v="0"/>
    <x v="0"/>
    <s v="SWEDEN"/>
    <x v="10"/>
    <s v="SE3_large"/>
    <s v="GNR_STEAM-REFORMING_E-70_Y-2020"/>
    <x v="0"/>
    <x v="1"/>
    <x v="4"/>
    <x v="0"/>
    <x v="0"/>
    <n v="0.92596955404012482"/>
  </r>
  <r>
    <x v="0"/>
    <x v="0"/>
    <x v="0"/>
    <s v="SWEDEN"/>
    <x v="10"/>
    <s v="SE3_large"/>
    <s v="GNR_STEAM-REFORMING_E-70_Y-2020"/>
    <x v="0"/>
    <x v="1"/>
    <x v="4"/>
    <x v="1"/>
    <x v="0"/>
    <n v="-0.92596955404012482"/>
  </r>
  <r>
    <x v="0"/>
    <x v="0"/>
    <x v="0"/>
    <s v="SWEDEN"/>
    <x v="10"/>
    <s v="SE3_medium"/>
    <s v="GNR_GT_LIGHTOIL_CND_E-24"/>
    <x v="4"/>
    <x v="0"/>
    <x v="0"/>
    <x v="0"/>
    <x v="0"/>
    <n v="4.2000000000000006E-3"/>
  </r>
  <r>
    <x v="0"/>
    <x v="0"/>
    <x v="0"/>
    <s v="SWEDEN"/>
    <x v="10"/>
    <s v="SE3_medium"/>
    <s v="GNR_GT_LIGHTOIL_CND_E-24"/>
    <x v="4"/>
    <x v="0"/>
    <x v="0"/>
    <x v="1"/>
    <x v="0"/>
    <n v="-4.2000000000000006E-3"/>
  </r>
  <r>
    <x v="0"/>
    <x v="0"/>
    <x v="0"/>
    <s v="SWEDEN"/>
    <x v="10"/>
    <s v="SE03_A"/>
    <s v="GNR_WT_WIND_ONS_RG1"/>
    <x v="3"/>
    <x v="0"/>
    <x v="5"/>
    <x v="0"/>
    <x v="0"/>
    <n v="0.43956640000000002"/>
  </r>
  <r>
    <x v="0"/>
    <x v="0"/>
    <x v="0"/>
    <s v="SWEDEN"/>
    <x v="10"/>
    <s v="SE03_A"/>
    <s v="GNR_WT_WIND_ONS_RG1"/>
    <x v="3"/>
    <x v="0"/>
    <x v="5"/>
    <x v="1"/>
    <x v="0"/>
    <n v="-0.43956640000000002"/>
  </r>
  <r>
    <x v="0"/>
    <x v="0"/>
    <x v="0"/>
    <s v="SWEDEN"/>
    <x v="10"/>
    <s v="SE03_A"/>
    <s v="GNR_WT_WIND_ONS_RG2"/>
    <x v="3"/>
    <x v="0"/>
    <x v="5"/>
    <x v="0"/>
    <x v="0"/>
    <n v="1.9831811000000001"/>
  </r>
  <r>
    <x v="0"/>
    <x v="0"/>
    <x v="0"/>
    <s v="SWEDEN"/>
    <x v="10"/>
    <s v="SE03_A"/>
    <s v="GNR_WT_WIND_ONS_RG2"/>
    <x v="3"/>
    <x v="0"/>
    <x v="5"/>
    <x v="1"/>
    <x v="0"/>
    <n v="-1.9831811000000006"/>
  </r>
  <r>
    <x v="0"/>
    <x v="0"/>
    <x v="0"/>
    <s v="SWEDEN"/>
    <x v="10"/>
    <s v="SE03_A"/>
    <s v="GNR_WT_WIND_ONS_RG3"/>
    <x v="3"/>
    <x v="0"/>
    <x v="5"/>
    <x v="0"/>
    <x v="0"/>
    <n v="0.59625250000000007"/>
  </r>
  <r>
    <x v="0"/>
    <x v="0"/>
    <x v="0"/>
    <s v="SWEDEN"/>
    <x v="10"/>
    <s v="SE03_A"/>
    <s v="GNR_WT_WIND_ONS_RG3"/>
    <x v="3"/>
    <x v="0"/>
    <x v="5"/>
    <x v="1"/>
    <x v="0"/>
    <n v="-0.59625250000000007"/>
  </r>
  <r>
    <x v="0"/>
    <x v="0"/>
    <x v="0"/>
    <s v="SWEDEN"/>
    <x v="10"/>
    <s v="SE03_A"/>
    <s v="GNR_WT_ONS-2050"/>
    <x v="3"/>
    <x v="0"/>
    <x v="5"/>
    <x v="2"/>
    <x v="0"/>
    <n v="10.9966216216216"/>
  </r>
  <r>
    <x v="0"/>
    <x v="0"/>
    <x v="0"/>
    <s v="SWEDEN"/>
    <x v="10"/>
    <s v="SE03_A"/>
    <s v="GNR_PV-2050"/>
    <x v="8"/>
    <x v="0"/>
    <x v="9"/>
    <x v="2"/>
    <x v="0"/>
    <n v="9.1948028978600593"/>
  </r>
  <r>
    <x v="0"/>
    <x v="0"/>
    <x v="0"/>
    <s v="SWEDEN"/>
    <x v="11"/>
    <s v="SE4A"/>
    <s v="GNR_GT_LIGHTOIL_CND_E-24"/>
    <x v="4"/>
    <x v="0"/>
    <x v="0"/>
    <x v="0"/>
    <x v="0"/>
    <n v="0.59299999999999997"/>
  </r>
  <r>
    <x v="0"/>
    <x v="0"/>
    <x v="0"/>
    <s v="SWEDEN"/>
    <x v="11"/>
    <s v="SE4A"/>
    <s v="GNR_GT_LIGHTOIL_CND_E-24"/>
    <x v="4"/>
    <x v="0"/>
    <x v="0"/>
    <x v="1"/>
    <x v="0"/>
    <n v="-0.59299999999999997"/>
  </r>
  <r>
    <x v="0"/>
    <x v="0"/>
    <x v="0"/>
    <s v="SWEDEN"/>
    <x v="11"/>
    <s v="SE4A"/>
    <s v="GNR_RES_WTR_NOPMP_MC-01"/>
    <x v="1"/>
    <x v="0"/>
    <x v="1"/>
    <x v="0"/>
    <x v="0"/>
    <n v="1.5287300663378099E-2"/>
  </r>
  <r>
    <x v="0"/>
    <x v="0"/>
    <x v="0"/>
    <s v="SWEDEN"/>
    <x v="11"/>
    <s v="SE4A"/>
    <s v="GNR_RES_WTR_NOPMP_MC-02"/>
    <x v="1"/>
    <x v="0"/>
    <x v="1"/>
    <x v="0"/>
    <x v="0"/>
    <n v="1.5287300663378099E-2"/>
  </r>
  <r>
    <x v="0"/>
    <x v="0"/>
    <x v="0"/>
    <s v="SWEDEN"/>
    <x v="11"/>
    <s v="SE4A"/>
    <s v="GNR_RES_WTR_NOPMP_MC-03"/>
    <x v="1"/>
    <x v="0"/>
    <x v="1"/>
    <x v="0"/>
    <x v="0"/>
    <n v="1.5287300663378099E-2"/>
  </r>
  <r>
    <x v="0"/>
    <x v="0"/>
    <x v="0"/>
    <s v="SWEDEN"/>
    <x v="11"/>
    <s v="SE4A"/>
    <s v="GNR_RES_WTR_NOPMP_MC-04"/>
    <x v="1"/>
    <x v="0"/>
    <x v="1"/>
    <x v="0"/>
    <x v="0"/>
    <n v="1.5287300663378099E-2"/>
  </r>
  <r>
    <x v="0"/>
    <x v="0"/>
    <x v="0"/>
    <s v="SWEDEN"/>
    <x v="11"/>
    <s v="SE4A"/>
    <s v="GNR_RES_WTR_NOPMP_MC-05"/>
    <x v="1"/>
    <x v="0"/>
    <x v="1"/>
    <x v="0"/>
    <x v="0"/>
    <n v="1.5287300663378099E-2"/>
  </r>
  <r>
    <x v="0"/>
    <x v="0"/>
    <x v="0"/>
    <s v="SWEDEN"/>
    <x v="11"/>
    <s v="SE4A"/>
    <s v="GNR_RES_WTR_NOPMP_MC-06"/>
    <x v="1"/>
    <x v="0"/>
    <x v="1"/>
    <x v="0"/>
    <x v="0"/>
    <n v="1.5287300663378099E-2"/>
  </r>
  <r>
    <x v="0"/>
    <x v="0"/>
    <x v="0"/>
    <s v="SWEDEN"/>
    <x v="11"/>
    <s v="SE4A"/>
    <s v="GNR_RES_WTR_NOPMP_MC-07"/>
    <x v="1"/>
    <x v="0"/>
    <x v="1"/>
    <x v="0"/>
    <x v="0"/>
    <n v="1.5287300663378099E-2"/>
  </r>
  <r>
    <x v="0"/>
    <x v="0"/>
    <x v="0"/>
    <s v="SWEDEN"/>
    <x v="11"/>
    <s v="SE4A"/>
    <s v="GNR_RES_WTR_NOPMP_MC-08"/>
    <x v="1"/>
    <x v="0"/>
    <x v="1"/>
    <x v="0"/>
    <x v="0"/>
    <n v="1.5287300663378099E-2"/>
  </r>
  <r>
    <x v="0"/>
    <x v="0"/>
    <x v="0"/>
    <s v="SWEDEN"/>
    <x v="11"/>
    <s v="SE4A"/>
    <s v="GNR_RES_WTR_NOPMP_MC-09"/>
    <x v="1"/>
    <x v="0"/>
    <x v="1"/>
    <x v="0"/>
    <x v="0"/>
    <n v="1.5287300663378099E-2"/>
  </r>
  <r>
    <x v="0"/>
    <x v="0"/>
    <x v="0"/>
    <s v="SWEDEN"/>
    <x v="11"/>
    <s v="SE4A"/>
    <s v="GNR_RES_WTR_NOPMP_MC-10"/>
    <x v="1"/>
    <x v="0"/>
    <x v="1"/>
    <x v="0"/>
    <x v="0"/>
    <n v="1.5287300663378099E-2"/>
  </r>
  <r>
    <x v="0"/>
    <x v="0"/>
    <x v="0"/>
    <s v="SWEDEN"/>
    <x v="11"/>
    <s v="SE4A"/>
    <s v="GNR_ROR_WTR"/>
    <x v="1"/>
    <x v="0"/>
    <x v="2"/>
    <x v="0"/>
    <x v="0"/>
    <n v="0.18933699336621901"/>
  </r>
  <r>
    <x v="0"/>
    <x v="0"/>
    <x v="0"/>
    <s v="SWEDEN"/>
    <x v="11"/>
    <s v="SE4A"/>
    <s v="GNR_ST_FUELOIL_CND_E-33"/>
    <x v="10"/>
    <x v="0"/>
    <x v="0"/>
    <x v="0"/>
    <x v="0"/>
    <n v="0.66"/>
  </r>
  <r>
    <x v="0"/>
    <x v="0"/>
    <x v="0"/>
    <s v="SWEDEN"/>
    <x v="11"/>
    <s v="SE4A"/>
    <s v="GNR_ST_FUELOIL_CND_E-33"/>
    <x v="10"/>
    <x v="0"/>
    <x v="0"/>
    <x v="1"/>
    <x v="0"/>
    <n v="-0.66"/>
  </r>
  <r>
    <x v="0"/>
    <x v="0"/>
    <x v="0"/>
    <s v="SWEDEN"/>
    <x v="11"/>
    <s v="SE4_large"/>
    <s v="GNR_GT_LIGHTOIL_CND_E-24"/>
    <x v="4"/>
    <x v="0"/>
    <x v="0"/>
    <x v="0"/>
    <x v="0"/>
    <n v="8.5000000000000006E-3"/>
  </r>
  <r>
    <x v="0"/>
    <x v="0"/>
    <x v="0"/>
    <s v="SWEDEN"/>
    <x v="11"/>
    <s v="SE4_large"/>
    <s v="GNR_GT_LIGHTOIL_CND_E-24"/>
    <x v="4"/>
    <x v="0"/>
    <x v="0"/>
    <x v="1"/>
    <x v="0"/>
    <n v="-8.5000000000000006E-3"/>
  </r>
  <r>
    <x v="0"/>
    <x v="0"/>
    <x v="0"/>
    <s v="SWEDEN"/>
    <x v="11"/>
    <s v="SE4_large"/>
    <s v="ORESUND_CC_NGAS_EXT"/>
    <x v="0"/>
    <x v="2"/>
    <x v="6"/>
    <x v="0"/>
    <x v="0"/>
    <n v="0.24943820224719102"/>
  </r>
  <r>
    <x v="0"/>
    <x v="0"/>
    <x v="0"/>
    <s v="SWEDEN"/>
    <x v="11"/>
    <s v="SE4_large"/>
    <s v="ORESUND_CC_NGAS_EXT"/>
    <x v="0"/>
    <x v="2"/>
    <x v="6"/>
    <x v="1"/>
    <x v="0"/>
    <n v="-0.24943820224719102"/>
  </r>
  <r>
    <x v="0"/>
    <x v="0"/>
    <x v="0"/>
    <s v="SWEDEN"/>
    <x v="11"/>
    <s v="SE4_large"/>
    <s v="ORESUND_CC_NGAS_EXT"/>
    <x v="0"/>
    <x v="0"/>
    <x v="6"/>
    <x v="0"/>
    <x v="0"/>
    <n v="0.44400000000000001"/>
  </r>
  <r>
    <x v="0"/>
    <x v="0"/>
    <x v="0"/>
    <s v="SWEDEN"/>
    <x v="11"/>
    <s v="SE4_large"/>
    <s v="ORESUND_CC_NGAS_EXT"/>
    <x v="0"/>
    <x v="0"/>
    <x v="6"/>
    <x v="1"/>
    <x v="0"/>
    <n v="-0.44400000000000001"/>
  </r>
  <r>
    <x v="0"/>
    <x v="0"/>
    <x v="0"/>
    <s v="SWEDEN"/>
    <x v="11"/>
    <s v="SE4_large"/>
    <s v="GNR_ELYS_ELEC_AEC_Y-2020"/>
    <x v="2"/>
    <x v="1"/>
    <x v="3"/>
    <x v="0"/>
    <x v="0"/>
    <n v="1.5159999999999976"/>
  </r>
  <r>
    <x v="0"/>
    <x v="0"/>
    <x v="0"/>
    <s v="SWEDEN"/>
    <x v="11"/>
    <s v="SE4_large"/>
    <s v="GNR_ELYS_ELEC_AEC_Y-2020"/>
    <x v="2"/>
    <x v="1"/>
    <x v="3"/>
    <x v="1"/>
    <x v="0"/>
    <n v="-0.37900000000000006"/>
  </r>
  <r>
    <x v="0"/>
    <x v="0"/>
    <x v="0"/>
    <s v="SWEDEN"/>
    <x v="11"/>
    <s v="SE4_large"/>
    <s v="GNR_STEAM-REFORMING_E-70_Y-2020"/>
    <x v="0"/>
    <x v="1"/>
    <x v="4"/>
    <x v="0"/>
    <x v="0"/>
    <n v="0.27019144038862147"/>
  </r>
  <r>
    <x v="0"/>
    <x v="0"/>
    <x v="0"/>
    <s v="SWEDEN"/>
    <x v="11"/>
    <s v="SE4_large"/>
    <s v="GNR_STEAM-REFORMING_E-70_Y-2020"/>
    <x v="0"/>
    <x v="1"/>
    <x v="4"/>
    <x v="1"/>
    <x v="0"/>
    <n v="-0.27019144038862147"/>
  </r>
  <r>
    <x v="0"/>
    <x v="0"/>
    <x v="0"/>
    <s v="SWEDEN"/>
    <x v="11"/>
    <s v="SE04_A"/>
    <s v="GNR_WT_WIND_ONS_RG1"/>
    <x v="3"/>
    <x v="0"/>
    <x v="5"/>
    <x v="0"/>
    <x v="0"/>
    <n v="0.36828178919999999"/>
  </r>
  <r>
    <x v="0"/>
    <x v="0"/>
    <x v="0"/>
    <s v="SWEDEN"/>
    <x v="11"/>
    <s v="SE04_A"/>
    <s v="GNR_WT_WIND_ONS_RG1"/>
    <x v="3"/>
    <x v="0"/>
    <x v="5"/>
    <x v="1"/>
    <x v="0"/>
    <n v="-0.36828178919999993"/>
  </r>
  <r>
    <x v="0"/>
    <x v="0"/>
    <x v="0"/>
    <s v="SWEDEN"/>
    <x v="11"/>
    <s v="SE04_A"/>
    <s v="GNR_WT_WIND_ONS_RG2"/>
    <x v="3"/>
    <x v="0"/>
    <x v="5"/>
    <x v="0"/>
    <x v="0"/>
    <n v="0.97126701660000014"/>
  </r>
  <r>
    <x v="0"/>
    <x v="0"/>
    <x v="0"/>
    <s v="SWEDEN"/>
    <x v="11"/>
    <s v="SE04_A"/>
    <s v="GNR_WT_WIND_ONS_RG2"/>
    <x v="3"/>
    <x v="0"/>
    <x v="5"/>
    <x v="1"/>
    <x v="0"/>
    <n v="-0.97126701660000003"/>
  </r>
  <r>
    <x v="0"/>
    <x v="0"/>
    <x v="0"/>
    <s v="SWEDEN"/>
    <x v="11"/>
    <s v="SE04_A"/>
    <s v="GNR_WT_WIND_ONS_RG3"/>
    <x v="3"/>
    <x v="0"/>
    <x v="5"/>
    <x v="0"/>
    <x v="0"/>
    <n v="0.45344919420000002"/>
  </r>
  <r>
    <x v="0"/>
    <x v="0"/>
    <x v="0"/>
    <s v="SWEDEN"/>
    <x v="11"/>
    <s v="SE04_A"/>
    <s v="GNR_WT_WIND_ONS_RG3"/>
    <x v="3"/>
    <x v="0"/>
    <x v="5"/>
    <x v="1"/>
    <x v="0"/>
    <n v="-0.45344919420000002"/>
  </r>
  <r>
    <x v="0"/>
    <x v="0"/>
    <x v="0"/>
    <s v="SWEDEN"/>
    <x v="11"/>
    <s v="SE04_A"/>
    <s v="GNR_WT_ONS-2050"/>
    <x v="3"/>
    <x v="0"/>
    <x v="5"/>
    <x v="2"/>
    <x v="0"/>
    <n v="4.0334084084084001"/>
  </r>
  <r>
    <x v="0"/>
    <x v="0"/>
    <x v="0"/>
    <s v="UNITED_KINGDOM"/>
    <x v="12"/>
    <s v="UK_A"/>
    <s v="GNR_CC_NGAS_CND_E-52"/>
    <x v="0"/>
    <x v="0"/>
    <x v="0"/>
    <x v="0"/>
    <x v="0"/>
    <n v="13.903"/>
  </r>
  <r>
    <x v="0"/>
    <x v="0"/>
    <x v="0"/>
    <s v="UNITED_KINGDOM"/>
    <x v="12"/>
    <s v="UK_A"/>
    <s v="GNR_CC_NGAS_CND_E-52"/>
    <x v="0"/>
    <x v="0"/>
    <x v="0"/>
    <x v="1"/>
    <x v="0"/>
    <n v="-13.903"/>
  </r>
  <r>
    <x v="0"/>
    <x v="0"/>
    <x v="0"/>
    <s v="UNITED_KINGDOM"/>
    <x v="12"/>
    <s v="UK_A"/>
    <s v="GNR_CC_NGAS_CND_E-58"/>
    <x v="0"/>
    <x v="0"/>
    <x v="0"/>
    <x v="0"/>
    <x v="0"/>
    <n v="13.872"/>
  </r>
  <r>
    <x v="0"/>
    <x v="0"/>
    <x v="0"/>
    <s v="UNITED_KINGDOM"/>
    <x v="12"/>
    <s v="UK_A"/>
    <s v="GNR_CC_NGAS_CND_E-58"/>
    <x v="0"/>
    <x v="0"/>
    <x v="0"/>
    <x v="1"/>
    <x v="0"/>
    <n v="-13.872"/>
  </r>
  <r>
    <x v="0"/>
    <x v="0"/>
    <x v="0"/>
    <s v="UNITED_KINGDOM"/>
    <x v="12"/>
    <s v="UK_A"/>
    <s v="GNR_CC_NGAS_EXT_E-61"/>
    <x v="0"/>
    <x v="2"/>
    <x v="6"/>
    <x v="0"/>
    <x v="0"/>
    <n v="0.30410256410256409"/>
  </r>
  <r>
    <x v="0"/>
    <x v="0"/>
    <x v="0"/>
    <s v="UNITED_KINGDOM"/>
    <x v="12"/>
    <s v="UK_A"/>
    <s v="GNR_CC_NGAS_EXT_E-61"/>
    <x v="0"/>
    <x v="2"/>
    <x v="6"/>
    <x v="1"/>
    <x v="0"/>
    <n v="-0.30410256410256409"/>
  </r>
  <r>
    <x v="0"/>
    <x v="0"/>
    <x v="0"/>
    <s v="UNITED_KINGDOM"/>
    <x v="12"/>
    <s v="UK_A"/>
    <s v="GNR_CC_NGAS_EXT_E-61"/>
    <x v="0"/>
    <x v="0"/>
    <x v="6"/>
    <x v="0"/>
    <x v="0"/>
    <n v="0.59299999999999997"/>
  </r>
  <r>
    <x v="0"/>
    <x v="0"/>
    <x v="0"/>
    <s v="UNITED_KINGDOM"/>
    <x v="12"/>
    <s v="UK_A"/>
    <s v="GNR_CC_NGAS_EXT_E-61"/>
    <x v="0"/>
    <x v="0"/>
    <x v="6"/>
    <x v="1"/>
    <x v="0"/>
    <n v="-0.59299999999999997"/>
  </r>
  <r>
    <x v="0"/>
    <x v="0"/>
    <x v="0"/>
    <s v="UNITED_KINGDOM"/>
    <x v="12"/>
    <s v="UK_A"/>
    <s v="GNR_ENG_BGAS_CND_E-35"/>
    <x v="7"/>
    <x v="0"/>
    <x v="0"/>
    <x v="0"/>
    <x v="0"/>
    <n v="1.3109999999999999"/>
  </r>
  <r>
    <x v="0"/>
    <x v="0"/>
    <x v="0"/>
    <s v="UNITED_KINGDOM"/>
    <x v="12"/>
    <s v="UK_A"/>
    <s v="GNR_ENG_BGAS_CND_E-35"/>
    <x v="7"/>
    <x v="0"/>
    <x v="0"/>
    <x v="1"/>
    <x v="0"/>
    <n v="-1.3109999999999999"/>
  </r>
  <r>
    <x v="0"/>
    <x v="0"/>
    <x v="0"/>
    <s v="UNITED_KINGDOM"/>
    <x v="12"/>
    <s v="UK_A"/>
    <s v="GNR_ENG_LIGHTOIL_CND_E-34"/>
    <x v="4"/>
    <x v="0"/>
    <x v="0"/>
    <x v="0"/>
    <x v="0"/>
    <n v="0.12770000000000001"/>
  </r>
  <r>
    <x v="0"/>
    <x v="0"/>
    <x v="0"/>
    <s v="UNITED_KINGDOM"/>
    <x v="12"/>
    <s v="UK_A"/>
    <s v="GNR_ENG_LIGHTOIL_CND_E-34"/>
    <x v="4"/>
    <x v="0"/>
    <x v="0"/>
    <x v="1"/>
    <x v="0"/>
    <n v="-0.12770000000000001"/>
  </r>
  <r>
    <x v="0"/>
    <x v="0"/>
    <x v="0"/>
    <s v="UNITED_KINGDOM"/>
    <x v="12"/>
    <s v="UK_A"/>
    <s v="GNR_ENG_LIGHTOIL_CND_E-38"/>
    <x v="4"/>
    <x v="0"/>
    <x v="0"/>
    <x v="0"/>
    <x v="0"/>
    <n v="3.1199999999999999E-2"/>
  </r>
  <r>
    <x v="0"/>
    <x v="0"/>
    <x v="0"/>
    <s v="UNITED_KINGDOM"/>
    <x v="12"/>
    <s v="UK_A"/>
    <s v="GNR_ENG_LIGHTOIL_CND_E-38"/>
    <x v="4"/>
    <x v="0"/>
    <x v="0"/>
    <x v="1"/>
    <x v="0"/>
    <n v="-3.1199999999999999E-2"/>
  </r>
  <r>
    <x v="0"/>
    <x v="0"/>
    <x v="0"/>
    <s v="UNITED_KINGDOM"/>
    <x v="12"/>
    <s v="UK_A"/>
    <s v="GNR_GT_FUELOIL_CND_E-30"/>
    <x v="10"/>
    <x v="0"/>
    <x v="0"/>
    <x v="0"/>
    <x v="0"/>
    <n v="0.95800000000000007"/>
  </r>
  <r>
    <x v="0"/>
    <x v="0"/>
    <x v="0"/>
    <s v="UNITED_KINGDOM"/>
    <x v="12"/>
    <s v="UK_A"/>
    <s v="GNR_GT_FUELOIL_CND_E-30"/>
    <x v="10"/>
    <x v="0"/>
    <x v="0"/>
    <x v="1"/>
    <x v="0"/>
    <n v="-0.95800000000000007"/>
  </r>
  <r>
    <x v="0"/>
    <x v="0"/>
    <x v="0"/>
    <s v="UNITED_KINGDOM"/>
    <x v="12"/>
    <s v="UK_A"/>
    <s v="GNR_GT_FUELOIL_CND_E-36"/>
    <x v="10"/>
    <x v="0"/>
    <x v="0"/>
    <x v="0"/>
    <x v="0"/>
    <n v="0.21"/>
  </r>
  <r>
    <x v="0"/>
    <x v="0"/>
    <x v="0"/>
    <s v="UNITED_KINGDOM"/>
    <x v="12"/>
    <s v="UK_A"/>
    <s v="GNR_GT_FUELOIL_CND_E-36"/>
    <x v="10"/>
    <x v="0"/>
    <x v="0"/>
    <x v="1"/>
    <x v="0"/>
    <n v="-0.21"/>
  </r>
  <r>
    <x v="0"/>
    <x v="0"/>
    <x v="0"/>
    <s v="UNITED_KINGDOM"/>
    <x v="12"/>
    <s v="UK_A"/>
    <s v="GNR_GT_NGAS_CND_E-33"/>
    <x v="0"/>
    <x v="0"/>
    <x v="0"/>
    <x v="0"/>
    <x v="0"/>
    <n v="0.54"/>
  </r>
  <r>
    <x v="0"/>
    <x v="0"/>
    <x v="0"/>
    <s v="UNITED_KINGDOM"/>
    <x v="12"/>
    <s v="UK_A"/>
    <s v="GNR_GT_NGAS_CND_E-33"/>
    <x v="0"/>
    <x v="0"/>
    <x v="0"/>
    <x v="1"/>
    <x v="0"/>
    <n v="-0.54"/>
  </r>
  <r>
    <x v="0"/>
    <x v="0"/>
    <x v="0"/>
    <s v="UNITED_KINGDOM"/>
    <x v="12"/>
    <s v="UK_A"/>
    <s v="GNR_GT_NGAS_CND_E-40"/>
    <x v="0"/>
    <x v="0"/>
    <x v="0"/>
    <x v="0"/>
    <x v="0"/>
    <n v="0.74150000000000005"/>
  </r>
  <r>
    <x v="0"/>
    <x v="0"/>
    <x v="0"/>
    <s v="UNITED_KINGDOM"/>
    <x v="12"/>
    <s v="UK_A"/>
    <s v="GNR_GT_NGAS_CND_E-40"/>
    <x v="0"/>
    <x v="0"/>
    <x v="0"/>
    <x v="1"/>
    <x v="0"/>
    <n v="-0.74150000000000005"/>
  </r>
  <r>
    <x v="0"/>
    <x v="0"/>
    <x v="0"/>
    <s v="UNITED_KINGDOM"/>
    <x v="12"/>
    <s v="UK_A"/>
    <s v="GNR_GT_NGAS_CND_E-41"/>
    <x v="0"/>
    <x v="0"/>
    <x v="0"/>
    <x v="0"/>
    <x v="0"/>
    <n v="4.2299999999999997E-2"/>
  </r>
  <r>
    <x v="0"/>
    <x v="0"/>
    <x v="0"/>
    <s v="UNITED_KINGDOM"/>
    <x v="12"/>
    <s v="UK_A"/>
    <s v="GNR_GT_NGAS_CND_E-41"/>
    <x v="0"/>
    <x v="0"/>
    <x v="0"/>
    <x v="1"/>
    <x v="0"/>
    <n v="-4.2299999999999997E-2"/>
  </r>
  <r>
    <x v="0"/>
    <x v="0"/>
    <x v="0"/>
    <s v="UNITED_KINGDOM"/>
    <x v="12"/>
    <s v="UK_A"/>
    <s v="GNR_PV_SUN"/>
    <x v="8"/>
    <x v="0"/>
    <x v="9"/>
    <x v="0"/>
    <x v="0"/>
    <n v="15.35173463067"/>
  </r>
  <r>
    <x v="0"/>
    <x v="0"/>
    <x v="0"/>
    <s v="UNITED_KINGDOM"/>
    <x v="12"/>
    <s v="UK_A"/>
    <s v="GNR_PV_SUN"/>
    <x v="8"/>
    <x v="0"/>
    <x v="9"/>
    <x v="1"/>
    <x v="0"/>
    <n v="-15.35173463067"/>
  </r>
  <r>
    <x v="0"/>
    <x v="0"/>
    <x v="0"/>
    <s v="UNITED_KINGDOM"/>
    <x v="12"/>
    <s v="UK_A"/>
    <s v="GNR_ROR_WTR"/>
    <x v="1"/>
    <x v="0"/>
    <x v="2"/>
    <x v="0"/>
    <x v="0"/>
    <n v="1.742"/>
  </r>
  <r>
    <x v="0"/>
    <x v="0"/>
    <x v="0"/>
    <s v="UNITED_KINGDOM"/>
    <x v="12"/>
    <s v="UK_A"/>
    <s v="GNR_ST_COAL_CND_E-35"/>
    <x v="5"/>
    <x v="0"/>
    <x v="0"/>
    <x v="0"/>
    <x v="0"/>
    <n v="8.3640000000000008"/>
  </r>
  <r>
    <x v="0"/>
    <x v="0"/>
    <x v="0"/>
    <s v="UNITED_KINGDOM"/>
    <x v="12"/>
    <s v="UK_A"/>
    <s v="GNR_ST_COAL_CND_E-35"/>
    <x v="5"/>
    <x v="0"/>
    <x v="0"/>
    <x v="1"/>
    <x v="0"/>
    <n v="-8.3640000000000008"/>
  </r>
  <r>
    <x v="0"/>
    <x v="0"/>
    <x v="0"/>
    <s v="UNITED_KINGDOM"/>
    <x v="12"/>
    <s v="UK_A"/>
    <s v="GNR_ST_COAL_CND_E-38"/>
    <x v="5"/>
    <x v="0"/>
    <x v="0"/>
    <x v="0"/>
    <x v="0"/>
    <n v="6.1109999999999998"/>
  </r>
  <r>
    <x v="0"/>
    <x v="0"/>
    <x v="0"/>
    <s v="UNITED_KINGDOM"/>
    <x v="12"/>
    <s v="UK_A"/>
    <s v="GNR_ST_COAL_CND_E-38"/>
    <x v="5"/>
    <x v="0"/>
    <x v="0"/>
    <x v="1"/>
    <x v="0"/>
    <n v="-6.1109999999999998"/>
  </r>
  <r>
    <x v="0"/>
    <x v="0"/>
    <x v="0"/>
    <s v="UNITED_KINGDOM"/>
    <x v="12"/>
    <s v="UK_A"/>
    <s v="GNR_ST_MSW_CND_E-20"/>
    <x v="17"/>
    <x v="0"/>
    <x v="0"/>
    <x v="0"/>
    <x v="0"/>
    <n v="1.978"/>
  </r>
  <r>
    <x v="0"/>
    <x v="0"/>
    <x v="0"/>
    <s v="UNITED_KINGDOM"/>
    <x v="12"/>
    <s v="UK_A"/>
    <s v="GNR_ST_MSW_CND_E-20"/>
    <x v="17"/>
    <x v="0"/>
    <x v="0"/>
    <x v="1"/>
    <x v="0"/>
    <n v="-1.978"/>
  </r>
  <r>
    <x v="0"/>
    <x v="0"/>
    <x v="0"/>
    <s v="UNITED_KINGDOM"/>
    <x v="12"/>
    <s v="UK_A"/>
    <s v="GNR_ST_MSW_CND_E-33"/>
    <x v="17"/>
    <x v="0"/>
    <x v="0"/>
    <x v="0"/>
    <x v="0"/>
    <n v="0.40052599999999999"/>
  </r>
  <r>
    <x v="0"/>
    <x v="0"/>
    <x v="0"/>
    <s v="UNITED_KINGDOM"/>
    <x v="12"/>
    <s v="UK_A"/>
    <s v="GNR_ST_MSW_CND_E-33"/>
    <x v="17"/>
    <x v="0"/>
    <x v="0"/>
    <x v="1"/>
    <x v="0"/>
    <n v="-3.6999999999999998E-2"/>
  </r>
  <r>
    <x v="0"/>
    <x v="0"/>
    <x v="0"/>
    <s v="UNITED_KINGDOM"/>
    <x v="12"/>
    <s v="UK_A"/>
    <s v="GNR_ST_NUCL_CND_E-33"/>
    <x v="11"/>
    <x v="0"/>
    <x v="0"/>
    <x v="0"/>
    <x v="0"/>
    <n v="12.561"/>
  </r>
  <r>
    <x v="0"/>
    <x v="0"/>
    <x v="0"/>
    <s v="UNITED_KINGDOM"/>
    <x v="12"/>
    <s v="UK_A"/>
    <s v="GNR_ST_NUCL_CND_E-33"/>
    <x v="11"/>
    <x v="0"/>
    <x v="0"/>
    <x v="1"/>
    <x v="0"/>
    <n v="-9.3610000000000007"/>
  </r>
  <r>
    <x v="0"/>
    <x v="0"/>
    <x v="0"/>
    <s v="UNITED_KINGDOM"/>
    <x v="12"/>
    <s v="UK_A"/>
    <s v="GNR_ST_STRW_CND_E-25"/>
    <x v="21"/>
    <x v="0"/>
    <x v="0"/>
    <x v="0"/>
    <x v="0"/>
    <n v="3.7999999999999999E-2"/>
  </r>
  <r>
    <x v="0"/>
    <x v="0"/>
    <x v="0"/>
    <s v="UNITED_KINGDOM"/>
    <x v="12"/>
    <s v="UK_A"/>
    <s v="GNR_ST_STRW_CND_E-25"/>
    <x v="21"/>
    <x v="0"/>
    <x v="0"/>
    <x v="1"/>
    <x v="0"/>
    <n v="-3.7999999999999999E-2"/>
  </r>
  <r>
    <x v="0"/>
    <x v="0"/>
    <x v="0"/>
    <s v="UNITED_KINGDOM"/>
    <x v="12"/>
    <s v="UK_A"/>
    <s v="GNR_ST_WOODPEL_CND_E-30"/>
    <x v="9"/>
    <x v="0"/>
    <x v="0"/>
    <x v="0"/>
    <x v="0"/>
    <n v="2.0623"/>
  </r>
  <r>
    <x v="0"/>
    <x v="0"/>
    <x v="0"/>
    <s v="UNITED_KINGDOM"/>
    <x v="12"/>
    <s v="UK_A"/>
    <s v="GNR_ST_WOODPEL_CND_E-30"/>
    <x v="9"/>
    <x v="0"/>
    <x v="0"/>
    <x v="1"/>
    <x v="0"/>
    <n v="-2.0623"/>
  </r>
  <r>
    <x v="0"/>
    <x v="0"/>
    <x v="0"/>
    <s v="UNITED_KINGDOM"/>
    <x v="12"/>
    <s v="UK_A"/>
    <s v="GNR_WT_WIND_ONS_RG1"/>
    <x v="3"/>
    <x v="0"/>
    <x v="5"/>
    <x v="0"/>
    <x v="0"/>
    <n v="1.1282624627119999"/>
  </r>
  <r>
    <x v="0"/>
    <x v="0"/>
    <x v="0"/>
    <s v="UNITED_KINGDOM"/>
    <x v="12"/>
    <s v="UK_A"/>
    <s v="GNR_WT_WIND_ONS_RG1"/>
    <x v="3"/>
    <x v="0"/>
    <x v="5"/>
    <x v="1"/>
    <x v="0"/>
    <n v="-1.1282624627119999"/>
  </r>
  <r>
    <x v="0"/>
    <x v="0"/>
    <x v="0"/>
    <s v="UNITED_KINGDOM"/>
    <x v="12"/>
    <s v="UK_A"/>
    <s v="GNR_WT_WIND_ONS_RG2"/>
    <x v="3"/>
    <x v="0"/>
    <x v="5"/>
    <x v="0"/>
    <x v="0"/>
    <n v="8.1211237814080004"/>
  </r>
  <r>
    <x v="0"/>
    <x v="0"/>
    <x v="0"/>
    <s v="UNITED_KINGDOM"/>
    <x v="12"/>
    <s v="UK_A"/>
    <s v="GNR_WT_WIND_ONS_RG2"/>
    <x v="3"/>
    <x v="0"/>
    <x v="5"/>
    <x v="1"/>
    <x v="0"/>
    <n v="-8.1211237814079986"/>
  </r>
  <r>
    <x v="0"/>
    <x v="0"/>
    <x v="0"/>
    <s v="UNITED_KINGDOM"/>
    <x v="12"/>
    <s v="UK_A"/>
    <s v="GNR_WT_WIND_ONS_RG3"/>
    <x v="3"/>
    <x v="0"/>
    <x v="5"/>
    <x v="0"/>
    <x v="0"/>
    <n v="5.5378019958799998"/>
  </r>
  <r>
    <x v="0"/>
    <x v="0"/>
    <x v="0"/>
    <s v="UNITED_KINGDOM"/>
    <x v="12"/>
    <s v="UK_A"/>
    <s v="GNR_WT_WIND_ONS_RG3"/>
    <x v="3"/>
    <x v="0"/>
    <x v="5"/>
    <x v="1"/>
    <x v="0"/>
    <n v="-5.5378019958800007"/>
  </r>
  <r>
    <x v="0"/>
    <x v="0"/>
    <x v="0"/>
    <s v="UNITED_KINGDOM"/>
    <x v="12"/>
    <s v="UK_A"/>
    <s v="GNR_ELYS_ELEC_AEC_Y-2050"/>
    <x v="2"/>
    <x v="1"/>
    <x v="3"/>
    <x v="2"/>
    <x v="0"/>
    <n v="30.946789561785273"/>
  </r>
  <r>
    <x v="0"/>
    <x v="0"/>
    <x v="0"/>
    <s v="UNITED_KINGDOM"/>
    <x v="12"/>
    <s v="UK_A"/>
    <s v="GNR_FC_H2_SOFCC_Y-2050"/>
    <x v="6"/>
    <x v="0"/>
    <x v="12"/>
    <x v="2"/>
    <x v="0"/>
    <n v="2.4005833795148606"/>
  </r>
  <r>
    <x v="0"/>
    <x v="0"/>
    <x v="0"/>
    <s v="UNITED_KINGDOM"/>
    <x v="12"/>
    <s v="UK_A"/>
    <s v="GNR_H2S_H2-CAVERN_Y-2050"/>
    <x v="6"/>
    <x v="1"/>
    <x v="7"/>
    <x v="2"/>
    <x v="0"/>
    <n v="66.397232435741955"/>
  </r>
  <r>
    <x v="0"/>
    <x v="0"/>
    <x v="0"/>
    <s v="UNITED_KINGDOM"/>
    <x v="12"/>
    <s v="UK_A"/>
    <s v="GNR_STEAM-REFORMING_E-70_Y-2020"/>
    <x v="0"/>
    <x v="1"/>
    <x v="4"/>
    <x v="0"/>
    <x v="0"/>
    <n v="3.1149191591514356"/>
  </r>
  <r>
    <x v="0"/>
    <x v="0"/>
    <x v="0"/>
    <s v="UNITED_KINGDOM"/>
    <x v="12"/>
    <s v="UK_A"/>
    <s v="GNR_STEAM-REFORMING_E-70_Y-2020"/>
    <x v="0"/>
    <x v="1"/>
    <x v="4"/>
    <x v="2"/>
    <x v="0"/>
    <n v="-6.3664629124104976E-16"/>
  </r>
  <r>
    <x v="0"/>
    <x v="0"/>
    <x v="0"/>
    <s v="UNITED_KINGDOM"/>
    <x v="12"/>
    <s v="UK_A"/>
    <s v="GNR_STEAM-REFORMING_E-70_Y-2020"/>
    <x v="0"/>
    <x v="1"/>
    <x v="4"/>
    <x v="1"/>
    <x v="0"/>
    <n v="-3.1149191591514351"/>
  </r>
  <r>
    <x v="0"/>
    <x v="0"/>
    <x v="0"/>
    <s v="UNITED_KINGDOM"/>
    <x v="12"/>
    <s v="UK_Offshore"/>
    <s v="GNR_WT_WIND_OFF"/>
    <x v="3"/>
    <x v="0"/>
    <x v="10"/>
    <x v="0"/>
    <x v="0"/>
    <n v="6.9996999999999998"/>
  </r>
  <r>
    <x v="0"/>
    <x v="0"/>
    <x v="0"/>
    <s v="UNITED_KINGDOM"/>
    <x v="12"/>
    <s v="UK_Offshore"/>
    <s v="GNR_WT_WIND_OFF"/>
    <x v="3"/>
    <x v="0"/>
    <x v="10"/>
    <x v="1"/>
    <x v="0"/>
    <n v="-6.9996999999999998"/>
  </r>
  <r>
    <x v="0"/>
    <x v="0"/>
    <x v="0"/>
    <s v="UNITED_KINGDOM"/>
    <x v="12"/>
    <s v="UK_IND-MT-NODH"/>
    <s v="GNR_CC_NGAS_EXT_E-61"/>
    <x v="0"/>
    <x v="2"/>
    <x v="6"/>
    <x v="0"/>
    <x v="0"/>
    <n v="1.8174358974358975"/>
  </r>
  <r>
    <x v="0"/>
    <x v="0"/>
    <x v="0"/>
    <s v="UNITED_KINGDOM"/>
    <x v="12"/>
    <s v="UK_IND-MT-NODH"/>
    <s v="GNR_CC_NGAS_EXT_E-61"/>
    <x v="0"/>
    <x v="2"/>
    <x v="6"/>
    <x v="1"/>
    <x v="0"/>
    <n v="-1.8174358974358975"/>
  </r>
  <r>
    <x v="0"/>
    <x v="0"/>
    <x v="0"/>
    <s v="UNITED_KINGDOM"/>
    <x v="12"/>
    <s v="UK_IND-MT-NODH"/>
    <s v="GNR_CC_NGAS_EXT_E-61"/>
    <x v="0"/>
    <x v="0"/>
    <x v="6"/>
    <x v="0"/>
    <x v="0"/>
    <n v="3.544"/>
  </r>
  <r>
    <x v="0"/>
    <x v="0"/>
    <x v="0"/>
    <s v="UNITED_KINGDOM"/>
    <x v="12"/>
    <s v="UK_IND-MT-NODH"/>
    <s v="GNR_CC_NGAS_EXT_E-61"/>
    <x v="0"/>
    <x v="0"/>
    <x v="6"/>
    <x v="1"/>
    <x v="0"/>
    <n v="-3.544"/>
  </r>
  <r>
    <x v="0"/>
    <x v="0"/>
    <x v="0"/>
    <s v="UNITED_KINGDOM"/>
    <x v="12"/>
    <s v="UK00_A"/>
    <s v="GNR_WT_ONS-2050"/>
    <x v="3"/>
    <x v="0"/>
    <x v="5"/>
    <x v="2"/>
    <x v="0"/>
    <n v="119.99999999999999"/>
  </r>
  <r>
    <x v="0"/>
    <x v="0"/>
    <x v="0"/>
    <s v="UNITED_KINGDOM"/>
    <x v="12"/>
    <s v="UK00_A"/>
    <s v="GNR_PV-2050"/>
    <x v="8"/>
    <x v="0"/>
    <x v="9"/>
    <x v="2"/>
    <x v="0"/>
    <n v="65.890201887711598"/>
  </r>
  <r>
    <x v="0"/>
    <x v="0"/>
    <x v="0"/>
    <s v="UNITED_KINGDOM"/>
    <x v="13"/>
    <s v="UKNI_A"/>
    <s v="GNR_ELYS_ELEC_AEC_Y-2050"/>
    <x v="2"/>
    <x v="1"/>
    <x v="3"/>
    <x v="2"/>
    <x v="0"/>
    <n v="7.6133448758366777E-3"/>
  </r>
  <r>
    <x v="0"/>
    <x v="0"/>
    <x v="0"/>
    <s v="UNITED_KINGDOM"/>
    <x v="13"/>
    <s v="UKNI_A"/>
    <s v="GNR_FC_H2_SOFCC_Y-2050"/>
    <x v="6"/>
    <x v="0"/>
    <x v="12"/>
    <x v="2"/>
    <x v="0"/>
    <n v="3.645225386140874E-2"/>
  </r>
  <r>
    <x v="0"/>
    <x v="0"/>
    <x v="0"/>
    <s v="UNITED_KINGDOM"/>
    <x v="13"/>
    <s v="UKNI_A"/>
    <s v="GNR_H2S_H2-CAVERN_Y-2050"/>
    <x v="6"/>
    <x v="1"/>
    <x v="7"/>
    <x v="2"/>
    <x v="0"/>
    <n v="5.7418178375231249E-2"/>
  </r>
  <r>
    <x v="0"/>
    <x v="0"/>
    <x v="0"/>
    <s v="ESTONIA"/>
    <x v="14"/>
    <s v="EE_Enefit"/>
    <s v="ENEFIT_RETORT_DUMMY"/>
    <x v="22"/>
    <x v="0"/>
    <x v="0"/>
    <x v="0"/>
    <x v="0"/>
    <n v="0.19900000000000001"/>
  </r>
  <r>
    <x v="0"/>
    <x v="0"/>
    <x v="0"/>
    <s v="ESTONIA"/>
    <x v="14"/>
    <s v="EE_Enefit"/>
    <s v="ENEFIT_ST_RETORT-GAS_CND"/>
    <x v="23"/>
    <x v="0"/>
    <x v="0"/>
    <x v="0"/>
    <x v="0"/>
    <n v="0.12"/>
  </r>
  <r>
    <x v="0"/>
    <x v="0"/>
    <x v="0"/>
    <s v="ESTONIA"/>
    <x v="14"/>
    <s v="EE_Enefit"/>
    <s v="ENEFIT_ST_RETORT-GAS_CND"/>
    <x v="23"/>
    <x v="0"/>
    <x v="0"/>
    <x v="1"/>
    <x v="0"/>
    <n v="-0.12"/>
  </r>
  <r>
    <x v="0"/>
    <x v="0"/>
    <x v="0"/>
    <s v="ESTONIA"/>
    <x v="14"/>
    <s v="EE_Kohtla_Jarve"/>
    <s v="GNR_ENG_NGAS_EXT_E-44"/>
    <x v="0"/>
    <x v="2"/>
    <x v="6"/>
    <x v="0"/>
    <x v="0"/>
    <n v="1.7977528089887642E-2"/>
  </r>
  <r>
    <x v="0"/>
    <x v="0"/>
    <x v="0"/>
    <s v="ESTONIA"/>
    <x v="14"/>
    <s v="EE_Kohtla_Jarve"/>
    <s v="GNR_ENG_NGAS_EXT_E-44"/>
    <x v="0"/>
    <x v="2"/>
    <x v="6"/>
    <x v="1"/>
    <x v="0"/>
    <n v="-1.7977528089887642E-2"/>
  </r>
  <r>
    <x v="0"/>
    <x v="0"/>
    <x v="0"/>
    <s v="ESTONIA"/>
    <x v="14"/>
    <s v="EE_Kohtla_Jarve"/>
    <s v="GNR_ENG_NGAS_EXT_E-44"/>
    <x v="0"/>
    <x v="0"/>
    <x v="6"/>
    <x v="0"/>
    <x v="0"/>
    <n v="1.6E-2"/>
  </r>
  <r>
    <x v="0"/>
    <x v="0"/>
    <x v="0"/>
    <s v="ESTONIA"/>
    <x v="14"/>
    <s v="EE_Kohtla_Jarve"/>
    <s v="GNR_ENG_NGAS_EXT_E-44"/>
    <x v="0"/>
    <x v="0"/>
    <x v="6"/>
    <x v="1"/>
    <x v="0"/>
    <n v="-1.6E-2"/>
  </r>
  <r>
    <x v="0"/>
    <x v="0"/>
    <x v="0"/>
    <s v="ESTONIA"/>
    <x v="14"/>
    <s v="EE_Kohtla_Jarve"/>
    <s v="GNR_ST_SHALE"/>
    <x v="24"/>
    <x v="0"/>
    <x v="0"/>
    <x v="0"/>
    <x v="0"/>
    <n v="7.4999999999999997E-3"/>
  </r>
  <r>
    <x v="0"/>
    <x v="0"/>
    <x v="0"/>
    <s v="ESTONIA"/>
    <x v="14"/>
    <s v="EE_Kohtla_Jarve"/>
    <s v="GNR_ST_SHALE"/>
    <x v="24"/>
    <x v="0"/>
    <x v="0"/>
    <x v="1"/>
    <x v="0"/>
    <n v="-7.4999999999999997E-3"/>
  </r>
  <r>
    <x v="0"/>
    <x v="0"/>
    <x v="0"/>
    <s v="ESTONIA"/>
    <x v="14"/>
    <s v="EE_Kohtla_Jarve"/>
    <s v="VKG_ST_RETORT-GAS_EXT"/>
    <x v="23"/>
    <x v="2"/>
    <x v="6"/>
    <x v="0"/>
    <x v="0"/>
    <n v="6.3106796116504854E-2"/>
  </r>
  <r>
    <x v="0"/>
    <x v="0"/>
    <x v="0"/>
    <s v="ESTONIA"/>
    <x v="14"/>
    <s v="EE_Kohtla_Jarve"/>
    <s v="VKG_ST_RETORT-GAS_EXT"/>
    <x v="23"/>
    <x v="2"/>
    <x v="6"/>
    <x v="1"/>
    <x v="0"/>
    <n v="-6.3106796116504854E-2"/>
  </r>
  <r>
    <x v="0"/>
    <x v="0"/>
    <x v="0"/>
    <s v="ESTONIA"/>
    <x v="14"/>
    <s v="EE_Kohtla_Jarve"/>
    <s v="VKG_ST_RETORT-GAS_EXT"/>
    <x v="23"/>
    <x v="0"/>
    <x v="6"/>
    <x v="0"/>
    <x v="0"/>
    <n v="6.5000000000000002E-2"/>
  </r>
  <r>
    <x v="0"/>
    <x v="0"/>
    <x v="0"/>
    <s v="ESTONIA"/>
    <x v="14"/>
    <s v="EE_Kohtla_Jarve"/>
    <s v="VKG_ST_RETORT-GAS_EXT"/>
    <x v="23"/>
    <x v="0"/>
    <x v="6"/>
    <x v="1"/>
    <x v="0"/>
    <n v="-6.5000000000000002E-2"/>
  </r>
  <r>
    <x v="0"/>
    <x v="0"/>
    <x v="0"/>
    <s v="ESTONIA"/>
    <x v="14"/>
    <s v="EE_Narva"/>
    <s v="AUVERE_ST_SHALE_CND"/>
    <x v="24"/>
    <x v="0"/>
    <x v="0"/>
    <x v="0"/>
    <x v="0"/>
    <n v="0.27400000000000002"/>
  </r>
  <r>
    <x v="0"/>
    <x v="0"/>
    <x v="0"/>
    <s v="ESTONIA"/>
    <x v="14"/>
    <s v="EE_Narva"/>
    <s v="AUVERE_ST_SHALE_CND"/>
    <x v="24"/>
    <x v="0"/>
    <x v="0"/>
    <x v="1"/>
    <x v="0"/>
    <n v="-0.27400000000000002"/>
  </r>
  <r>
    <x v="0"/>
    <x v="0"/>
    <x v="0"/>
    <s v="ESTONIA"/>
    <x v="14"/>
    <s v="EE_Narva"/>
    <s v="NARVA-1_ST_SHALE_CND"/>
    <x v="24"/>
    <x v="0"/>
    <x v="0"/>
    <x v="0"/>
    <x v="0"/>
    <n v="0.16700000000000001"/>
  </r>
  <r>
    <x v="0"/>
    <x v="0"/>
    <x v="0"/>
    <s v="ESTONIA"/>
    <x v="14"/>
    <s v="EE_Narva"/>
    <s v="NARVA-1_ST_SHALE_CND"/>
    <x v="24"/>
    <x v="0"/>
    <x v="0"/>
    <x v="1"/>
    <x v="0"/>
    <n v="-0.16700000000000001"/>
  </r>
  <r>
    <x v="0"/>
    <x v="0"/>
    <x v="0"/>
    <s v="ESTONIA"/>
    <x v="14"/>
    <s v="EE_Narva"/>
    <s v="NARVA-11_ST_SHALE_EXT"/>
    <x v="24"/>
    <x v="2"/>
    <x v="6"/>
    <x v="0"/>
    <x v="0"/>
    <n v="0.18285714285714286"/>
  </r>
  <r>
    <x v="0"/>
    <x v="0"/>
    <x v="0"/>
    <s v="ESTONIA"/>
    <x v="14"/>
    <s v="EE_Narva"/>
    <s v="NARVA-11_ST_SHALE_EXT"/>
    <x v="24"/>
    <x v="2"/>
    <x v="6"/>
    <x v="1"/>
    <x v="0"/>
    <n v="-0.18285714285714286"/>
  </r>
  <r>
    <x v="0"/>
    <x v="0"/>
    <x v="0"/>
    <s v="ESTONIA"/>
    <x v="14"/>
    <s v="EE_Narva"/>
    <s v="NARVA-11_ST_SHALE_EXT"/>
    <x v="24"/>
    <x v="0"/>
    <x v="6"/>
    <x v="0"/>
    <x v="0"/>
    <n v="0.192"/>
  </r>
  <r>
    <x v="0"/>
    <x v="0"/>
    <x v="0"/>
    <s v="ESTONIA"/>
    <x v="14"/>
    <s v="EE_Narva"/>
    <s v="NARVA-11_ST_SHALE_EXT"/>
    <x v="24"/>
    <x v="0"/>
    <x v="6"/>
    <x v="1"/>
    <x v="0"/>
    <n v="-0.192"/>
  </r>
  <r>
    <x v="0"/>
    <x v="0"/>
    <x v="0"/>
    <s v="ESTONIA"/>
    <x v="14"/>
    <s v="EE_Narva"/>
    <s v="NARVA-12_ST_SHALE_CND"/>
    <x v="24"/>
    <x v="0"/>
    <x v="0"/>
    <x v="0"/>
    <x v="0"/>
    <n v="0.16"/>
  </r>
  <r>
    <x v="0"/>
    <x v="0"/>
    <x v="0"/>
    <s v="ESTONIA"/>
    <x v="14"/>
    <s v="EE_Narva"/>
    <s v="NARVA-12_ST_SHALE_CND"/>
    <x v="24"/>
    <x v="0"/>
    <x v="0"/>
    <x v="1"/>
    <x v="0"/>
    <n v="-0.16"/>
  </r>
  <r>
    <x v="0"/>
    <x v="0"/>
    <x v="0"/>
    <s v="ESTONIA"/>
    <x v="14"/>
    <s v="EE_Narva"/>
    <s v="NARVA-2_ST_SHALE_CND"/>
    <x v="24"/>
    <x v="0"/>
    <x v="0"/>
    <x v="0"/>
    <x v="0"/>
    <n v="0.16700000000000001"/>
  </r>
  <r>
    <x v="0"/>
    <x v="0"/>
    <x v="0"/>
    <s v="ESTONIA"/>
    <x v="14"/>
    <s v="EE_Narva"/>
    <s v="NARVA-2_ST_SHALE_CND"/>
    <x v="24"/>
    <x v="0"/>
    <x v="0"/>
    <x v="1"/>
    <x v="0"/>
    <n v="-0.16700000000000001"/>
  </r>
  <r>
    <x v="0"/>
    <x v="0"/>
    <x v="0"/>
    <s v="ESTONIA"/>
    <x v="14"/>
    <s v="EE_Narva"/>
    <s v="NARVA-3_ST_SHALE_CND"/>
    <x v="24"/>
    <x v="0"/>
    <x v="0"/>
    <x v="0"/>
    <x v="0"/>
    <n v="0.16400000000000001"/>
  </r>
  <r>
    <x v="0"/>
    <x v="0"/>
    <x v="0"/>
    <s v="ESTONIA"/>
    <x v="14"/>
    <s v="EE_Narva"/>
    <s v="NARVA-3_ST_SHALE_CND"/>
    <x v="24"/>
    <x v="0"/>
    <x v="0"/>
    <x v="1"/>
    <x v="0"/>
    <n v="-0.16400000000000001"/>
  </r>
  <r>
    <x v="0"/>
    <x v="0"/>
    <x v="0"/>
    <s v="ESTONIA"/>
    <x v="14"/>
    <s v="EE_Narva"/>
    <s v="NARVA-4_ST_SHALE_CND"/>
    <x v="24"/>
    <x v="0"/>
    <x v="0"/>
    <x v="0"/>
    <x v="0"/>
    <n v="0.16400000000000001"/>
  </r>
  <r>
    <x v="0"/>
    <x v="0"/>
    <x v="0"/>
    <s v="ESTONIA"/>
    <x v="14"/>
    <s v="EE_Narva"/>
    <s v="NARVA-4_ST_SHALE_CND"/>
    <x v="24"/>
    <x v="0"/>
    <x v="0"/>
    <x v="1"/>
    <x v="0"/>
    <n v="-0.16400000000000001"/>
  </r>
  <r>
    <x v="0"/>
    <x v="0"/>
    <x v="0"/>
    <s v="ESTONIA"/>
    <x v="14"/>
    <s v="EE_Narva"/>
    <s v="NARVA-5_ST_SHALE_CND"/>
    <x v="24"/>
    <x v="0"/>
    <x v="0"/>
    <x v="0"/>
    <x v="0"/>
    <n v="0.17300000000000001"/>
  </r>
  <r>
    <x v="0"/>
    <x v="0"/>
    <x v="0"/>
    <s v="ESTONIA"/>
    <x v="14"/>
    <s v="EE_Narva"/>
    <s v="NARVA-5_ST_SHALE_CND"/>
    <x v="24"/>
    <x v="0"/>
    <x v="0"/>
    <x v="1"/>
    <x v="0"/>
    <n v="-0.17300000000000001"/>
  </r>
  <r>
    <x v="0"/>
    <x v="0"/>
    <x v="0"/>
    <s v="ESTONIA"/>
    <x v="14"/>
    <s v="EE_Narva"/>
    <s v="NARVA-6_ST_SHALE_CND"/>
    <x v="24"/>
    <x v="0"/>
    <x v="0"/>
    <x v="0"/>
    <x v="0"/>
    <n v="0.17300000000000001"/>
  </r>
  <r>
    <x v="0"/>
    <x v="0"/>
    <x v="0"/>
    <s v="ESTONIA"/>
    <x v="14"/>
    <s v="EE_Narva"/>
    <s v="NARVA-6_ST_SHALE_CND"/>
    <x v="24"/>
    <x v="0"/>
    <x v="0"/>
    <x v="1"/>
    <x v="0"/>
    <n v="-0.17300000000000001"/>
  </r>
  <r>
    <x v="0"/>
    <x v="0"/>
    <x v="0"/>
    <s v="ESTONIA"/>
    <x v="14"/>
    <s v="EE_Narva"/>
    <s v="NARVA-7_ST_SHALE_CND"/>
    <x v="24"/>
    <x v="0"/>
    <x v="0"/>
    <x v="0"/>
    <x v="0"/>
    <n v="0.16700000000000001"/>
  </r>
  <r>
    <x v="0"/>
    <x v="0"/>
    <x v="0"/>
    <s v="ESTONIA"/>
    <x v="14"/>
    <s v="EE_Narva"/>
    <s v="NARVA-7_ST_SHALE_CND"/>
    <x v="24"/>
    <x v="0"/>
    <x v="0"/>
    <x v="1"/>
    <x v="0"/>
    <n v="-0.16700000000000001"/>
  </r>
  <r>
    <x v="0"/>
    <x v="0"/>
    <x v="0"/>
    <s v="ESTONIA"/>
    <x v="14"/>
    <s v="EE_Narva"/>
    <s v="NARVA-8_ST_SHALE_CND"/>
    <x v="24"/>
    <x v="0"/>
    <x v="0"/>
    <x v="0"/>
    <x v="0"/>
    <n v="0.19400000000000001"/>
  </r>
  <r>
    <x v="0"/>
    <x v="0"/>
    <x v="0"/>
    <s v="ESTONIA"/>
    <x v="14"/>
    <s v="EE_Narva"/>
    <s v="NARVA-8_ST_SHALE_CND"/>
    <x v="24"/>
    <x v="0"/>
    <x v="0"/>
    <x v="1"/>
    <x v="0"/>
    <n v="-0.19400000000000001"/>
  </r>
  <r>
    <x v="0"/>
    <x v="0"/>
    <x v="0"/>
    <s v="ESTONIA"/>
    <x v="14"/>
    <s v="EE_Parnu"/>
    <s v="GNR_ST_BGAS_EXT_E-38"/>
    <x v="7"/>
    <x v="2"/>
    <x v="6"/>
    <x v="0"/>
    <x v="0"/>
    <n v="1.2048192771084337E-4"/>
  </r>
  <r>
    <x v="0"/>
    <x v="0"/>
    <x v="0"/>
    <s v="ESTONIA"/>
    <x v="14"/>
    <s v="EE_Parnu"/>
    <s v="GNR_ST_BGAS_EXT_E-38"/>
    <x v="7"/>
    <x v="2"/>
    <x v="6"/>
    <x v="1"/>
    <x v="0"/>
    <n v="-1.2048192771084337E-4"/>
  </r>
  <r>
    <x v="0"/>
    <x v="0"/>
    <x v="0"/>
    <s v="ESTONIA"/>
    <x v="14"/>
    <s v="EE_Parnu"/>
    <s v="GNR_ST_BGAS_EXT_E-38"/>
    <x v="7"/>
    <x v="0"/>
    <x v="6"/>
    <x v="0"/>
    <x v="0"/>
    <n v="1E-4"/>
  </r>
  <r>
    <x v="0"/>
    <x v="0"/>
    <x v="0"/>
    <s v="ESTONIA"/>
    <x v="14"/>
    <s v="EE_Parnu"/>
    <s v="GNR_ST_BGAS_EXT_E-38"/>
    <x v="7"/>
    <x v="0"/>
    <x v="6"/>
    <x v="1"/>
    <x v="0"/>
    <n v="-1E-4"/>
  </r>
  <r>
    <x v="0"/>
    <x v="0"/>
    <x v="0"/>
    <s v="ESTONIA"/>
    <x v="14"/>
    <s v="EE_Rural"/>
    <s v="GNR_ENG_NGAS_EXT_E-44"/>
    <x v="0"/>
    <x v="2"/>
    <x v="6"/>
    <x v="0"/>
    <x v="0"/>
    <n v="4.4943820224719105E-3"/>
  </r>
  <r>
    <x v="0"/>
    <x v="0"/>
    <x v="0"/>
    <s v="ESTONIA"/>
    <x v="14"/>
    <s v="EE_Rural"/>
    <s v="GNR_ENG_NGAS_EXT_E-44"/>
    <x v="0"/>
    <x v="2"/>
    <x v="6"/>
    <x v="1"/>
    <x v="0"/>
    <n v="-4.4943820224719105E-3"/>
  </r>
  <r>
    <x v="0"/>
    <x v="0"/>
    <x v="0"/>
    <s v="ESTONIA"/>
    <x v="14"/>
    <s v="EE_Rural"/>
    <s v="GNR_ENG_NGAS_EXT_E-44"/>
    <x v="0"/>
    <x v="0"/>
    <x v="6"/>
    <x v="0"/>
    <x v="0"/>
    <n v="4.0000000000000001E-3"/>
  </r>
  <r>
    <x v="0"/>
    <x v="0"/>
    <x v="0"/>
    <s v="ESTONIA"/>
    <x v="14"/>
    <s v="EE_Rural"/>
    <s v="GNR_ENG_NGAS_EXT_E-44"/>
    <x v="0"/>
    <x v="0"/>
    <x v="6"/>
    <x v="1"/>
    <x v="0"/>
    <n v="-4.0000000000000001E-3"/>
  </r>
  <r>
    <x v="0"/>
    <x v="0"/>
    <x v="0"/>
    <s v="ESTONIA"/>
    <x v="14"/>
    <s v="EE_Rural"/>
    <s v="GNR_ST_BGAS_EXT_E-38"/>
    <x v="7"/>
    <x v="2"/>
    <x v="6"/>
    <x v="0"/>
    <x v="0"/>
    <n v="3.9759036144578312E-3"/>
  </r>
  <r>
    <x v="0"/>
    <x v="0"/>
    <x v="0"/>
    <s v="ESTONIA"/>
    <x v="14"/>
    <s v="EE_Rural"/>
    <s v="GNR_ST_BGAS_EXT_E-38"/>
    <x v="7"/>
    <x v="2"/>
    <x v="6"/>
    <x v="1"/>
    <x v="0"/>
    <n v="-3.9759036144578312E-3"/>
  </r>
  <r>
    <x v="0"/>
    <x v="0"/>
    <x v="0"/>
    <s v="ESTONIA"/>
    <x v="14"/>
    <s v="EE_Rural"/>
    <s v="GNR_ST_BGAS_EXT_E-38"/>
    <x v="7"/>
    <x v="0"/>
    <x v="6"/>
    <x v="0"/>
    <x v="0"/>
    <n v="3.3E-3"/>
  </r>
  <r>
    <x v="0"/>
    <x v="0"/>
    <x v="0"/>
    <s v="ESTONIA"/>
    <x v="14"/>
    <s v="EE_Rural"/>
    <s v="GNR_ST_BGAS_EXT_E-38"/>
    <x v="7"/>
    <x v="0"/>
    <x v="6"/>
    <x v="1"/>
    <x v="0"/>
    <n v="-3.3E-3"/>
  </r>
  <r>
    <x v="0"/>
    <x v="0"/>
    <x v="0"/>
    <s v="ESTONIA"/>
    <x v="14"/>
    <s v="EE_Sillamae"/>
    <s v="GNR_ENG_NGAS_EXT_E-44"/>
    <x v="0"/>
    <x v="2"/>
    <x v="6"/>
    <x v="0"/>
    <x v="0"/>
    <n v="1.1235955056179775E-2"/>
  </r>
  <r>
    <x v="0"/>
    <x v="0"/>
    <x v="0"/>
    <s v="ESTONIA"/>
    <x v="14"/>
    <s v="EE_Sillamae"/>
    <s v="GNR_ENG_NGAS_EXT_E-44"/>
    <x v="0"/>
    <x v="2"/>
    <x v="6"/>
    <x v="1"/>
    <x v="0"/>
    <n v="-1.1235955056179775E-2"/>
  </r>
  <r>
    <x v="0"/>
    <x v="0"/>
    <x v="0"/>
    <s v="ESTONIA"/>
    <x v="14"/>
    <s v="EE_Sillamae"/>
    <s v="GNR_ENG_NGAS_EXT_E-44"/>
    <x v="0"/>
    <x v="0"/>
    <x v="6"/>
    <x v="0"/>
    <x v="0"/>
    <n v="0.01"/>
  </r>
  <r>
    <x v="0"/>
    <x v="0"/>
    <x v="0"/>
    <s v="ESTONIA"/>
    <x v="14"/>
    <s v="EE_Sillamae"/>
    <s v="GNR_ENG_NGAS_EXT_E-44"/>
    <x v="0"/>
    <x v="0"/>
    <x v="6"/>
    <x v="1"/>
    <x v="0"/>
    <n v="-0.01"/>
  </r>
  <r>
    <x v="0"/>
    <x v="0"/>
    <x v="0"/>
    <s v="ESTONIA"/>
    <x v="14"/>
    <s v="EE_Sillamae"/>
    <s v="KIVIOLI_GT_RETORT_GAS"/>
    <x v="23"/>
    <x v="0"/>
    <x v="0"/>
    <x v="0"/>
    <x v="0"/>
    <n v="1.3000000000000001E-2"/>
  </r>
  <r>
    <x v="0"/>
    <x v="0"/>
    <x v="0"/>
    <s v="ESTONIA"/>
    <x v="14"/>
    <s v="EE_Sillamae"/>
    <s v="KIVIOLI_GT_RETORT_GAS"/>
    <x v="23"/>
    <x v="0"/>
    <x v="0"/>
    <x v="1"/>
    <x v="0"/>
    <n v="-1.3000000000000001E-2"/>
  </r>
  <r>
    <x v="0"/>
    <x v="0"/>
    <x v="0"/>
    <s v="ESTONIA"/>
    <x v="14"/>
    <s v="EE_Tallinn"/>
    <s v="GNR_ENG_NGAS_EXT_E-44"/>
    <x v="0"/>
    <x v="2"/>
    <x v="6"/>
    <x v="0"/>
    <x v="0"/>
    <n v="1.6853932584269663E-3"/>
  </r>
  <r>
    <x v="0"/>
    <x v="0"/>
    <x v="0"/>
    <s v="ESTONIA"/>
    <x v="14"/>
    <s v="EE_Tallinn"/>
    <s v="GNR_ENG_NGAS_EXT_E-44"/>
    <x v="0"/>
    <x v="2"/>
    <x v="6"/>
    <x v="1"/>
    <x v="0"/>
    <n v="-1.6853932584269663E-3"/>
  </r>
  <r>
    <x v="0"/>
    <x v="0"/>
    <x v="0"/>
    <s v="ESTONIA"/>
    <x v="14"/>
    <s v="EE_Tallinn"/>
    <s v="GNR_ENG_NGAS_EXT_E-44"/>
    <x v="0"/>
    <x v="0"/>
    <x v="6"/>
    <x v="0"/>
    <x v="0"/>
    <n v="1.5E-3"/>
  </r>
  <r>
    <x v="0"/>
    <x v="0"/>
    <x v="0"/>
    <s v="ESTONIA"/>
    <x v="14"/>
    <s v="EE_Tallinn"/>
    <s v="GNR_ENG_NGAS_EXT_E-44"/>
    <x v="0"/>
    <x v="0"/>
    <x v="6"/>
    <x v="1"/>
    <x v="0"/>
    <n v="-1.5E-3"/>
  </r>
  <r>
    <x v="0"/>
    <x v="0"/>
    <x v="0"/>
    <s v="ESTONIA"/>
    <x v="14"/>
    <s v="EE_Tallinn"/>
    <s v="GNR_STEAM-REFORMING_E-70_Y-2020"/>
    <x v="0"/>
    <x v="1"/>
    <x v="4"/>
    <x v="0"/>
    <x v="0"/>
    <n v="9.5716477848298287E-2"/>
  </r>
  <r>
    <x v="0"/>
    <x v="0"/>
    <x v="0"/>
    <s v="ESTONIA"/>
    <x v="14"/>
    <s v="EE_Tallinn"/>
    <s v="GNR_STEAM-REFORMING_E-70_Y-2020"/>
    <x v="0"/>
    <x v="1"/>
    <x v="4"/>
    <x v="1"/>
    <x v="0"/>
    <n v="-9.5716477848298287E-2"/>
  </r>
  <r>
    <x v="0"/>
    <x v="0"/>
    <x v="0"/>
    <s v="ESTONIA"/>
    <x v="14"/>
    <s v="EE_Urban"/>
    <s v="GNR_ENG_NGAS_EXT_E-44"/>
    <x v="0"/>
    <x v="2"/>
    <x v="6"/>
    <x v="0"/>
    <x v="0"/>
    <n v="1.0112359550561798E-3"/>
  </r>
  <r>
    <x v="0"/>
    <x v="0"/>
    <x v="0"/>
    <s v="ESTONIA"/>
    <x v="14"/>
    <s v="EE_Urban"/>
    <s v="GNR_ENG_NGAS_EXT_E-44"/>
    <x v="0"/>
    <x v="2"/>
    <x v="6"/>
    <x v="1"/>
    <x v="0"/>
    <n v="-1.0112359550561798E-3"/>
  </r>
  <r>
    <x v="0"/>
    <x v="0"/>
    <x v="0"/>
    <s v="ESTONIA"/>
    <x v="14"/>
    <s v="EE_Urban"/>
    <s v="GNR_ENG_NGAS_EXT_E-44"/>
    <x v="0"/>
    <x v="0"/>
    <x v="6"/>
    <x v="0"/>
    <x v="0"/>
    <n v="9.0000000000000008E-4"/>
  </r>
  <r>
    <x v="0"/>
    <x v="0"/>
    <x v="0"/>
    <s v="ESTONIA"/>
    <x v="14"/>
    <s v="EE_Urban"/>
    <s v="GNR_ENG_NGAS_EXT_E-44"/>
    <x v="0"/>
    <x v="0"/>
    <x v="6"/>
    <x v="1"/>
    <x v="0"/>
    <n v="-9.0000000000000008E-4"/>
  </r>
  <r>
    <x v="0"/>
    <x v="0"/>
    <x v="0"/>
    <s v="ESTONIA"/>
    <x v="14"/>
    <s v="EE_Urban"/>
    <s v="GNR_ST_BGAS_EXT_E-38"/>
    <x v="7"/>
    <x v="2"/>
    <x v="6"/>
    <x v="0"/>
    <x v="0"/>
    <n v="1.2048192771084337E-4"/>
  </r>
  <r>
    <x v="0"/>
    <x v="0"/>
    <x v="0"/>
    <s v="ESTONIA"/>
    <x v="14"/>
    <s v="EE_Urban"/>
    <s v="GNR_ST_BGAS_EXT_E-38"/>
    <x v="7"/>
    <x v="2"/>
    <x v="6"/>
    <x v="1"/>
    <x v="0"/>
    <n v="-1.2048192771084337E-4"/>
  </r>
  <r>
    <x v="0"/>
    <x v="0"/>
    <x v="0"/>
    <s v="ESTONIA"/>
    <x v="14"/>
    <s v="EE_Urban"/>
    <s v="GNR_ST_BGAS_EXT_E-38"/>
    <x v="7"/>
    <x v="0"/>
    <x v="6"/>
    <x v="0"/>
    <x v="0"/>
    <n v="1E-4"/>
  </r>
  <r>
    <x v="0"/>
    <x v="0"/>
    <x v="0"/>
    <s v="ESTONIA"/>
    <x v="14"/>
    <s v="EE_Urban"/>
    <s v="GNR_ST_BGAS_EXT_E-38"/>
    <x v="7"/>
    <x v="0"/>
    <x v="6"/>
    <x v="1"/>
    <x v="0"/>
    <n v="-1E-4"/>
  </r>
  <r>
    <x v="0"/>
    <x v="0"/>
    <x v="0"/>
    <s v="ESTONIA"/>
    <x v="14"/>
    <s v="EE_IND-MT-NODH"/>
    <s v="GNR_ST_BGAS_EXT_E-38"/>
    <x v="7"/>
    <x v="2"/>
    <x v="6"/>
    <x v="0"/>
    <x v="0"/>
    <n v="1.2048192771084337E-4"/>
  </r>
  <r>
    <x v="0"/>
    <x v="0"/>
    <x v="0"/>
    <s v="ESTONIA"/>
    <x v="14"/>
    <s v="EE_IND-MT-NODH"/>
    <s v="GNR_ST_BGAS_EXT_E-38"/>
    <x v="7"/>
    <x v="2"/>
    <x v="6"/>
    <x v="1"/>
    <x v="0"/>
    <n v="-1.2048192771084337E-4"/>
  </r>
  <r>
    <x v="0"/>
    <x v="0"/>
    <x v="0"/>
    <s v="ESTONIA"/>
    <x v="14"/>
    <s v="EE_IND-MT-NODH"/>
    <s v="GNR_ST_BGAS_EXT_E-38"/>
    <x v="7"/>
    <x v="0"/>
    <x v="6"/>
    <x v="0"/>
    <x v="0"/>
    <n v="1E-4"/>
  </r>
  <r>
    <x v="0"/>
    <x v="0"/>
    <x v="0"/>
    <s v="ESTONIA"/>
    <x v="14"/>
    <s v="EE_IND-MT-NODH"/>
    <s v="GNR_ST_BGAS_EXT_E-38"/>
    <x v="7"/>
    <x v="0"/>
    <x v="6"/>
    <x v="1"/>
    <x v="0"/>
    <n v="-1E-4"/>
  </r>
  <r>
    <x v="0"/>
    <x v="0"/>
    <x v="0"/>
    <s v="ESTONIA"/>
    <x v="14"/>
    <s v="EE00_A"/>
    <s v="GNR_PV_SUN"/>
    <x v="8"/>
    <x v="0"/>
    <x v="9"/>
    <x v="0"/>
    <x v="0"/>
    <n v="5.2299999999999999E-2"/>
  </r>
  <r>
    <x v="0"/>
    <x v="0"/>
    <x v="0"/>
    <s v="ESTONIA"/>
    <x v="14"/>
    <s v="EE00_A"/>
    <s v="GNR_PV_SUN"/>
    <x v="8"/>
    <x v="0"/>
    <x v="9"/>
    <x v="1"/>
    <x v="0"/>
    <n v="-5.2299999999999999E-2"/>
  </r>
  <r>
    <x v="0"/>
    <x v="0"/>
    <x v="0"/>
    <s v="ESTONIA"/>
    <x v="14"/>
    <s v="EE00_A"/>
    <s v="GNR_WT_WIND_ONS_RG1"/>
    <x v="3"/>
    <x v="0"/>
    <x v="5"/>
    <x v="0"/>
    <x v="0"/>
    <n v="0.210231"/>
  </r>
  <r>
    <x v="0"/>
    <x v="0"/>
    <x v="0"/>
    <s v="ESTONIA"/>
    <x v="14"/>
    <s v="EE00_A"/>
    <s v="GNR_WT_WIND_ONS_RG1"/>
    <x v="3"/>
    <x v="0"/>
    <x v="5"/>
    <x v="1"/>
    <x v="0"/>
    <n v="-0.210231"/>
  </r>
  <r>
    <x v="0"/>
    <x v="0"/>
    <x v="0"/>
    <s v="ESTONIA"/>
    <x v="14"/>
    <s v="EE00_A"/>
    <s v="GNR_WT_WIND_ONS_RG2"/>
    <x v="3"/>
    <x v="0"/>
    <x v="5"/>
    <x v="0"/>
    <x v="0"/>
    <n v="0.25976900000000003"/>
  </r>
  <r>
    <x v="0"/>
    <x v="0"/>
    <x v="0"/>
    <s v="ESTONIA"/>
    <x v="14"/>
    <s v="EE00_A"/>
    <s v="GNR_WT_WIND_ONS_RG2"/>
    <x v="3"/>
    <x v="0"/>
    <x v="5"/>
    <x v="1"/>
    <x v="0"/>
    <n v="-0.25976900000000003"/>
  </r>
  <r>
    <x v="0"/>
    <x v="0"/>
    <x v="0"/>
    <s v="LATVIA"/>
    <x v="15"/>
    <s v="LV_Other_DH"/>
    <s v="GNR_RES_WTR_NOPMP"/>
    <x v="1"/>
    <x v="0"/>
    <x v="1"/>
    <x v="0"/>
    <x v="0"/>
    <n v="1.214"/>
  </r>
  <r>
    <x v="0"/>
    <x v="0"/>
    <x v="0"/>
    <s v="LATVIA"/>
    <x v="15"/>
    <s v="LV_RigaR"/>
    <s v="GNR_ROR_WTR"/>
    <x v="1"/>
    <x v="0"/>
    <x v="2"/>
    <x v="0"/>
    <x v="0"/>
    <n v="1.2570000000000001"/>
  </r>
  <r>
    <x v="0"/>
    <x v="0"/>
    <x v="0"/>
    <s v="LATVIA"/>
    <x v="15"/>
    <s v="LV_RigaR"/>
    <s v="RIGA-TEC2_CC_NGAS_EXT"/>
    <x v="0"/>
    <x v="2"/>
    <x v="6"/>
    <x v="0"/>
    <x v="0"/>
    <n v="0.54382716049382718"/>
  </r>
  <r>
    <x v="0"/>
    <x v="0"/>
    <x v="0"/>
    <s v="LATVIA"/>
    <x v="15"/>
    <s v="LV_RigaR"/>
    <s v="RIGA-TEC2_CC_NGAS_EXT"/>
    <x v="0"/>
    <x v="2"/>
    <x v="6"/>
    <x v="1"/>
    <x v="0"/>
    <n v="-0.54382716049382718"/>
  </r>
  <r>
    <x v="0"/>
    <x v="0"/>
    <x v="0"/>
    <s v="LATVIA"/>
    <x v="15"/>
    <s v="LV_RigaR"/>
    <s v="RIGA-TEC2_CC_NGAS_EXT"/>
    <x v="0"/>
    <x v="0"/>
    <x v="6"/>
    <x v="0"/>
    <x v="0"/>
    <n v="0.88100000000000001"/>
  </r>
  <r>
    <x v="0"/>
    <x v="0"/>
    <x v="0"/>
    <s v="LATVIA"/>
    <x v="15"/>
    <s v="LV_RigaR"/>
    <s v="RIGA-TEC2_CC_NGAS_EXT"/>
    <x v="0"/>
    <x v="0"/>
    <x v="6"/>
    <x v="1"/>
    <x v="0"/>
    <n v="-0.88100000000000001"/>
  </r>
  <r>
    <x v="0"/>
    <x v="0"/>
    <x v="0"/>
    <s v="LATVIA"/>
    <x v="15"/>
    <s v="LV_RigaR"/>
    <s v="GNR_STEAM-REFORMING_E-70_Y-2020"/>
    <x v="0"/>
    <x v="1"/>
    <x v="4"/>
    <x v="0"/>
    <x v="0"/>
    <n v="5.0797708493386745E-2"/>
  </r>
  <r>
    <x v="0"/>
    <x v="0"/>
    <x v="0"/>
    <s v="LATVIA"/>
    <x v="15"/>
    <s v="LV_RigaR"/>
    <s v="GNR_STEAM-REFORMING_E-70_Y-2020"/>
    <x v="0"/>
    <x v="1"/>
    <x v="4"/>
    <x v="1"/>
    <x v="0"/>
    <n v="-5.0797708493386745E-2"/>
  </r>
  <r>
    <x v="0"/>
    <x v="0"/>
    <x v="0"/>
    <s v="LATVIA"/>
    <x v="15"/>
    <s v="LV00_A"/>
    <s v="GNR_WT_WIND_ONS_RG1"/>
    <x v="3"/>
    <x v="0"/>
    <x v="5"/>
    <x v="0"/>
    <x v="0"/>
    <n v="3.0954000000000002E-2"/>
  </r>
  <r>
    <x v="0"/>
    <x v="0"/>
    <x v="0"/>
    <s v="LATVIA"/>
    <x v="15"/>
    <s v="LV00_A"/>
    <s v="GNR_WT_WIND_ONS_RG1"/>
    <x v="3"/>
    <x v="0"/>
    <x v="5"/>
    <x v="1"/>
    <x v="0"/>
    <n v="-3.0954000000000002E-2"/>
  </r>
  <r>
    <x v="0"/>
    <x v="0"/>
    <x v="0"/>
    <s v="LATVIA"/>
    <x v="15"/>
    <s v="LV00_A"/>
    <s v="GNR_WT_WIND_ONS_RG2"/>
    <x v="3"/>
    <x v="0"/>
    <x v="5"/>
    <x v="0"/>
    <x v="0"/>
    <n v="4.4039999999999999E-3"/>
  </r>
  <r>
    <x v="0"/>
    <x v="0"/>
    <x v="0"/>
    <s v="LATVIA"/>
    <x v="15"/>
    <s v="LV00_A"/>
    <s v="GNR_WT_WIND_ONS_RG2"/>
    <x v="3"/>
    <x v="0"/>
    <x v="5"/>
    <x v="1"/>
    <x v="0"/>
    <n v="-4.4039999999999999E-3"/>
  </r>
  <r>
    <x v="0"/>
    <x v="0"/>
    <x v="0"/>
    <s v="LATVIA"/>
    <x v="15"/>
    <s v="LV00_A"/>
    <s v="GNR_WT_WIND_ONS_RG3"/>
    <x v="3"/>
    <x v="0"/>
    <x v="5"/>
    <x v="0"/>
    <x v="0"/>
    <n v="2.4642000000000001E-2"/>
  </r>
  <r>
    <x v="0"/>
    <x v="0"/>
    <x v="0"/>
    <s v="LATVIA"/>
    <x v="15"/>
    <s v="LV00_A"/>
    <s v="GNR_WT_WIND_ONS_RG3"/>
    <x v="3"/>
    <x v="0"/>
    <x v="5"/>
    <x v="1"/>
    <x v="0"/>
    <n v="-2.4642000000000001E-2"/>
  </r>
  <r>
    <x v="0"/>
    <x v="0"/>
    <x v="0"/>
    <s v="LITHUANIA"/>
    <x v="16"/>
    <s v="LT_KauU"/>
    <s v="GNR_ROR_WTR"/>
    <x v="1"/>
    <x v="0"/>
    <x v="2"/>
    <x v="0"/>
    <x v="0"/>
    <n v="0.1278"/>
  </r>
  <r>
    <x v="0"/>
    <x v="0"/>
    <x v="0"/>
    <s v="LITHUANIA"/>
    <x v="16"/>
    <s v="LT_KauU"/>
    <s v="GNR_ST_NGAS_EXT_E-24"/>
    <x v="0"/>
    <x v="2"/>
    <x v="6"/>
    <x v="0"/>
    <x v="0"/>
    <n v="0.18599979540022504"/>
  </r>
  <r>
    <x v="0"/>
    <x v="0"/>
    <x v="0"/>
    <s v="LITHUANIA"/>
    <x v="16"/>
    <s v="LT_KauU"/>
    <s v="GNR_ST_NGAS_EXT_E-24"/>
    <x v="0"/>
    <x v="2"/>
    <x v="6"/>
    <x v="1"/>
    <x v="0"/>
    <n v="-0.18599979540022504"/>
  </r>
  <r>
    <x v="0"/>
    <x v="0"/>
    <x v="0"/>
    <s v="LITHUANIA"/>
    <x v="16"/>
    <s v="LT_KauU"/>
    <s v="GNR_ST_NGAS_EXT_E-24"/>
    <x v="0"/>
    <x v="0"/>
    <x v="6"/>
    <x v="0"/>
    <x v="0"/>
    <n v="0.06"/>
  </r>
  <r>
    <x v="0"/>
    <x v="0"/>
    <x v="0"/>
    <s v="LITHUANIA"/>
    <x v="16"/>
    <s v="LT_KauU"/>
    <s v="GNR_ST_NGAS_EXT_E-24"/>
    <x v="0"/>
    <x v="0"/>
    <x v="6"/>
    <x v="1"/>
    <x v="0"/>
    <n v="-0.06"/>
  </r>
  <r>
    <x v="0"/>
    <x v="0"/>
    <x v="0"/>
    <s v="LITHUANIA"/>
    <x v="16"/>
    <s v="LT_KauU"/>
    <s v="GNR_ST_NGAS_EXT_E-31"/>
    <x v="0"/>
    <x v="2"/>
    <x v="6"/>
    <x v="0"/>
    <x v="0"/>
    <n v="0.20299997047273155"/>
  </r>
  <r>
    <x v="0"/>
    <x v="0"/>
    <x v="0"/>
    <s v="LITHUANIA"/>
    <x v="16"/>
    <s v="LT_KauU"/>
    <s v="GNR_ST_NGAS_EXT_E-31"/>
    <x v="0"/>
    <x v="2"/>
    <x v="6"/>
    <x v="1"/>
    <x v="0"/>
    <n v="-0.20299997047273155"/>
  </r>
  <r>
    <x v="0"/>
    <x v="0"/>
    <x v="0"/>
    <s v="LITHUANIA"/>
    <x v="16"/>
    <s v="LT_KauU"/>
    <s v="GNR_ST_NGAS_EXT_E-31"/>
    <x v="0"/>
    <x v="0"/>
    <x v="6"/>
    <x v="0"/>
    <x v="0"/>
    <n v="0.11"/>
  </r>
  <r>
    <x v="0"/>
    <x v="0"/>
    <x v="0"/>
    <s v="LITHUANIA"/>
    <x v="16"/>
    <s v="LT_KauU"/>
    <s v="GNR_ST_NGAS_EXT_E-31"/>
    <x v="0"/>
    <x v="0"/>
    <x v="6"/>
    <x v="1"/>
    <x v="0"/>
    <n v="-0.11"/>
  </r>
  <r>
    <x v="0"/>
    <x v="0"/>
    <x v="0"/>
    <s v="LITHUANIA"/>
    <x v="16"/>
    <s v="LT_Other_DH"/>
    <s v="ACHEMA1_ST_NGAS_EXT"/>
    <x v="0"/>
    <x v="2"/>
    <x v="6"/>
    <x v="0"/>
    <x v="0"/>
    <n v="2.4999999999999998E-2"/>
  </r>
  <r>
    <x v="0"/>
    <x v="0"/>
    <x v="0"/>
    <s v="LITHUANIA"/>
    <x v="16"/>
    <s v="LT_Other_DH"/>
    <s v="ACHEMA1_ST_NGAS_EXT"/>
    <x v="0"/>
    <x v="2"/>
    <x v="6"/>
    <x v="1"/>
    <x v="0"/>
    <n v="-2.4999999999999998E-2"/>
  </r>
  <r>
    <x v="0"/>
    <x v="0"/>
    <x v="0"/>
    <s v="LITHUANIA"/>
    <x v="16"/>
    <s v="LT_Other_DH"/>
    <s v="ACHEMA1_ST_NGAS_EXT"/>
    <x v="0"/>
    <x v="0"/>
    <x v="6"/>
    <x v="0"/>
    <x v="0"/>
    <n v="2.1999999999999999E-2"/>
  </r>
  <r>
    <x v="0"/>
    <x v="0"/>
    <x v="0"/>
    <s v="LITHUANIA"/>
    <x v="16"/>
    <s v="LT_Other_DH"/>
    <s v="ACHEMA1_ST_NGAS_EXT"/>
    <x v="0"/>
    <x v="0"/>
    <x v="6"/>
    <x v="1"/>
    <x v="0"/>
    <n v="-2.1999999999999999E-2"/>
  </r>
  <r>
    <x v="0"/>
    <x v="0"/>
    <x v="0"/>
    <s v="LITHUANIA"/>
    <x v="16"/>
    <s v="LT_Other_DH"/>
    <s v="ACHEMA2_ST_NGAS_EXT"/>
    <x v="0"/>
    <x v="2"/>
    <x v="6"/>
    <x v="0"/>
    <x v="0"/>
    <n v="9.0000038297888649E-2"/>
  </r>
  <r>
    <x v="0"/>
    <x v="0"/>
    <x v="0"/>
    <s v="LITHUANIA"/>
    <x v="16"/>
    <s v="LT_Other_DH"/>
    <s v="ACHEMA2_ST_NGAS_EXT"/>
    <x v="0"/>
    <x v="2"/>
    <x v="6"/>
    <x v="1"/>
    <x v="0"/>
    <n v="-9.0000038297888649E-2"/>
  </r>
  <r>
    <x v="0"/>
    <x v="0"/>
    <x v="0"/>
    <s v="LITHUANIA"/>
    <x v="16"/>
    <s v="LT_Other_DH"/>
    <s v="ACHEMA2_ST_NGAS_EXT"/>
    <x v="0"/>
    <x v="0"/>
    <x v="6"/>
    <x v="0"/>
    <x v="0"/>
    <n v="4.7E-2"/>
  </r>
  <r>
    <x v="0"/>
    <x v="0"/>
    <x v="0"/>
    <s v="LITHUANIA"/>
    <x v="16"/>
    <s v="LT_Other_DH"/>
    <s v="ACHEMA2_ST_NGAS_EXT"/>
    <x v="0"/>
    <x v="0"/>
    <x v="6"/>
    <x v="1"/>
    <x v="0"/>
    <n v="-4.7E-2"/>
  </r>
  <r>
    <x v="0"/>
    <x v="0"/>
    <x v="0"/>
    <s v="LITHUANIA"/>
    <x v="16"/>
    <s v="LT_Other_DH"/>
    <s v="GNR_ENG_BGAS_EXT_E-33"/>
    <x v="7"/>
    <x v="2"/>
    <x v="6"/>
    <x v="0"/>
    <x v="0"/>
    <n v="1.5E-3"/>
  </r>
  <r>
    <x v="0"/>
    <x v="0"/>
    <x v="0"/>
    <s v="LITHUANIA"/>
    <x v="16"/>
    <s v="LT_Other_DH"/>
    <s v="GNR_ENG_BGAS_EXT_E-33"/>
    <x v="7"/>
    <x v="2"/>
    <x v="6"/>
    <x v="1"/>
    <x v="0"/>
    <n v="-1.5E-3"/>
  </r>
  <r>
    <x v="0"/>
    <x v="0"/>
    <x v="0"/>
    <s v="LITHUANIA"/>
    <x v="16"/>
    <s v="LT_Other_DH"/>
    <s v="GNR_ENG_BGAS_EXT_E-33"/>
    <x v="7"/>
    <x v="0"/>
    <x v="6"/>
    <x v="0"/>
    <x v="0"/>
    <n v="3.9E-2"/>
  </r>
  <r>
    <x v="0"/>
    <x v="0"/>
    <x v="0"/>
    <s v="LITHUANIA"/>
    <x v="16"/>
    <s v="LT_Other_DH"/>
    <s v="GNR_ENG_BGAS_EXT_E-33"/>
    <x v="7"/>
    <x v="0"/>
    <x v="6"/>
    <x v="1"/>
    <x v="0"/>
    <n v="-3.9E-2"/>
  </r>
  <r>
    <x v="0"/>
    <x v="0"/>
    <x v="0"/>
    <s v="LITHUANIA"/>
    <x v="16"/>
    <s v="LT_Other_DH"/>
    <s v="GNR_ENG_NGAS_EXT_E-43"/>
    <x v="0"/>
    <x v="2"/>
    <x v="6"/>
    <x v="0"/>
    <x v="0"/>
    <n v="5.0000000000000001E-3"/>
  </r>
  <r>
    <x v="0"/>
    <x v="0"/>
    <x v="0"/>
    <s v="LITHUANIA"/>
    <x v="16"/>
    <s v="LT_Other_DH"/>
    <s v="GNR_ENG_NGAS_EXT_E-43"/>
    <x v="0"/>
    <x v="2"/>
    <x v="6"/>
    <x v="1"/>
    <x v="0"/>
    <n v="-5.0000000000000001E-3"/>
  </r>
  <r>
    <x v="0"/>
    <x v="0"/>
    <x v="0"/>
    <s v="LITHUANIA"/>
    <x v="16"/>
    <s v="LT_Other_DH"/>
    <s v="GNR_ENG_NGAS_EXT_E-43"/>
    <x v="0"/>
    <x v="0"/>
    <x v="6"/>
    <x v="0"/>
    <x v="0"/>
    <n v="4.0000000000000001E-3"/>
  </r>
  <r>
    <x v="0"/>
    <x v="0"/>
    <x v="0"/>
    <s v="LITHUANIA"/>
    <x v="16"/>
    <s v="LT_Other_DH"/>
    <s v="GNR_ENG_NGAS_EXT_E-43"/>
    <x v="0"/>
    <x v="0"/>
    <x v="6"/>
    <x v="1"/>
    <x v="0"/>
    <n v="-4.0000000000000001E-3"/>
  </r>
  <r>
    <x v="0"/>
    <x v="0"/>
    <x v="0"/>
    <s v="LITHUANIA"/>
    <x v="16"/>
    <s v="LT_Other_DH"/>
    <s v="GNR_ST_FUELOIL_EXT_E-22"/>
    <x v="10"/>
    <x v="2"/>
    <x v="6"/>
    <x v="0"/>
    <x v="0"/>
    <n v="0.43399952260052516"/>
  </r>
  <r>
    <x v="0"/>
    <x v="0"/>
    <x v="0"/>
    <s v="LITHUANIA"/>
    <x v="16"/>
    <s v="LT_Other_DH"/>
    <s v="GNR_ST_FUELOIL_EXT_E-22"/>
    <x v="10"/>
    <x v="2"/>
    <x v="6"/>
    <x v="1"/>
    <x v="0"/>
    <n v="-0.43399952260052516"/>
  </r>
  <r>
    <x v="0"/>
    <x v="0"/>
    <x v="0"/>
    <s v="LITHUANIA"/>
    <x v="16"/>
    <s v="LT_Other_DH"/>
    <s v="GNR_ST_FUELOIL_EXT_E-22"/>
    <x v="10"/>
    <x v="0"/>
    <x v="6"/>
    <x v="0"/>
    <x v="0"/>
    <n v="0.16"/>
  </r>
  <r>
    <x v="0"/>
    <x v="0"/>
    <x v="0"/>
    <s v="LITHUANIA"/>
    <x v="16"/>
    <s v="LT_Other_DH"/>
    <s v="GNR_ST_FUELOIL_EXT_E-22"/>
    <x v="10"/>
    <x v="0"/>
    <x v="6"/>
    <x v="1"/>
    <x v="0"/>
    <n v="-0.16"/>
  </r>
  <r>
    <x v="0"/>
    <x v="0"/>
    <x v="0"/>
    <s v="LITHUANIA"/>
    <x v="16"/>
    <s v="LT_Other_DH"/>
    <s v="GNR_ELYS_ELEC_AEC_Y-2050"/>
    <x v="2"/>
    <x v="1"/>
    <x v="3"/>
    <x v="2"/>
    <x v="0"/>
    <n v="4.9581216781503077"/>
  </r>
  <r>
    <x v="0"/>
    <x v="0"/>
    <x v="0"/>
    <s v="LITHUANIA"/>
    <x v="16"/>
    <s v="LT_Other_DH"/>
    <s v="GNR_STEAM-REFORMING_E-70_Y-2020"/>
    <x v="0"/>
    <x v="1"/>
    <x v="4"/>
    <x v="0"/>
    <x v="0"/>
    <n v="4.5286203051066246E-2"/>
  </r>
  <r>
    <x v="0"/>
    <x v="0"/>
    <x v="0"/>
    <s v="LITHUANIA"/>
    <x v="16"/>
    <s v="LT_Other_DH"/>
    <s v="GNR_STEAM-REFORMING_E-70_Y-2020"/>
    <x v="0"/>
    <x v="1"/>
    <x v="4"/>
    <x v="1"/>
    <x v="0"/>
    <n v="-4.5286203051066246E-2"/>
  </r>
  <r>
    <x v="0"/>
    <x v="0"/>
    <x v="0"/>
    <s v="LITHUANIA"/>
    <x v="16"/>
    <s v="LT_Panevezys"/>
    <s v="GNR_ST_WOOD_EXT_E-14"/>
    <x v="18"/>
    <x v="2"/>
    <x v="6"/>
    <x v="0"/>
    <x v="0"/>
    <n v="2.4999999999999998E-2"/>
  </r>
  <r>
    <x v="0"/>
    <x v="0"/>
    <x v="0"/>
    <s v="LITHUANIA"/>
    <x v="16"/>
    <s v="LT_Panevezys"/>
    <s v="GNR_ST_WOOD_EXT_E-14"/>
    <x v="18"/>
    <x v="2"/>
    <x v="6"/>
    <x v="1"/>
    <x v="0"/>
    <n v="-2.4999999999999998E-2"/>
  </r>
  <r>
    <x v="0"/>
    <x v="0"/>
    <x v="0"/>
    <s v="LITHUANIA"/>
    <x v="16"/>
    <s v="LT_Panevezys"/>
    <s v="GNR_ST_WOOD_EXT_E-14"/>
    <x v="18"/>
    <x v="0"/>
    <x v="6"/>
    <x v="0"/>
    <x v="0"/>
    <n v="2.5000000000000001E-3"/>
  </r>
  <r>
    <x v="0"/>
    <x v="0"/>
    <x v="0"/>
    <s v="LITHUANIA"/>
    <x v="16"/>
    <s v="LT_Panevezys"/>
    <s v="GNR_ST_WOOD_EXT_E-14"/>
    <x v="18"/>
    <x v="0"/>
    <x v="6"/>
    <x v="1"/>
    <x v="0"/>
    <n v="-2.5000000000000001E-3"/>
  </r>
  <r>
    <x v="0"/>
    <x v="0"/>
    <x v="0"/>
    <s v="LITHUANIA"/>
    <x v="16"/>
    <s v="LT_VilU"/>
    <s v="GNR_CC_NGAS_CND_E-58"/>
    <x v="0"/>
    <x v="0"/>
    <x v="0"/>
    <x v="0"/>
    <x v="0"/>
    <n v="0.45500000000000002"/>
  </r>
  <r>
    <x v="0"/>
    <x v="0"/>
    <x v="0"/>
    <s v="LITHUANIA"/>
    <x v="16"/>
    <s v="LT_VilU"/>
    <s v="GNR_CC_NGAS_CND_E-58"/>
    <x v="0"/>
    <x v="0"/>
    <x v="0"/>
    <x v="1"/>
    <x v="0"/>
    <n v="-0.45500000000000002"/>
  </r>
  <r>
    <x v="0"/>
    <x v="0"/>
    <x v="0"/>
    <s v="LITHUANIA"/>
    <x v="16"/>
    <s v="LT_VilU"/>
    <s v="GNR_ST_NGAS_CON_E-38"/>
    <x v="0"/>
    <x v="0"/>
    <x v="0"/>
    <x v="0"/>
    <x v="0"/>
    <n v="0.6"/>
  </r>
  <r>
    <x v="0"/>
    <x v="0"/>
    <x v="0"/>
    <s v="LITHUANIA"/>
    <x v="16"/>
    <s v="LT_VilU"/>
    <s v="GNR_ST_NGAS_CON_E-38"/>
    <x v="0"/>
    <x v="0"/>
    <x v="0"/>
    <x v="1"/>
    <x v="0"/>
    <n v="-0.6"/>
  </r>
  <r>
    <x v="0"/>
    <x v="0"/>
    <x v="0"/>
    <s v="LITHUANIA"/>
    <x v="16"/>
    <s v="LT_VilU"/>
    <s v="GNR_ST_NGAS_EXT_E-39"/>
    <x v="0"/>
    <x v="2"/>
    <x v="6"/>
    <x v="0"/>
    <x v="0"/>
    <n v="0.60400049662263056"/>
  </r>
  <r>
    <x v="0"/>
    <x v="0"/>
    <x v="0"/>
    <s v="LITHUANIA"/>
    <x v="16"/>
    <s v="LT_VilU"/>
    <s v="GNR_ST_NGAS_EXT_E-39"/>
    <x v="0"/>
    <x v="2"/>
    <x v="6"/>
    <x v="1"/>
    <x v="0"/>
    <n v="-0.60400049662263056"/>
  </r>
  <r>
    <x v="0"/>
    <x v="0"/>
    <x v="0"/>
    <s v="LITHUANIA"/>
    <x v="16"/>
    <s v="LT_VilU"/>
    <s v="GNR_ST_NGAS_EXT_E-39"/>
    <x v="0"/>
    <x v="0"/>
    <x v="6"/>
    <x v="0"/>
    <x v="0"/>
    <n v="0.36"/>
  </r>
  <r>
    <x v="0"/>
    <x v="0"/>
    <x v="0"/>
    <s v="LITHUANIA"/>
    <x v="16"/>
    <s v="LT_VilU"/>
    <s v="GNR_ST_NGAS_EXT_E-39"/>
    <x v="0"/>
    <x v="0"/>
    <x v="6"/>
    <x v="1"/>
    <x v="0"/>
    <n v="-0.36"/>
  </r>
  <r>
    <x v="0"/>
    <x v="0"/>
    <x v="0"/>
    <s v="LITHUANIA"/>
    <x v="16"/>
    <s v="LT00_A"/>
    <s v="GNR_PV_SUN"/>
    <x v="8"/>
    <x v="0"/>
    <x v="9"/>
    <x v="0"/>
    <x v="0"/>
    <n v="0.08"/>
  </r>
  <r>
    <x v="0"/>
    <x v="0"/>
    <x v="0"/>
    <s v="LITHUANIA"/>
    <x v="16"/>
    <s v="LT00_A"/>
    <s v="GNR_WT_WIND_ONS_RG1"/>
    <x v="3"/>
    <x v="0"/>
    <x v="5"/>
    <x v="0"/>
    <x v="0"/>
    <n v="0.1383971"/>
  </r>
  <r>
    <x v="0"/>
    <x v="0"/>
    <x v="0"/>
    <s v="LITHUANIA"/>
    <x v="16"/>
    <s v="LT00_A"/>
    <s v="GNR_WT_WIND_ONS_RG1"/>
    <x v="3"/>
    <x v="0"/>
    <x v="5"/>
    <x v="1"/>
    <x v="0"/>
    <n v="-0.1383971"/>
  </r>
  <r>
    <x v="0"/>
    <x v="0"/>
    <x v="0"/>
    <s v="LITHUANIA"/>
    <x v="16"/>
    <s v="LT00_A"/>
    <s v="GNR_WT_WIND_ONS_RG2"/>
    <x v="3"/>
    <x v="0"/>
    <x v="5"/>
    <x v="0"/>
    <x v="0"/>
    <n v="0.29939379999999999"/>
  </r>
  <r>
    <x v="0"/>
    <x v="0"/>
    <x v="0"/>
    <s v="LITHUANIA"/>
    <x v="16"/>
    <s v="LT00_A"/>
    <s v="GNR_WT_WIND_ONS_RG2"/>
    <x v="3"/>
    <x v="0"/>
    <x v="5"/>
    <x v="1"/>
    <x v="0"/>
    <n v="-0.29939379999999999"/>
  </r>
  <r>
    <x v="0"/>
    <x v="0"/>
    <x v="0"/>
    <s v="LITHUANIA"/>
    <x v="16"/>
    <s v="LT00_A"/>
    <s v="GNR_WT_WIND_ONS_RG3"/>
    <x v="3"/>
    <x v="0"/>
    <x v="5"/>
    <x v="0"/>
    <x v="0"/>
    <n v="7.1260000000000004E-2"/>
  </r>
  <r>
    <x v="0"/>
    <x v="0"/>
    <x v="0"/>
    <s v="LITHUANIA"/>
    <x v="16"/>
    <s v="LT00_A"/>
    <s v="GNR_WT_WIND_ONS_RG3"/>
    <x v="3"/>
    <x v="0"/>
    <x v="5"/>
    <x v="1"/>
    <x v="0"/>
    <n v="-7.1260000000000004E-2"/>
  </r>
  <r>
    <x v="0"/>
    <x v="0"/>
    <x v="0"/>
    <s v="LITHUANIA"/>
    <x v="16"/>
    <s v="LT00_A"/>
    <s v="GNR_WT_ONS-2050"/>
    <x v="3"/>
    <x v="0"/>
    <x v="5"/>
    <x v="2"/>
    <x v="0"/>
    <n v="21.400000000000002"/>
  </r>
  <r>
    <x v="0"/>
    <x v="0"/>
    <x v="0"/>
    <s v="POLAND"/>
    <x v="17"/>
    <s v="PL_A"/>
    <s v="ADAM-1_ST_LIGNITE_EXT"/>
    <x v="16"/>
    <x v="2"/>
    <x v="6"/>
    <x v="0"/>
    <x v="0"/>
    <n v="1.5954545454545455"/>
  </r>
  <r>
    <x v="0"/>
    <x v="0"/>
    <x v="0"/>
    <s v="POLAND"/>
    <x v="17"/>
    <s v="PL_A"/>
    <s v="ADAM-1_ST_LIGNITE_EXT"/>
    <x v="16"/>
    <x v="2"/>
    <x v="6"/>
    <x v="1"/>
    <x v="0"/>
    <n v="-1.5954545454545455"/>
  </r>
  <r>
    <x v="0"/>
    <x v="0"/>
    <x v="0"/>
    <s v="POLAND"/>
    <x v="17"/>
    <s v="PL_A"/>
    <s v="ADAM-1_ST_LIGNITE_EXT"/>
    <x v="16"/>
    <x v="0"/>
    <x v="6"/>
    <x v="0"/>
    <x v="0"/>
    <n v="1.7550000000000001"/>
  </r>
  <r>
    <x v="0"/>
    <x v="0"/>
    <x v="0"/>
    <s v="POLAND"/>
    <x v="17"/>
    <s v="PL_A"/>
    <s v="ADAM-1_ST_LIGNITE_EXT"/>
    <x v="16"/>
    <x v="0"/>
    <x v="6"/>
    <x v="1"/>
    <x v="0"/>
    <n v="-1.7550000000000001"/>
  </r>
  <r>
    <x v="0"/>
    <x v="0"/>
    <x v="0"/>
    <s v="POLAND"/>
    <x v="17"/>
    <s v="PL_A"/>
    <s v="BELC-1_ST_LIGNITE_EXT"/>
    <x v="16"/>
    <x v="2"/>
    <x v="6"/>
    <x v="0"/>
    <x v="0"/>
    <n v="0.37582417582417588"/>
  </r>
  <r>
    <x v="0"/>
    <x v="0"/>
    <x v="0"/>
    <s v="POLAND"/>
    <x v="17"/>
    <s v="PL_A"/>
    <s v="BELC-1_ST_LIGNITE_EXT"/>
    <x v="16"/>
    <x v="2"/>
    <x v="6"/>
    <x v="1"/>
    <x v="0"/>
    <n v="-0.37582417582417588"/>
  </r>
  <r>
    <x v="0"/>
    <x v="0"/>
    <x v="0"/>
    <s v="POLAND"/>
    <x v="17"/>
    <s v="PL_A"/>
    <s v="BELC-1_ST_LIGNITE_EXT"/>
    <x v="16"/>
    <x v="0"/>
    <x v="6"/>
    <x v="0"/>
    <x v="0"/>
    <n v="0.34200000000000003"/>
  </r>
  <r>
    <x v="0"/>
    <x v="0"/>
    <x v="0"/>
    <s v="POLAND"/>
    <x v="17"/>
    <s v="PL_A"/>
    <s v="BELC-1_ST_LIGNITE_EXT"/>
    <x v="16"/>
    <x v="0"/>
    <x v="6"/>
    <x v="1"/>
    <x v="0"/>
    <n v="-0.34200000000000003"/>
  </r>
  <r>
    <x v="0"/>
    <x v="0"/>
    <x v="0"/>
    <s v="POLAND"/>
    <x v="17"/>
    <s v="PL_A"/>
    <s v="BIAL-4_ST_COAL_CND"/>
    <x v="5"/>
    <x v="0"/>
    <x v="0"/>
    <x v="0"/>
    <x v="0"/>
    <n v="2.1000000000000001E-2"/>
  </r>
  <r>
    <x v="0"/>
    <x v="0"/>
    <x v="0"/>
    <s v="POLAND"/>
    <x v="17"/>
    <s v="PL_A"/>
    <s v="BIAL-4_ST_COAL_CND"/>
    <x v="5"/>
    <x v="0"/>
    <x v="0"/>
    <x v="1"/>
    <x v="0"/>
    <n v="-2.1000000000000001E-2"/>
  </r>
  <r>
    <x v="0"/>
    <x v="0"/>
    <x v="0"/>
    <s v="POLAND"/>
    <x v="17"/>
    <s v="PL_A"/>
    <s v="CORZ-3_ST_COAL_EXT"/>
    <x v="5"/>
    <x v="2"/>
    <x v="6"/>
    <x v="0"/>
    <x v="0"/>
    <n v="6.25E-2"/>
  </r>
  <r>
    <x v="0"/>
    <x v="0"/>
    <x v="0"/>
    <s v="POLAND"/>
    <x v="17"/>
    <s v="PL_A"/>
    <s v="CORZ-3_ST_COAL_EXT"/>
    <x v="5"/>
    <x v="2"/>
    <x v="6"/>
    <x v="1"/>
    <x v="0"/>
    <n v="-6.25E-2"/>
  </r>
  <r>
    <x v="0"/>
    <x v="0"/>
    <x v="0"/>
    <s v="POLAND"/>
    <x v="17"/>
    <s v="PL_A"/>
    <s v="CORZ-3_ST_COAL_EXT"/>
    <x v="5"/>
    <x v="0"/>
    <x v="6"/>
    <x v="0"/>
    <x v="0"/>
    <n v="0.03"/>
  </r>
  <r>
    <x v="0"/>
    <x v="0"/>
    <x v="0"/>
    <s v="POLAND"/>
    <x v="17"/>
    <s v="PL_A"/>
    <s v="CORZ-3_ST_COAL_EXT"/>
    <x v="5"/>
    <x v="0"/>
    <x v="6"/>
    <x v="1"/>
    <x v="0"/>
    <n v="-0.03"/>
  </r>
  <r>
    <x v="0"/>
    <x v="0"/>
    <x v="0"/>
    <s v="POLAND"/>
    <x v="17"/>
    <s v="PL_A"/>
    <s v="CZEC-1_ST_COAL_EXT"/>
    <x v="5"/>
    <x v="2"/>
    <x v="6"/>
    <x v="0"/>
    <x v="0"/>
    <n v="0.91853932584269671"/>
  </r>
  <r>
    <x v="0"/>
    <x v="0"/>
    <x v="0"/>
    <s v="POLAND"/>
    <x v="17"/>
    <s v="PL_A"/>
    <s v="CZEC-1_ST_COAL_EXT"/>
    <x v="5"/>
    <x v="2"/>
    <x v="6"/>
    <x v="1"/>
    <x v="0"/>
    <n v="-0.91853932584269671"/>
  </r>
  <r>
    <x v="0"/>
    <x v="0"/>
    <x v="0"/>
    <s v="POLAND"/>
    <x v="17"/>
    <s v="PL_A"/>
    <s v="CZEC-1_ST_COAL_EXT"/>
    <x v="5"/>
    <x v="0"/>
    <x v="6"/>
    <x v="0"/>
    <x v="0"/>
    <n v="0.32700000000000001"/>
  </r>
  <r>
    <x v="0"/>
    <x v="0"/>
    <x v="0"/>
    <s v="POLAND"/>
    <x v="17"/>
    <s v="PL_A"/>
    <s v="CZEC-1_ST_COAL_EXT"/>
    <x v="5"/>
    <x v="0"/>
    <x v="6"/>
    <x v="1"/>
    <x v="0"/>
    <n v="-0.32700000000000001"/>
  </r>
  <r>
    <x v="0"/>
    <x v="0"/>
    <x v="0"/>
    <s v="POLAND"/>
    <x v="17"/>
    <s v="PL_A"/>
    <s v="DOLN-1_ST_COAL_EXT"/>
    <x v="5"/>
    <x v="2"/>
    <x v="6"/>
    <x v="0"/>
    <x v="0"/>
    <n v="6.3750000000000001E-2"/>
  </r>
  <r>
    <x v="0"/>
    <x v="0"/>
    <x v="0"/>
    <s v="POLAND"/>
    <x v="17"/>
    <s v="PL_A"/>
    <s v="DOLN-1_ST_COAL_EXT"/>
    <x v="5"/>
    <x v="2"/>
    <x v="6"/>
    <x v="1"/>
    <x v="0"/>
    <n v="-6.3750000000000001E-2"/>
  </r>
  <r>
    <x v="0"/>
    <x v="0"/>
    <x v="0"/>
    <s v="POLAND"/>
    <x v="17"/>
    <s v="PL_A"/>
    <s v="DOLN-1_ST_COAL_EXT"/>
    <x v="5"/>
    <x v="0"/>
    <x v="6"/>
    <x v="0"/>
    <x v="0"/>
    <n v="0.20400000000000001"/>
  </r>
  <r>
    <x v="0"/>
    <x v="0"/>
    <x v="0"/>
    <s v="POLAND"/>
    <x v="17"/>
    <s v="PL_A"/>
    <s v="DOLN-1_ST_COAL_EXT"/>
    <x v="5"/>
    <x v="0"/>
    <x v="6"/>
    <x v="1"/>
    <x v="0"/>
    <n v="-0.20400000000000001"/>
  </r>
  <r>
    <x v="0"/>
    <x v="0"/>
    <x v="0"/>
    <s v="POLAND"/>
    <x v="17"/>
    <s v="PL_A"/>
    <s v="GNR_GT_NGAS_CND_E-33"/>
    <x v="0"/>
    <x v="0"/>
    <x v="0"/>
    <x v="0"/>
    <x v="0"/>
    <n v="2.6"/>
  </r>
  <r>
    <x v="0"/>
    <x v="0"/>
    <x v="0"/>
    <s v="POLAND"/>
    <x v="17"/>
    <s v="PL_A"/>
    <s v="GNR_GT_NGAS_CND_E-33"/>
    <x v="0"/>
    <x v="0"/>
    <x v="0"/>
    <x v="1"/>
    <x v="0"/>
    <n v="-2.6"/>
  </r>
  <r>
    <x v="0"/>
    <x v="0"/>
    <x v="0"/>
    <s v="POLAND"/>
    <x v="17"/>
    <s v="PL_A"/>
    <s v="GNR_ST_BGAS_CND_E-37"/>
    <x v="7"/>
    <x v="0"/>
    <x v="0"/>
    <x v="0"/>
    <x v="0"/>
    <n v="0.36399999999999999"/>
  </r>
  <r>
    <x v="0"/>
    <x v="0"/>
    <x v="0"/>
    <s v="POLAND"/>
    <x v="17"/>
    <s v="PL_A"/>
    <s v="GNR_ST_BGAS_CND_E-37"/>
    <x v="7"/>
    <x v="0"/>
    <x v="0"/>
    <x v="1"/>
    <x v="0"/>
    <n v="-0.36399999999999999"/>
  </r>
  <r>
    <x v="0"/>
    <x v="0"/>
    <x v="0"/>
    <s v="POLAND"/>
    <x v="17"/>
    <s v="PL_A"/>
    <s v="GNR_ST_COAL_CND_E-45"/>
    <x v="5"/>
    <x v="0"/>
    <x v="0"/>
    <x v="0"/>
    <x v="0"/>
    <n v="3.5"/>
  </r>
  <r>
    <x v="0"/>
    <x v="0"/>
    <x v="0"/>
    <s v="POLAND"/>
    <x v="17"/>
    <s v="PL_A"/>
    <s v="GNR_ST_COAL_CND_E-45"/>
    <x v="5"/>
    <x v="0"/>
    <x v="0"/>
    <x v="1"/>
    <x v="0"/>
    <n v="-3.5"/>
  </r>
  <r>
    <x v="0"/>
    <x v="0"/>
    <x v="0"/>
    <s v="POLAND"/>
    <x v="17"/>
    <s v="PL_A"/>
    <s v="GNR_ST_LIGN_CND_E-32"/>
    <x v="16"/>
    <x v="0"/>
    <x v="0"/>
    <x v="0"/>
    <x v="0"/>
    <n v="2.86"/>
  </r>
  <r>
    <x v="0"/>
    <x v="0"/>
    <x v="0"/>
    <s v="POLAND"/>
    <x v="17"/>
    <s v="PL_A"/>
    <s v="GNR_ST_LIGN_CND_E-32"/>
    <x v="16"/>
    <x v="0"/>
    <x v="0"/>
    <x v="1"/>
    <x v="0"/>
    <n v="-2.86"/>
  </r>
  <r>
    <x v="0"/>
    <x v="0"/>
    <x v="0"/>
    <s v="POLAND"/>
    <x v="17"/>
    <s v="PL_A"/>
    <s v="GNR_ST_WOOD_EXT_E-45"/>
    <x v="18"/>
    <x v="2"/>
    <x v="6"/>
    <x v="0"/>
    <x v="0"/>
    <n v="6.9692307692307693"/>
  </r>
  <r>
    <x v="0"/>
    <x v="0"/>
    <x v="0"/>
    <s v="POLAND"/>
    <x v="17"/>
    <s v="PL_A"/>
    <s v="GNR_ST_WOOD_EXT_E-45"/>
    <x v="18"/>
    <x v="2"/>
    <x v="6"/>
    <x v="1"/>
    <x v="0"/>
    <n v="-6.9692307692307693"/>
  </r>
  <r>
    <x v="0"/>
    <x v="0"/>
    <x v="0"/>
    <s v="POLAND"/>
    <x v="17"/>
    <s v="PL_A"/>
    <s v="GNR_ST_WOOD_EXT_E-45"/>
    <x v="18"/>
    <x v="0"/>
    <x v="6"/>
    <x v="0"/>
    <x v="0"/>
    <n v="4.53"/>
  </r>
  <r>
    <x v="0"/>
    <x v="0"/>
    <x v="0"/>
    <s v="POLAND"/>
    <x v="17"/>
    <s v="PL_A"/>
    <s v="GNR_ST_WOOD_EXT_E-45"/>
    <x v="18"/>
    <x v="0"/>
    <x v="6"/>
    <x v="1"/>
    <x v="0"/>
    <n v="-4.53"/>
  </r>
  <r>
    <x v="0"/>
    <x v="0"/>
    <x v="0"/>
    <s v="POLAND"/>
    <x v="17"/>
    <s v="PL_A"/>
    <s v="KARO-1_ST_COAL_EXT"/>
    <x v="5"/>
    <x v="2"/>
    <x v="6"/>
    <x v="0"/>
    <x v="0"/>
    <n v="0.10212765957446809"/>
  </r>
  <r>
    <x v="0"/>
    <x v="0"/>
    <x v="0"/>
    <s v="POLAND"/>
    <x v="17"/>
    <s v="PL_A"/>
    <s v="KARO-1_ST_COAL_EXT"/>
    <x v="5"/>
    <x v="2"/>
    <x v="6"/>
    <x v="1"/>
    <x v="0"/>
    <n v="-0.10212765957446809"/>
  </r>
  <r>
    <x v="0"/>
    <x v="0"/>
    <x v="0"/>
    <s v="POLAND"/>
    <x v="17"/>
    <s v="PL_A"/>
    <s v="KARO-1_ST_COAL_EXT"/>
    <x v="5"/>
    <x v="0"/>
    <x v="6"/>
    <x v="0"/>
    <x v="0"/>
    <n v="4.8000000000000001E-2"/>
  </r>
  <r>
    <x v="0"/>
    <x v="0"/>
    <x v="0"/>
    <s v="POLAND"/>
    <x v="17"/>
    <s v="PL_A"/>
    <s v="KARO-1_ST_COAL_EXT"/>
    <x v="5"/>
    <x v="0"/>
    <x v="6"/>
    <x v="1"/>
    <x v="0"/>
    <n v="-4.8000000000000001E-2"/>
  </r>
  <r>
    <x v="0"/>
    <x v="0"/>
    <x v="0"/>
    <s v="POLAND"/>
    <x v="17"/>
    <s v="PL_A"/>
    <s v="KOZI-1_ST_COAL_EXT"/>
    <x v="5"/>
    <x v="2"/>
    <x v="6"/>
    <x v="0"/>
    <x v="0"/>
    <n v="0.26666666666666666"/>
  </r>
  <r>
    <x v="0"/>
    <x v="0"/>
    <x v="0"/>
    <s v="POLAND"/>
    <x v="17"/>
    <s v="PL_A"/>
    <s v="KOZI-1_ST_COAL_EXT"/>
    <x v="5"/>
    <x v="2"/>
    <x v="6"/>
    <x v="1"/>
    <x v="0"/>
    <n v="-0.26666666666666666"/>
  </r>
  <r>
    <x v="0"/>
    <x v="0"/>
    <x v="0"/>
    <s v="POLAND"/>
    <x v="17"/>
    <s v="PL_A"/>
    <s v="KOZI-1_ST_COAL_EXT"/>
    <x v="5"/>
    <x v="0"/>
    <x v="6"/>
    <x v="0"/>
    <x v="0"/>
    <n v="0.2"/>
  </r>
  <r>
    <x v="0"/>
    <x v="0"/>
    <x v="0"/>
    <s v="POLAND"/>
    <x v="17"/>
    <s v="PL_A"/>
    <s v="KOZI-1_ST_COAL_EXT"/>
    <x v="5"/>
    <x v="0"/>
    <x v="6"/>
    <x v="1"/>
    <x v="0"/>
    <n v="-0.2"/>
  </r>
  <r>
    <x v="0"/>
    <x v="0"/>
    <x v="0"/>
    <s v="POLAND"/>
    <x v="17"/>
    <s v="PL_A"/>
    <s v="KRLEG-3_ST_COAL_EXT"/>
    <x v="5"/>
    <x v="2"/>
    <x v="6"/>
    <x v="0"/>
    <x v="0"/>
    <n v="0.3293103448275862"/>
  </r>
  <r>
    <x v="0"/>
    <x v="0"/>
    <x v="0"/>
    <s v="POLAND"/>
    <x v="17"/>
    <s v="PL_A"/>
    <s v="KRLEG-3_ST_COAL_EXT"/>
    <x v="5"/>
    <x v="2"/>
    <x v="6"/>
    <x v="1"/>
    <x v="0"/>
    <n v="-0.3293103448275862"/>
  </r>
  <r>
    <x v="0"/>
    <x v="0"/>
    <x v="0"/>
    <s v="POLAND"/>
    <x v="17"/>
    <s v="PL_A"/>
    <s v="KRLEG-3_ST_COAL_EXT"/>
    <x v="5"/>
    <x v="0"/>
    <x v="6"/>
    <x v="0"/>
    <x v="0"/>
    <n v="0.191"/>
  </r>
  <r>
    <x v="0"/>
    <x v="0"/>
    <x v="0"/>
    <s v="POLAND"/>
    <x v="17"/>
    <s v="PL_A"/>
    <s v="KRLEG-3_ST_COAL_EXT"/>
    <x v="5"/>
    <x v="0"/>
    <x v="6"/>
    <x v="1"/>
    <x v="0"/>
    <n v="-0.191"/>
  </r>
  <r>
    <x v="0"/>
    <x v="0"/>
    <x v="0"/>
    <s v="POLAND"/>
    <x v="17"/>
    <s v="PL_A"/>
    <s v="LAZI-1_ST_COAL_EXT"/>
    <x v="5"/>
    <x v="2"/>
    <x v="6"/>
    <x v="0"/>
    <x v="0"/>
    <n v="0.19624573378839588"/>
  </r>
  <r>
    <x v="0"/>
    <x v="0"/>
    <x v="0"/>
    <s v="POLAND"/>
    <x v="17"/>
    <s v="PL_A"/>
    <s v="LAZI-1_ST_COAL_EXT"/>
    <x v="5"/>
    <x v="2"/>
    <x v="6"/>
    <x v="1"/>
    <x v="0"/>
    <n v="-0.19624573378839588"/>
  </r>
  <r>
    <x v="0"/>
    <x v="0"/>
    <x v="0"/>
    <s v="POLAND"/>
    <x v="17"/>
    <s v="PL_A"/>
    <s v="LAZI-1_ST_COAL_EXT"/>
    <x v="5"/>
    <x v="0"/>
    <x v="6"/>
    <x v="0"/>
    <x v="0"/>
    <n v="0.115"/>
  </r>
  <r>
    <x v="0"/>
    <x v="0"/>
    <x v="0"/>
    <s v="POLAND"/>
    <x v="17"/>
    <s v="PL_A"/>
    <s v="LAZI-1_ST_COAL_EXT"/>
    <x v="5"/>
    <x v="0"/>
    <x v="6"/>
    <x v="1"/>
    <x v="0"/>
    <n v="-0.115"/>
  </r>
  <r>
    <x v="0"/>
    <x v="0"/>
    <x v="0"/>
    <s v="POLAND"/>
    <x v="17"/>
    <s v="PL_A"/>
    <s v="LODZ-3_ST_STRAW_EXT"/>
    <x v="21"/>
    <x v="2"/>
    <x v="6"/>
    <x v="0"/>
    <x v="0"/>
    <n v="0.19999999999999998"/>
  </r>
  <r>
    <x v="0"/>
    <x v="0"/>
    <x v="0"/>
    <s v="POLAND"/>
    <x v="17"/>
    <s v="PL_A"/>
    <s v="LODZ-3_ST_STRAW_EXT"/>
    <x v="21"/>
    <x v="2"/>
    <x v="6"/>
    <x v="1"/>
    <x v="0"/>
    <n v="-0.19999999999999998"/>
  </r>
  <r>
    <x v="0"/>
    <x v="0"/>
    <x v="0"/>
    <s v="POLAND"/>
    <x v="17"/>
    <s v="PL_A"/>
    <s v="LODZ-3_ST_STRAW_EXT"/>
    <x v="21"/>
    <x v="0"/>
    <x v="6"/>
    <x v="0"/>
    <x v="0"/>
    <n v="8.7999999999999995E-2"/>
  </r>
  <r>
    <x v="0"/>
    <x v="0"/>
    <x v="0"/>
    <s v="POLAND"/>
    <x v="17"/>
    <s v="PL_A"/>
    <s v="LODZ-3_ST_STRAW_EXT"/>
    <x v="21"/>
    <x v="0"/>
    <x v="6"/>
    <x v="1"/>
    <x v="0"/>
    <n v="-8.7999999999999995E-2"/>
  </r>
  <r>
    <x v="0"/>
    <x v="0"/>
    <x v="0"/>
    <s v="POLAND"/>
    <x v="17"/>
    <s v="PL_A"/>
    <s v="MIEC_ST_COAL_EXT"/>
    <x v="5"/>
    <x v="2"/>
    <x v="6"/>
    <x v="0"/>
    <x v="0"/>
    <n v="0.15"/>
  </r>
  <r>
    <x v="0"/>
    <x v="0"/>
    <x v="0"/>
    <s v="POLAND"/>
    <x v="17"/>
    <s v="PL_A"/>
    <s v="MIEC_ST_COAL_EXT"/>
    <x v="5"/>
    <x v="2"/>
    <x v="6"/>
    <x v="1"/>
    <x v="0"/>
    <n v="-0.15"/>
  </r>
  <r>
    <x v="0"/>
    <x v="0"/>
    <x v="0"/>
    <s v="POLAND"/>
    <x v="17"/>
    <s v="PL_A"/>
    <s v="MIEC_ST_COAL_EXT"/>
    <x v="5"/>
    <x v="0"/>
    <x v="6"/>
    <x v="0"/>
    <x v="0"/>
    <n v="4.8000000000000001E-2"/>
  </r>
  <r>
    <x v="0"/>
    <x v="0"/>
    <x v="0"/>
    <s v="POLAND"/>
    <x v="17"/>
    <s v="PL_A"/>
    <s v="MIEC_ST_COAL_EXT"/>
    <x v="5"/>
    <x v="0"/>
    <x v="6"/>
    <x v="1"/>
    <x v="0"/>
    <n v="-4.8000000000000001E-2"/>
  </r>
  <r>
    <x v="0"/>
    <x v="0"/>
    <x v="0"/>
    <s v="POLAND"/>
    <x v="17"/>
    <s v="PL_A"/>
    <s v="RYBN-1_ST_COAL_EXT"/>
    <x v="5"/>
    <x v="2"/>
    <x v="6"/>
    <x v="0"/>
    <x v="0"/>
    <n v="5.7222222222222223E-2"/>
  </r>
  <r>
    <x v="0"/>
    <x v="0"/>
    <x v="0"/>
    <s v="POLAND"/>
    <x v="17"/>
    <s v="PL_A"/>
    <s v="RYBN-1_ST_COAL_EXT"/>
    <x v="5"/>
    <x v="2"/>
    <x v="6"/>
    <x v="1"/>
    <x v="0"/>
    <n v="-5.7222222222222223E-2"/>
  </r>
  <r>
    <x v="0"/>
    <x v="0"/>
    <x v="0"/>
    <s v="POLAND"/>
    <x v="17"/>
    <s v="PL_A"/>
    <s v="RYBN-1_ST_COAL_EXT"/>
    <x v="5"/>
    <x v="0"/>
    <x v="6"/>
    <x v="0"/>
    <x v="0"/>
    <n v="0.20600000000000002"/>
  </r>
  <r>
    <x v="0"/>
    <x v="0"/>
    <x v="0"/>
    <s v="POLAND"/>
    <x v="17"/>
    <s v="PL_A"/>
    <s v="RYBN-1_ST_COAL_EXT"/>
    <x v="5"/>
    <x v="0"/>
    <x v="6"/>
    <x v="1"/>
    <x v="0"/>
    <n v="-0.20600000000000002"/>
  </r>
  <r>
    <x v="0"/>
    <x v="0"/>
    <x v="0"/>
    <s v="POLAND"/>
    <x v="17"/>
    <s v="PL_A"/>
    <s v="SIEK-1_ST_COAL_EXT"/>
    <x v="5"/>
    <x v="2"/>
    <x v="6"/>
    <x v="0"/>
    <x v="0"/>
    <n v="9.2783505154639179E-2"/>
  </r>
  <r>
    <x v="0"/>
    <x v="0"/>
    <x v="0"/>
    <s v="POLAND"/>
    <x v="17"/>
    <s v="PL_A"/>
    <s v="SIEK-1_ST_COAL_EXT"/>
    <x v="5"/>
    <x v="2"/>
    <x v="6"/>
    <x v="1"/>
    <x v="0"/>
    <n v="-9.2783505154639179E-2"/>
  </r>
  <r>
    <x v="0"/>
    <x v="0"/>
    <x v="0"/>
    <s v="POLAND"/>
    <x v="17"/>
    <s v="PL_A"/>
    <s v="SIEK-1_ST_COAL_EXT"/>
    <x v="5"/>
    <x v="0"/>
    <x v="6"/>
    <x v="0"/>
    <x v="0"/>
    <n v="4.4999999999999998E-2"/>
  </r>
  <r>
    <x v="0"/>
    <x v="0"/>
    <x v="0"/>
    <s v="POLAND"/>
    <x v="17"/>
    <s v="PL_A"/>
    <s v="SIEK-1_ST_COAL_EXT"/>
    <x v="5"/>
    <x v="0"/>
    <x v="6"/>
    <x v="1"/>
    <x v="0"/>
    <n v="-4.4999999999999998E-2"/>
  </r>
  <r>
    <x v="0"/>
    <x v="0"/>
    <x v="0"/>
    <s v="POLAND"/>
    <x v="17"/>
    <s v="PL_A"/>
    <s v="SIEK-8_ST_COAL_EXT"/>
    <x v="5"/>
    <x v="2"/>
    <x v="6"/>
    <x v="0"/>
    <x v="0"/>
    <n v="0.42444444444444451"/>
  </r>
  <r>
    <x v="0"/>
    <x v="0"/>
    <x v="0"/>
    <s v="POLAND"/>
    <x v="17"/>
    <s v="PL_A"/>
    <s v="SIEK-8_ST_COAL_EXT"/>
    <x v="5"/>
    <x v="2"/>
    <x v="6"/>
    <x v="1"/>
    <x v="0"/>
    <n v="-0.42444444444444451"/>
  </r>
  <r>
    <x v="0"/>
    <x v="0"/>
    <x v="0"/>
    <s v="POLAND"/>
    <x v="17"/>
    <s v="PL_A"/>
    <s v="SIEK-8_ST_COAL_EXT"/>
    <x v="5"/>
    <x v="0"/>
    <x v="6"/>
    <x v="0"/>
    <x v="0"/>
    <n v="0.191"/>
  </r>
  <r>
    <x v="0"/>
    <x v="0"/>
    <x v="0"/>
    <s v="POLAND"/>
    <x v="17"/>
    <s v="PL_A"/>
    <s v="SIEK-8_ST_COAL_EXT"/>
    <x v="5"/>
    <x v="0"/>
    <x v="6"/>
    <x v="1"/>
    <x v="0"/>
    <n v="-0.191"/>
  </r>
  <r>
    <x v="0"/>
    <x v="0"/>
    <x v="0"/>
    <s v="POLAND"/>
    <x v="17"/>
    <s v="PL_A"/>
    <s v="ZABR-1_ST_COAL_EXT"/>
    <x v="5"/>
    <x v="2"/>
    <x v="6"/>
    <x v="0"/>
    <x v="0"/>
    <n v="0.10769230769230768"/>
  </r>
  <r>
    <x v="0"/>
    <x v="0"/>
    <x v="0"/>
    <s v="POLAND"/>
    <x v="17"/>
    <s v="PL_A"/>
    <s v="ZABR-1_ST_COAL_EXT"/>
    <x v="5"/>
    <x v="2"/>
    <x v="6"/>
    <x v="1"/>
    <x v="0"/>
    <n v="-0.10769230769230768"/>
  </r>
  <r>
    <x v="0"/>
    <x v="0"/>
    <x v="0"/>
    <s v="POLAND"/>
    <x v="17"/>
    <s v="PL_A"/>
    <s v="ZABR-1_ST_COAL_EXT"/>
    <x v="5"/>
    <x v="0"/>
    <x v="6"/>
    <x v="0"/>
    <x v="0"/>
    <n v="2.8000000000000001E-2"/>
  </r>
  <r>
    <x v="0"/>
    <x v="0"/>
    <x v="0"/>
    <s v="POLAND"/>
    <x v="17"/>
    <s v="PL_A"/>
    <s v="ZABR-1_ST_COAL_EXT"/>
    <x v="5"/>
    <x v="0"/>
    <x v="6"/>
    <x v="1"/>
    <x v="0"/>
    <n v="-2.8000000000000001E-2"/>
  </r>
  <r>
    <x v="0"/>
    <x v="0"/>
    <x v="0"/>
    <s v="POLAND"/>
    <x v="17"/>
    <s v="PL_A"/>
    <s v="ZABR-2_ST_COAL_EXT"/>
    <x v="5"/>
    <x v="2"/>
    <x v="6"/>
    <x v="0"/>
    <x v="0"/>
    <n v="0.11538461538461538"/>
  </r>
  <r>
    <x v="0"/>
    <x v="0"/>
    <x v="0"/>
    <s v="POLAND"/>
    <x v="17"/>
    <s v="PL_A"/>
    <s v="ZABR-2_ST_COAL_EXT"/>
    <x v="5"/>
    <x v="2"/>
    <x v="6"/>
    <x v="1"/>
    <x v="0"/>
    <n v="-0.11538461538461538"/>
  </r>
  <r>
    <x v="0"/>
    <x v="0"/>
    <x v="0"/>
    <s v="POLAND"/>
    <x v="17"/>
    <s v="PL_A"/>
    <s v="ZABR-2_ST_COAL_EXT"/>
    <x v="5"/>
    <x v="0"/>
    <x v="6"/>
    <x v="0"/>
    <x v="0"/>
    <n v="0.03"/>
  </r>
  <r>
    <x v="0"/>
    <x v="0"/>
    <x v="0"/>
    <s v="POLAND"/>
    <x v="17"/>
    <s v="PL_A"/>
    <s v="ZABR-2_ST_COAL_EXT"/>
    <x v="5"/>
    <x v="0"/>
    <x v="6"/>
    <x v="1"/>
    <x v="0"/>
    <n v="-0.03"/>
  </r>
  <r>
    <x v="0"/>
    <x v="0"/>
    <x v="0"/>
    <s v="POLAND"/>
    <x v="17"/>
    <s v="PL_A"/>
    <s v="ZERA-7_ST_COAL_EXT"/>
    <x v="5"/>
    <x v="2"/>
    <x v="6"/>
    <x v="0"/>
    <x v="0"/>
    <n v="0.25454545454545457"/>
  </r>
  <r>
    <x v="0"/>
    <x v="0"/>
    <x v="0"/>
    <s v="POLAND"/>
    <x v="17"/>
    <s v="PL_A"/>
    <s v="ZERA-7_ST_COAL_EXT"/>
    <x v="5"/>
    <x v="2"/>
    <x v="6"/>
    <x v="1"/>
    <x v="0"/>
    <n v="-0.25454545454545457"/>
  </r>
  <r>
    <x v="0"/>
    <x v="0"/>
    <x v="0"/>
    <s v="POLAND"/>
    <x v="17"/>
    <s v="PL_A"/>
    <s v="ZERA-7_ST_COAL_EXT"/>
    <x v="5"/>
    <x v="0"/>
    <x v="6"/>
    <x v="0"/>
    <x v="0"/>
    <n v="8.4000000000000005E-2"/>
  </r>
  <r>
    <x v="0"/>
    <x v="0"/>
    <x v="0"/>
    <s v="POLAND"/>
    <x v="17"/>
    <s v="PL_A"/>
    <s v="ZERA-7_ST_COAL_EXT"/>
    <x v="5"/>
    <x v="0"/>
    <x v="6"/>
    <x v="1"/>
    <x v="0"/>
    <n v="-8.4000000000000005E-2"/>
  </r>
  <r>
    <x v="0"/>
    <x v="0"/>
    <x v="0"/>
    <s v="POLAND"/>
    <x v="17"/>
    <s v="PL_A"/>
    <s v="ZERA-8_ST_COAL_EXT"/>
    <x v="5"/>
    <x v="2"/>
    <x v="6"/>
    <x v="0"/>
    <x v="0"/>
    <n v="0.25454545454545457"/>
  </r>
  <r>
    <x v="0"/>
    <x v="0"/>
    <x v="0"/>
    <s v="POLAND"/>
    <x v="17"/>
    <s v="PL_A"/>
    <s v="ZERA-8_ST_COAL_EXT"/>
    <x v="5"/>
    <x v="2"/>
    <x v="6"/>
    <x v="1"/>
    <x v="0"/>
    <n v="-0.25454545454545457"/>
  </r>
  <r>
    <x v="0"/>
    <x v="0"/>
    <x v="0"/>
    <s v="POLAND"/>
    <x v="17"/>
    <s v="PL_A"/>
    <s v="ZERA-8_ST_COAL_EXT"/>
    <x v="5"/>
    <x v="0"/>
    <x v="6"/>
    <x v="0"/>
    <x v="0"/>
    <n v="8.4000000000000005E-2"/>
  </r>
  <r>
    <x v="0"/>
    <x v="0"/>
    <x v="0"/>
    <s v="POLAND"/>
    <x v="17"/>
    <s v="PL_A"/>
    <s v="ZERA-8_ST_COAL_EXT"/>
    <x v="5"/>
    <x v="0"/>
    <x v="6"/>
    <x v="1"/>
    <x v="0"/>
    <n v="-8.4000000000000005E-2"/>
  </r>
  <r>
    <x v="0"/>
    <x v="0"/>
    <x v="0"/>
    <s v="POLAND"/>
    <x v="17"/>
    <s v="PL_A"/>
    <s v="GNR_ELYS_ELEC_AEC_Y-2020"/>
    <x v="2"/>
    <x v="1"/>
    <x v="3"/>
    <x v="0"/>
    <x v="0"/>
    <n v="2.6660000000000008"/>
  </r>
  <r>
    <x v="0"/>
    <x v="0"/>
    <x v="0"/>
    <s v="POLAND"/>
    <x v="17"/>
    <s v="PL_A"/>
    <s v="GNR_ELYS_ELEC_AEC_Y-2020"/>
    <x v="2"/>
    <x v="1"/>
    <x v="3"/>
    <x v="1"/>
    <x v="0"/>
    <n v="-0.66600000000000181"/>
  </r>
  <r>
    <x v="0"/>
    <x v="0"/>
    <x v="0"/>
    <s v="POLAND"/>
    <x v="17"/>
    <s v="PL_A"/>
    <s v="GNR_ELYS_ELEC_AEC_Y-2050"/>
    <x v="2"/>
    <x v="1"/>
    <x v="3"/>
    <x v="2"/>
    <x v="0"/>
    <n v="42.063943773628928"/>
  </r>
  <r>
    <x v="0"/>
    <x v="0"/>
    <x v="0"/>
    <s v="POLAND"/>
    <x v="17"/>
    <s v="PL_A"/>
    <s v="GNR_H2S_H2-CAVERN_Y-2050"/>
    <x v="6"/>
    <x v="1"/>
    <x v="7"/>
    <x v="2"/>
    <x v="0"/>
    <n v="48.090370784983733"/>
  </r>
  <r>
    <x v="0"/>
    <x v="0"/>
    <x v="0"/>
    <s v="POLAND"/>
    <x v="17"/>
    <s v="PL_A"/>
    <s v="GNR_STEAM-REFORMING_E-70_Y-2020"/>
    <x v="0"/>
    <x v="1"/>
    <x v="4"/>
    <x v="0"/>
    <x v="0"/>
    <n v="1.5151128460938892"/>
  </r>
  <r>
    <x v="0"/>
    <x v="0"/>
    <x v="0"/>
    <s v="POLAND"/>
    <x v="17"/>
    <s v="PL_A"/>
    <s v="GNR_STEAM-REFORMING_E-70_Y-2020"/>
    <x v="0"/>
    <x v="1"/>
    <x v="4"/>
    <x v="2"/>
    <x v="0"/>
    <n v="-3.1832314562052488E-16"/>
  </r>
  <r>
    <x v="0"/>
    <x v="0"/>
    <x v="0"/>
    <s v="POLAND"/>
    <x v="17"/>
    <s v="PL_A"/>
    <s v="GNR_STEAM-REFORMING_E-70_Y-2020"/>
    <x v="0"/>
    <x v="1"/>
    <x v="4"/>
    <x v="1"/>
    <x v="0"/>
    <n v="-1.515112846093889"/>
  </r>
  <r>
    <x v="0"/>
    <x v="0"/>
    <x v="0"/>
    <s v="POLAND"/>
    <x v="17"/>
    <s v="PL_Rural"/>
    <s v="ADAM-2_ST_LIGNITE_CON"/>
    <x v="16"/>
    <x v="0"/>
    <x v="0"/>
    <x v="0"/>
    <x v="0"/>
    <n v="0.61"/>
  </r>
  <r>
    <x v="0"/>
    <x v="0"/>
    <x v="0"/>
    <s v="POLAND"/>
    <x v="17"/>
    <s v="PL_Rural"/>
    <s v="ADAM-2_ST_LIGNITE_CON"/>
    <x v="16"/>
    <x v="0"/>
    <x v="0"/>
    <x v="1"/>
    <x v="0"/>
    <n v="-0.61"/>
  </r>
  <r>
    <x v="0"/>
    <x v="0"/>
    <x v="0"/>
    <s v="POLAND"/>
    <x v="17"/>
    <s v="PL_Rural"/>
    <s v="BELC-2_ST_LIGNITE_CON"/>
    <x v="16"/>
    <x v="0"/>
    <x v="0"/>
    <x v="0"/>
    <x v="0"/>
    <n v="3.8519999999999999"/>
  </r>
  <r>
    <x v="0"/>
    <x v="0"/>
    <x v="0"/>
    <s v="POLAND"/>
    <x v="17"/>
    <s v="PL_Rural"/>
    <s v="BELC-2_ST_LIGNITE_CON"/>
    <x v="16"/>
    <x v="0"/>
    <x v="0"/>
    <x v="1"/>
    <x v="0"/>
    <n v="-3.8519999999999999"/>
  </r>
  <r>
    <x v="0"/>
    <x v="0"/>
    <x v="0"/>
    <s v="POLAND"/>
    <x v="17"/>
    <s v="PL_Rural"/>
    <s v="DOLN-2_ST_COAL_CND"/>
    <x v="5"/>
    <x v="0"/>
    <x v="0"/>
    <x v="0"/>
    <x v="0"/>
    <n v="1.425"/>
  </r>
  <r>
    <x v="0"/>
    <x v="0"/>
    <x v="0"/>
    <s v="POLAND"/>
    <x v="17"/>
    <s v="PL_Rural"/>
    <s v="DOLN-2_ST_COAL_CND"/>
    <x v="5"/>
    <x v="0"/>
    <x v="0"/>
    <x v="1"/>
    <x v="0"/>
    <n v="-1.425"/>
  </r>
  <r>
    <x v="0"/>
    <x v="0"/>
    <x v="0"/>
    <s v="POLAND"/>
    <x v="17"/>
    <s v="PL_Rural"/>
    <s v="GNR_ROR_WTR"/>
    <x v="1"/>
    <x v="0"/>
    <x v="2"/>
    <x v="0"/>
    <x v="0"/>
    <n v="0.95300000000000007"/>
  </r>
  <r>
    <x v="0"/>
    <x v="0"/>
    <x v="0"/>
    <s v="POLAND"/>
    <x v="17"/>
    <s v="PL_Rural"/>
    <s v="GNR_ST_NUCL_CND_E-33"/>
    <x v="11"/>
    <x v="0"/>
    <x v="0"/>
    <x v="0"/>
    <x v="0"/>
    <n v="2.7760000000000002"/>
  </r>
  <r>
    <x v="0"/>
    <x v="0"/>
    <x v="0"/>
    <s v="POLAND"/>
    <x v="17"/>
    <s v="PL_Rural"/>
    <s v="GNR_ST_NUCL_CND_E-33"/>
    <x v="11"/>
    <x v="0"/>
    <x v="0"/>
    <x v="1"/>
    <x v="0"/>
    <n v="-2.7760000000000002"/>
  </r>
  <r>
    <x v="0"/>
    <x v="0"/>
    <x v="0"/>
    <s v="POLAND"/>
    <x v="17"/>
    <s v="PL_Rural"/>
    <s v="KOZI-2_ST_COAL_CND"/>
    <x v="5"/>
    <x v="0"/>
    <x v="0"/>
    <x v="0"/>
    <x v="0"/>
    <n v="1.2750000000000001"/>
  </r>
  <r>
    <x v="0"/>
    <x v="0"/>
    <x v="0"/>
    <s v="POLAND"/>
    <x v="17"/>
    <s v="PL_Rural"/>
    <s v="KOZI-2_ST_COAL_CND"/>
    <x v="5"/>
    <x v="0"/>
    <x v="0"/>
    <x v="1"/>
    <x v="0"/>
    <n v="-1.2750000000000001"/>
  </r>
  <r>
    <x v="0"/>
    <x v="0"/>
    <x v="0"/>
    <s v="POLAND"/>
    <x v="17"/>
    <s v="PL_Rural"/>
    <s v="LAZI-2_ST_COAL_CND"/>
    <x v="5"/>
    <x v="0"/>
    <x v="0"/>
    <x v="0"/>
    <x v="0"/>
    <n v="0.93800000000000006"/>
  </r>
  <r>
    <x v="0"/>
    <x v="0"/>
    <x v="0"/>
    <s v="POLAND"/>
    <x v="17"/>
    <s v="PL_Rural"/>
    <s v="LAZI-2_ST_COAL_CND"/>
    <x v="5"/>
    <x v="0"/>
    <x v="0"/>
    <x v="1"/>
    <x v="0"/>
    <n v="-0.93800000000000006"/>
  </r>
  <r>
    <x v="0"/>
    <x v="0"/>
    <x v="0"/>
    <s v="POLAND"/>
    <x v="17"/>
    <s v="PL_Rural"/>
    <s v="LAZI-6_ST_COAL_CND"/>
    <x v="5"/>
    <x v="0"/>
    <x v="0"/>
    <x v="0"/>
    <x v="0"/>
    <n v="0.42699999999999999"/>
  </r>
  <r>
    <x v="0"/>
    <x v="0"/>
    <x v="0"/>
    <s v="POLAND"/>
    <x v="17"/>
    <s v="PL_Rural"/>
    <s v="LAZI-6_ST_COAL_CND"/>
    <x v="5"/>
    <x v="0"/>
    <x v="0"/>
    <x v="1"/>
    <x v="0"/>
    <n v="-0.42699999999999999"/>
  </r>
  <r>
    <x v="0"/>
    <x v="0"/>
    <x v="0"/>
    <s v="POLAND"/>
    <x v="17"/>
    <s v="PL_Rural"/>
    <s v="OPOL-1_ST_COAL_CND"/>
    <x v="5"/>
    <x v="0"/>
    <x v="0"/>
    <x v="0"/>
    <x v="0"/>
    <n v="1.42"/>
  </r>
  <r>
    <x v="0"/>
    <x v="0"/>
    <x v="0"/>
    <s v="POLAND"/>
    <x v="17"/>
    <s v="PL_Rural"/>
    <s v="OPOL-1_ST_COAL_CND"/>
    <x v="5"/>
    <x v="0"/>
    <x v="0"/>
    <x v="1"/>
    <x v="0"/>
    <n v="-1.42"/>
  </r>
  <r>
    <x v="0"/>
    <x v="0"/>
    <x v="0"/>
    <s v="POLAND"/>
    <x v="17"/>
    <s v="PL_Rural"/>
    <s v="OSTRB-1_ST_COAL_CND"/>
    <x v="5"/>
    <x v="0"/>
    <x v="0"/>
    <x v="0"/>
    <x v="0"/>
    <n v="0.68800000000000006"/>
  </r>
  <r>
    <x v="0"/>
    <x v="0"/>
    <x v="0"/>
    <s v="POLAND"/>
    <x v="17"/>
    <s v="PL_Rural"/>
    <s v="OSTRB-1_ST_COAL_CND"/>
    <x v="5"/>
    <x v="0"/>
    <x v="0"/>
    <x v="1"/>
    <x v="0"/>
    <n v="-0.68800000000000006"/>
  </r>
  <r>
    <x v="0"/>
    <x v="0"/>
    <x v="0"/>
    <s v="POLAND"/>
    <x v="17"/>
    <s v="PL_Rural"/>
    <s v="PATN2-1_ST_LIGNITE_CON"/>
    <x v="16"/>
    <x v="0"/>
    <x v="0"/>
    <x v="0"/>
    <x v="0"/>
    <n v="0.441"/>
  </r>
  <r>
    <x v="0"/>
    <x v="0"/>
    <x v="0"/>
    <s v="POLAND"/>
    <x v="17"/>
    <s v="PL_Rural"/>
    <s v="PATN2-1_ST_LIGNITE_CON"/>
    <x v="16"/>
    <x v="0"/>
    <x v="0"/>
    <x v="1"/>
    <x v="0"/>
    <n v="-0.441"/>
  </r>
  <r>
    <x v="0"/>
    <x v="0"/>
    <x v="0"/>
    <s v="POLAND"/>
    <x v="17"/>
    <s v="PL_Rural"/>
    <s v="POLA-2_ST_COAL_CND"/>
    <x v="5"/>
    <x v="0"/>
    <x v="0"/>
    <x v="0"/>
    <x v="0"/>
    <n v="1.6560000000000001"/>
  </r>
  <r>
    <x v="0"/>
    <x v="0"/>
    <x v="0"/>
    <s v="POLAND"/>
    <x v="17"/>
    <s v="PL_Rural"/>
    <s v="POLA-2_ST_COAL_CND"/>
    <x v="5"/>
    <x v="0"/>
    <x v="0"/>
    <x v="1"/>
    <x v="0"/>
    <n v="-1.6560000000000001"/>
  </r>
  <r>
    <x v="0"/>
    <x v="0"/>
    <x v="0"/>
    <s v="POLAND"/>
    <x v="17"/>
    <s v="PL_Rural"/>
    <s v="RYBN-2_ST_COAL_CND"/>
    <x v="5"/>
    <x v="0"/>
    <x v="0"/>
    <x v="0"/>
    <x v="0"/>
    <n v="2.6510000000000002"/>
  </r>
  <r>
    <x v="0"/>
    <x v="0"/>
    <x v="0"/>
    <s v="POLAND"/>
    <x v="17"/>
    <s v="PL_Rural"/>
    <s v="RYBN-2_ST_COAL_CND"/>
    <x v="5"/>
    <x v="0"/>
    <x v="0"/>
    <x v="1"/>
    <x v="0"/>
    <n v="-2.6510000000000002"/>
  </r>
  <r>
    <x v="0"/>
    <x v="0"/>
    <x v="0"/>
    <s v="POLAND"/>
    <x v="17"/>
    <s v="PL00_A"/>
    <s v="GNR_PV_SUN"/>
    <x v="8"/>
    <x v="0"/>
    <x v="9"/>
    <x v="0"/>
    <x v="0"/>
    <n v="2.04"/>
  </r>
  <r>
    <x v="0"/>
    <x v="0"/>
    <x v="0"/>
    <s v="POLAND"/>
    <x v="17"/>
    <s v="PL00_A"/>
    <s v="GNR_WT_WIND_OFF"/>
    <x v="3"/>
    <x v="0"/>
    <x v="10"/>
    <x v="0"/>
    <x v="0"/>
    <n v="1.2"/>
  </r>
  <r>
    <x v="0"/>
    <x v="0"/>
    <x v="0"/>
    <s v="POLAND"/>
    <x v="17"/>
    <s v="PL00_A"/>
    <s v="GNR_WT_WIND_ONS_RG1"/>
    <x v="3"/>
    <x v="0"/>
    <x v="5"/>
    <x v="0"/>
    <x v="0"/>
    <n v="2.9651543999999999"/>
  </r>
  <r>
    <x v="0"/>
    <x v="0"/>
    <x v="0"/>
    <s v="POLAND"/>
    <x v="17"/>
    <s v="PL00_A"/>
    <s v="GNR_WT_WIND_ONS_RG1"/>
    <x v="3"/>
    <x v="0"/>
    <x v="5"/>
    <x v="1"/>
    <x v="0"/>
    <n v="-2.9651543999999999"/>
  </r>
  <r>
    <x v="0"/>
    <x v="0"/>
    <x v="0"/>
    <s v="POLAND"/>
    <x v="17"/>
    <s v="PL00_A"/>
    <s v="GNR_WT_WIND_ONS_RG2"/>
    <x v="3"/>
    <x v="0"/>
    <x v="5"/>
    <x v="0"/>
    <x v="0"/>
    <n v="6.2107682000000004"/>
  </r>
  <r>
    <x v="0"/>
    <x v="0"/>
    <x v="0"/>
    <s v="POLAND"/>
    <x v="17"/>
    <s v="PL00_A"/>
    <s v="GNR_WT_WIND_ONS_RG2"/>
    <x v="3"/>
    <x v="0"/>
    <x v="5"/>
    <x v="1"/>
    <x v="0"/>
    <n v="-6.2107682000000004"/>
  </r>
  <r>
    <x v="0"/>
    <x v="0"/>
    <x v="0"/>
    <s v="POLAND"/>
    <x v="17"/>
    <s v="PL00_A"/>
    <s v="GNR_WT_WIND_ONS_RG3"/>
    <x v="3"/>
    <x v="0"/>
    <x v="5"/>
    <x v="0"/>
    <x v="0"/>
    <n v="1.2500773999999999"/>
  </r>
  <r>
    <x v="0"/>
    <x v="0"/>
    <x v="0"/>
    <s v="POLAND"/>
    <x v="17"/>
    <s v="PL00_A"/>
    <s v="GNR_WT_WIND_ONS_RG3"/>
    <x v="3"/>
    <x v="0"/>
    <x v="5"/>
    <x v="1"/>
    <x v="0"/>
    <n v="-1.2500773999999999"/>
  </r>
  <r>
    <x v="0"/>
    <x v="0"/>
    <x v="0"/>
    <s v="POLAND"/>
    <x v="17"/>
    <s v="PL00_A"/>
    <s v="GNR_WT_ONS-2050"/>
    <x v="3"/>
    <x v="0"/>
    <x v="5"/>
    <x v="2"/>
    <x v="0"/>
    <n v="150"/>
  </r>
  <r>
    <x v="0"/>
    <x v="0"/>
    <x v="0"/>
    <s v="BELGIUM"/>
    <x v="18"/>
    <s v="BE_A"/>
    <s v="GNR_CC_NGAS_CND_E-56"/>
    <x v="0"/>
    <x v="0"/>
    <x v="0"/>
    <x v="0"/>
    <x v="0"/>
    <n v="4.4119999999999999"/>
  </r>
  <r>
    <x v="0"/>
    <x v="0"/>
    <x v="0"/>
    <s v="BELGIUM"/>
    <x v="18"/>
    <s v="BE_A"/>
    <s v="GNR_CC_NGAS_CND_E-56"/>
    <x v="0"/>
    <x v="0"/>
    <x v="0"/>
    <x v="1"/>
    <x v="0"/>
    <n v="-4.4119999999999999"/>
  </r>
  <r>
    <x v="0"/>
    <x v="0"/>
    <x v="0"/>
    <s v="BELGIUM"/>
    <x v="18"/>
    <s v="BE_A"/>
    <s v="GNR_ROR_WTR"/>
    <x v="1"/>
    <x v="0"/>
    <x v="2"/>
    <x v="0"/>
    <x v="0"/>
    <n v="0.18099999999999999"/>
  </r>
  <r>
    <x v="0"/>
    <x v="0"/>
    <x v="0"/>
    <s v="BELGIUM"/>
    <x v="18"/>
    <s v="BE_A"/>
    <s v="GNR_ST_COAL_CND_E-40"/>
    <x v="5"/>
    <x v="0"/>
    <x v="0"/>
    <x v="0"/>
    <x v="0"/>
    <n v="0.47000000000000003"/>
  </r>
  <r>
    <x v="0"/>
    <x v="0"/>
    <x v="0"/>
    <s v="BELGIUM"/>
    <x v="18"/>
    <s v="BE_A"/>
    <s v="GNR_ST_COAL_CND_E-40"/>
    <x v="5"/>
    <x v="0"/>
    <x v="0"/>
    <x v="1"/>
    <x v="0"/>
    <n v="-0.47000000000000003"/>
  </r>
  <r>
    <x v="0"/>
    <x v="0"/>
    <x v="0"/>
    <s v="BELGIUM"/>
    <x v="18"/>
    <s v="BE_A"/>
    <s v="GNR_ST_FUELOIL_CND_E-30"/>
    <x v="10"/>
    <x v="0"/>
    <x v="0"/>
    <x v="0"/>
    <x v="0"/>
    <n v="0.375"/>
  </r>
  <r>
    <x v="0"/>
    <x v="0"/>
    <x v="0"/>
    <s v="BELGIUM"/>
    <x v="18"/>
    <s v="BE_A"/>
    <s v="GNR_ST_FUELOIL_CND_E-30"/>
    <x v="10"/>
    <x v="0"/>
    <x v="0"/>
    <x v="1"/>
    <x v="0"/>
    <n v="-0.375"/>
  </r>
  <r>
    <x v="0"/>
    <x v="0"/>
    <x v="0"/>
    <s v="BELGIUM"/>
    <x v="18"/>
    <s v="BE_A"/>
    <s v="GNR_ST_MSW_CND_E-20"/>
    <x v="17"/>
    <x v="0"/>
    <x v="0"/>
    <x v="0"/>
    <x v="0"/>
    <n v="0.36799999999999999"/>
  </r>
  <r>
    <x v="0"/>
    <x v="0"/>
    <x v="0"/>
    <s v="BELGIUM"/>
    <x v="18"/>
    <s v="BE_A"/>
    <s v="GNR_ST_MSW_CND_E-20"/>
    <x v="17"/>
    <x v="0"/>
    <x v="0"/>
    <x v="1"/>
    <x v="0"/>
    <n v="-0.36799999999999999"/>
  </r>
  <r>
    <x v="0"/>
    <x v="0"/>
    <x v="0"/>
    <s v="BELGIUM"/>
    <x v="18"/>
    <s v="BE_A"/>
    <s v="GNR_ST_NUCL_CND_E-33"/>
    <x v="11"/>
    <x v="0"/>
    <x v="0"/>
    <x v="0"/>
    <x v="0"/>
    <n v="5.93"/>
  </r>
  <r>
    <x v="0"/>
    <x v="0"/>
    <x v="0"/>
    <s v="BELGIUM"/>
    <x v="18"/>
    <s v="BE_A"/>
    <s v="GNR_ST_NUCL_CND_E-33"/>
    <x v="11"/>
    <x v="0"/>
    <x v="0"/>
    <x v="1"/>
    <x v="0"/>
    <n v="-5.93"/>
  </r>
  <r>
    <x v="0"/>
    <x v="0"/>
    <x v="0"/>
    <s v="BELGIUM"/>
    <x v="18"/>
    <s v="BE_A"/>
    <s v="GNR_ST_WOOD_CND_E-37"/>
    <x v="18"/>
    <x v="0"/>
    <x v="0"/>
    <x v="0"/>
    <x v="0"/>
    <n v="0.72"/>
  </r>
  <r>
    <x v="0"/>
    <x v="0"/>
    <x v="0"/>
    <s v="BELGIUM"/>
    <x v="18"/>
    <s v="BE_A"/>
    <s v="GNR_ST_WOOD_CND_E-37"/>
    <x v="18"/>
    <x v="0"/>
    <x v="0"/>
    <x v="1"/>
    <x v="0"/>
    <n v="-0.72"/>
  </r>
  <r>
    <x v="0"/>
    <x v="0"/>
    <x v="0"/>
    <s v="BELGIUM"/>
    <x v="18"/>
    <s v="BE_A"/>
    <s v="GNR_STEAM-REFORMING_E-70_Y-2020"/>
    <x v="0"/>
    <x v="1"/>
    <x v="4"/>
    <x v="0"/>
    <x v="0"/>
    <n v="0.64897976583323169"/>
  </r>
  <r>
    <x v="0"/>
    <x v="0"/>
    <x v="0"/>
    <s v="BELGIUM"/>
    <x v="18"/>
    <s v="BE_A"/>
    <s v="GNR_STEAM-REFORMING_E-70_Y-2020"/>
    <x v="0"/>
    <x v="1"/>
    <x v="4"/>
    <x v="2"/>
    <x v="0"/>
    <n v="-7.958078640513122E-17"/>
  </r>
  <r>
    <x v="0"/>
    <x v="0"/>
    <x v="0"/>
    <s v="BELGIUM"/>
    <x v="18"/>
    <s v="BE_A"/>
    <s v="GNR_STEAM-REFORMING_E-70_Y-2020"/>
    <x v="0"/>
    <x v="1"/>
    <x v="4"/>
    <x v="1"/>
    <x v="0"/>
    <n v="-0.64897976583323158"/>
  </r>
  <r>
    <x v="0"/>
    <x v="0"/>
    <x v="0"/>
    <s v="BELGIUM"/>
    <x v="18"/>
    <s v="BE_IND-MT-DH"/>
    <s v="GNR_CC_NGAS_EXT_E-61"/>
    <x v="0"/>
    <x v="2"/>
    <x v="6"/>
    <x v="0"/>
    <x v="0"/>
    <n v="1.2307692307692308"/>
  </r>
  <r>
    <x v="0"/>
    <x v="0"/>
    <x v="0"/>
    <s v="BELGIUM"/>
    <x v="18"/>
    <s v="BE_IND-MT-DH"/>
    <s v="GNR_CC_NGAS_EXT_E-61"/>
    <x v="0"/>
    <x v="2"/>
    <x v="6"/>
    <x v="1"/>
    <x v="0"/>
    <n v="-1.2307692307692308"/>
  </r>
  <r>
    <x v="0"/>
    <x v="0"/>
    <x v="0"/>
    <s v="BELGIUM"/>
    <x v="18"/>
    <s v="BE_IND-MT-DH"/>
    <s v="GNR_CC_NGAS_EXT_E-61"/>
    <x v="0"/>
    <x v="0"/>
    <x v="6"/>
    <x v="0"/>
    <x v="0"/>
    <n v="2.4"/>
  </r>
  <r>
    <x v="0"/>
    <x v="0"/>
    <x v="0"/>
    <s v="BELGIUM"/>
    <x v="18"/>
    <s v="BE_IND-MT-DH"/>
    <s v="GNR_CC_NGAS_EXT_E-61"/>
    <x v="0"/>
    <x v="0"/>
    <x v="6"/>
    <x v="1"/>
    <x v="0"/>
    <n v="-2.4"/>
  </r>
  <r>
    <x v="0"/>
    <x v="0"/>
    <x v="0"/>
    <s v="BELGIUM"/>
    <x v="18"/>
    <s v="BE00_A"/>
    <s v="GNR_PV_SUN"/>
    <x v="8"/>
    <x v="0"/>
    <x v="9"/>
    <x v="0"/>
    <x v="0"/>
    <n v="3.4250000000000003"/>
  </r>
  <r>
    <x v="0"/>
    <x v="0"/>
    <x v="0"/>
    <s v="BELGIUM"/>
    <x v="18"/>
    <s v="BE00_A"/>
    <s v="GNR_PV_SUN"/>
    <x v="8"/>
    <x v="0"/>
    <x v="9"/>
    <x v="1"/>
    <x v="0"/>
    <n v="-3.4250000000000003"/>
  </r>
  <r>
    <x v="0"/>
    <x v="0"/>
    <x v="0"/>
    <s v="BELGIUM"/>
    <x v="18"/>
    <s v="BE00_A"/>
    <s v="GNR_WT_WIND_OFF"/>
    <x v="3"/>
    <x v="0"/>
    <x v="10"/>
    <x v="0"/>
    <x v="0"/>
    <n v="2.262"/>
  </r>
  <r>
    <x v="0"/>
    <x v="0"/>
    <x v="0"/>
    <s v="BELGIUM"/>
    <x v="18"/>
    <s v="BE00_A"/>
    <s v="GNR_WT_WIND_OFF"/>
    <x v="3"/>
    <x v="0"/>
    <x v="10"/>
    <x v="1"/>
    <x v="0"/>
    <n v="-2.262"/>
  </r>
  <r>
    <x v="0"/>
    <x v="0"/>
    <x v="0"/>
    <s v="BELGIUM"/>
    <x v="18"/>
    <s v="BE00_A"/>
    <s v="GNR_WT_WIND_ONS_RG1"/>
    <x v="3"/>
    <x v="0"/>
    <x v="5"/>
    <x v="0"/>
    <x v="0"/>
    <n v="0.41983920000000002"/>
  </r>
  <r>
    <x v="0"/>
    <x v="0"/>
    <x v="0"/>
    <s v="BELGIUM"/>
    <x v="18"/>
    <s v="BE00_A"/>
    <s v="GNR_WT_WIND_ONS_RG1"/>
    <x v="3"/>
    <x v="0"/>
    <x v="5"/>
    <x v="1"/>
    <x v="0"/>
    <n v="-0.41983920000000002"/>
  </r>
  <r>
    <x v="0"/>
    <x v="0"/>
    <x v="0"/>
    <s v="BELGIUM"/>
    <x v="18"/>
    <s v="BE00_A"/>
    <s v="GNR_WT_WIND_ONS_RG2"/>
    <x v="3"/>
    <x v="0"/>
    <x v="5"/>
    <x v="0"/>
    <x v="0"/>
    <n v="0.77552639999999995"/>
  </r>
  <r>
    <x v="0"/>
    <x v="0"/>
    <x v="0"/>
    <s v="BELGIUM"/>
    <x v="18"/>
    <s v="BE00_A"/>
    <s v="GNR_WT_WIND_ONS_RG2"/>
    <x v="3"/>
    <x v="0"/>
    <x v="5"/>
    <x v="1"/>
    <x v="0"/>
    <n v="-0.77552639999999995"/>
  </r>
  <r>
    <x v="0"/>
    <x v="0"/>
    <x v="0"/>
    <s v="BELGIUM"/>
    <x v="18"/>
    <s v="BE00_A"/>
    <s v="GNR_WT_WIND_ONS_RG3"/>
    <x v="3"/>
    <x v="0"/>
    <x v="5"/>
    <x v="0"/>
    <x v="0"/>
    <n v="0.58681260000000002"/>
  </r>
  <r>
    <x v="0"/>
    <x v="0"/>
    <x v="0"/>
    <s v="BELGIUM"/>
    <x v="18"/>
    <s v="BE00_A"/>
    <s v="GNR_WT_WIND_ONS_RG3"/>
    <x v="3"/>
    <x v="0"/>
    <x v="5"/>
    <x v="1"/>
    <x v="0"/>
    <n v="-0.58681260000000002"/>
  </r>
  <r>
    <x v="0"/>
    <x v="0"/>
    <x v="0"/>
    <s v="BELGIUM"/>
    <x v="18"/>
    <s v="BE00_A"/>
    <s v="GNR_WT_ONS-2050"/>
    <x v="3"/>
    <x v="0"/>
    <x v="5"/>
    <x v="2"/>
    <x v="0"/>
    <n v="8.9"/>
  </r>
  <r>
    <x v="0"/>
    <x v="0"/>
    <x v="0"/>
    <s v="BELGIUM"/>
    <x v="18"/>
    <s v="BE00_A"/>
    <s v="GNR_PV-2050"/>
    <x v="8"/>
    <x v="0"/>
    <x v="9"/>
    <x v="2"/>
    <x v="0"/>
    <n v="11.966965310488915"/>
  </r>
  <r>
    <x v="0"/>
    <x v="0"/>
    <x v="0"/>
    <s v="FRANCE"/>
    <x v="19"/>
    <s v="FR_A"/>
    <s v="GNR_CC_NGAS_CND_E-56"/>
    <x v="0"/>
    <x v="0"/>
    <x v="0"/>
    <x v="0"/>
    <x v="0"/>
    <n v="6.258"/>
  </r>
  <r>
    <x v="0"/>
    <x v="0"/>
    <x v="0"/>
    <s v="FRANCE"/>
    <x v="19"/>
    <s v="FR_A"/>
    <s v="GNR_CC_NGAS_CND_E-56"/>
    <x v="0"/>
    <x v="0"/>
    <x v="0"/>
    <x v="1"/>
    <x v="0"/>
    <n v="-6.258"/>
  </r>
  <r>
    <x v="0"/>
    <x v="0"/>
    <x v="0"/>
    <s v="FRANCE"/>
    <x v="19"/>
    <s v="FR_A"/>
    <s v="GNR_ENG_BGAS_CND_E-35"/>
    <x v="7"/>
    <x v="0"/>
    <x v="0"/>
    <x v="0"/>
    <x v="0"/>
    <n v="0.45200000000000001"/>
  </r>
  <r>
    <x v="0"/>
    <x v="0"/>
    <x v="0"/>
    <s v="FRANCE"/>
    <x v="19"/>
    <s v="FR_A"/>
    <s v="GNR_ENG_BGAS_CND_E-35"/>
    <x v="7"/>
    <x v="0"/>
    <x v="0"/>
    <x v="1"/>
    <x v="0"/>
    <n v="-0.45200000000000001"/>
  </r>
  <r>
    <x v="0"/>
    <x v="0"/>
    <x v="0"/>
    <s v="FRANCE"/>
    <x v="19"/>
    <s v="FR_A"/>
    <s v="GNR_GT_FUELOIL_CND_E-32"/>
    <x v="10"/>
    <x v="0"/>
    <x v="0"/>
    <x v="0"/>
    <x v="0"/>
    <n v="2.0489999999999999"/>
  </r>
  <r>
    <x v="0"/>
    <x v="0"/>
    <x v="0"/>
    <s v="FRANCE"/>
    <x v="19"/>
    <s v="FR_A"/>
    <s v="GNR_GT_FUELOIL_CND_E-32"/>
    <x v="10"/>
    <x v="0"/>
    <x v="0"/>
    <x v="1"/>
    <x v="0"/>
    <n v="-2.0489999999999999"/>
  </r>
  <r>
    <x v="0"/>
    <x v="0"/>
    <x v="0"/>
    <s v="FRANCE"/>
    <x v="19"/>
    <s v="FR_A"/>
    <s v="GNR_GT_NGAS_CND_E-38"/>
    <x v="0"/>
    <x v="0"/>
    <x v="0"/>
    <x v="0"/>
    <x v="0"/>
    <n v="0.70300000000000007"/>
  </r>
  <r>
    <x v="0"/>
    <x v="0"/>
    <x v="0"/>
    <s v="FRANCE"/>
    <x v="19"/>
    <s v="FR_A"/>
    <s v="GNR_GT_NGAS_CND_E-38"/>
    <x v="0"/>
    <x v="0"/>
    <x v="0"/>
    <x v="1"/>
    <x v="0"/>
    <n v="-0.70300000000000007"/>
  </r>
  <r>
    <x v="0"/>
    <x v="0"/>
    <x v="0"/>
    <s v="FRANCE"/>
    <x v="19"/>
    <s v="FR_A"/>
    <s v="GNR_PV_SUN"/>
    <x v="8"/>
    <x v="0"/>
    <x v="9"/>
    <x v="0"/>
    <x v="0"/>
    <n v="8.527000000000001"/>
  </r>
  <r>
    <x v="0"/>
    <x v="0"/>
    <x v="0"/>
    <s v="FRANCE"/>
    <x v="19"/>
    <s v="FR_A"/>
    <s v="GNR_PV_SUN"/>
    <x v="8"/>
    <x v="0"/>
    <x v="9"/>
    <x v="1"/>
    <x v="0"/>
    <n v="-8.527000000000001"/>
  </r>
  <r>
    <x v="0"/>
    <x v="0"/>
    <x v="0"/>
    <s v="FRANCE"/>
    <x v="19"/>
    <s v="FR_A"/>
    <s v="GNR_RES_WTR_NOPMP"/>
    <x v="1"/>
    <x v="0"/>
    <x v="1"/>
    <x v="0"/>
    <x v="0"/>
    <n v="12"/>
  </r>
  <r>
    <x v="0"/>
    <x v="0"/>
    <x v="0"/>
    <s v="FRANCE"/>
    <x v="19"/>
    <s v="FR_A"/>
    <s v="GNR_ROR_WTR"/>
    <x v="1"/>
    <x v="0"/>
    <x v="2"/>
    <x v="0"/>
    <x v="0"/>
    <n v="9"/>
  </r>
  <r>
    <x v="0"/>
    <x v="0"/>
    <x v="0"/>
    <s v="FRANCE"/>
    <x v="19"/>
    <s v="FR_A"/>
    <s v="GNR_ST_COAL_CND_E-33"/>
    <x v="5"/>
    <x v="0"/>
    <x v="0"/>
    <x v="0"/>
    <x v="0"/>
    <n v="2.9969999999999999"/>
  </r>
  <r>
    <x v="0"/>
    <x v="0"/>
    <x v="0"/>
    <s v="FRANCE"/>
    <x v="19"/>
    <s v="FR_A"/>
    <s v="GNR_ST_COAL_CND_E-33"/>
    <x v="5"/>
    <x v="0"/>
    <x v="0"/>
    <x v="1"/>
    <x v="0"/>
    <n v="-2.9969999999999999"/>
  </r>
  <r>
    <x v="0"/>
    <x v="0"/>
    <x v="0"/>
    <s v="FRANCE"/>
    <x v="19"/>
    <s v="FR_A"/>
    <s v="GNR_ST_FUELOIL_CND_E-35"/>
    <x v="10"/>
    <x v="0"/>
    <x v="0"/>
    <x v="0"/>
    <x v="0"/>
    <n v="2.0489999999999999"/>
  </r>
  <r>
    <x v="0"/>
    <x v="0"/>
    <x v="0"/>
    <s v="FRANCE"/>
    <x v="19"/>
    <s v="FR_A"/>
    <s v="GNR_ST_FUELOIL_CND_E-35"/>
    <x v="10"/>
    <x v="0"/>
    <x v="0"/>
    <x v="1"/>
    <x v="0"/>
    <n v="-2.0489999999999999"/>
  </r>
  <r>
    <x v="0"/>
    <x v="0"/>
    <x v="0"/>
    <s v="FRANCE"/>
    <x v="19"/>
    <s v="FR_A"/>
    <s v="GNR_ST_MSW_CND_E-20"/>
    <x v="17"/>
    <x v="0"/>
    <x v="0"/>
    <x v="0"/>
    <x v="0"/>
    <n v="0.94000000000000006"/>
  </r>
  <r>
    <x v="0"/>
    <x v="0"/>
    <x v="0"/>
    <s v="FRANCE"/>
    <x v="19"/>
    <s v="FR_A"/>
    <s v="GNR_ST_MSW_CND_E-20"/>
    <x v="17"/>
    <x v="0"/>
    <x v="0"/>
    <x v="1"/>
    <x v="0"/>
    <n v="-0.94000000000000006"/>
  </r>
  <r>
    <x v="0"/>
    <x v="0"/>
    <x v="0"/>
    <s v="FRANCE"/>
    <x v="19"/>
    <s v="FR_A"/>
    <s v="GNR_ST_NGAS_CND_E-36"/>
    <x v="0"/>
    <x v="0"/>
    <x v="0"/>
    <x v="0"/>
    <x v="0"/>
    <n v="0.30599999999999999"/>
  </r>
  <r>
    <x v="0"/>
    <x v="0"/>
    <x v="0"/>
    <s v="FRANCE"/>
    <x v="19"/>
    <s v="FR_A"/>
    <s v="GNR_ST_NGAS_CND_E-36"/>
    <x v="0"/>
    <x v="0"/>
    <x v="0"/>
    <x v="1"/>
    <x v="0"/>
    <n v="-0.30599999999999999"/>
  </r>
  <r>
    <x v="0"/>
    <x v="0"/>
    <x v="0"/>
    <s v="FRANCE"/>
    <x v="19"/>
    <s v="FR_A"/>
    <s v="GNR_ST_NUCL_CND_E-33"/>
    <x v="11"/>
    <x v="0"/>
    <x v="0"/>
    <x v="0"/>
    <x v="0"/>
    <n v="63.13"/>
  </r>
  <r>
    <x v="0"/>
    <x v="0"/>
    <x v="0"/>
    <s v="FRANCE"/>
    <x v="19"/>
    <s v="FR_A"/>
    <s v="GNR_ST_NUCL_CND_E-33"/>
    <x v="11"/>
    <x v="0"/>
    <x v="0"/>
    <x v="1"/>
    <x v="0"/>
    <n v="-41.81143159416569"/>
  </r>
  <r>
    <x v="0"/>
    <x v="0"/>
    <x v="0"/>
    <s v="FRANCE"/>
    <x v="19"/>
    <s v="FR_A"/>
    <s v="GNR_ST_WOOD_CND_E-50"/>
    <x v="18"/>
    <x v="0"/>
    <x v="0"/>
    <x v="0"/>
    <x v="0"/>
    <n v="1.004"/>
  </r>
  <r>
    <x v="0"/>
    <x v="0"/>
    <x v="0"/>
    <s v="FRANCE"/>
    <x v="19"/>
    <s v="FR_A"/>
    <s v="GNR_ST_WOOD_CND_E-50"/>
    <x v="18"/>
    <x v="0"/>
    <x v="0"/>
    <x v="1"/>
    <x v="0"/>
    <n v="-1.004"/>
  </r>
  <r>
    <x v="0"/>
    <x v="0"/>
    <x v="0"/>
    <s v="FRANCE"/>
    <x v="19"/>
    <s v="FR_A"/>
    <s v="GNR_WT_WIND_ONS_RG1"/>
    <x v="3"/>
    <x v="0"/>
    <x v="5"/>
    <x v="0"/>
    <x v="0"/>
    <n v="3.8126188999999999"/>
  </r>
  <r>
    <x v="0"/>
    <x v="0"/>
    <x v="0"/>
    <s v="FRANCE"/>
    <x v="19"/>
    <s v="FR_A"/>
    <s v="GNR_WT_WIND_ONS_RG1"/>
    <x v="3"/>
    <x v="0"/>
    <x v="5"/>
    <x v="1"/>
    <x v="0"/>
    <n v="-3.8126188999999995"/>
  </r>
  <r>
    <x v="0"/>
    <x v="0"/>
    <x v="0"/>
    <s v="FRANCE"/>
    <x v="19"/>
    <s v="FR_A"/>
    <s v="GNR_WT_WIND_ONS_RG2"/>
    <x v="3"/>
    <x v="0"/>
    <x v="5"/>
    <x v="0"/>
    <x v="0"/>
    <n v="9.3396092000000017"/>
  </r>
  <r>
    <x v="0"/>
    <x v="0"/>
    <x v="0"/>
    <s v="FRANCE"/>
    <x v="19"/>
    <s v="FR_A"/>
    <s v="GNR_WT_WIND_ONS_RG2"/>
    <x v="3"/>
    <x v="0"/>
    <x v="5"/>
    <x v="1"/>
    <x v="0"/>
    <n v="-9.3396092000000017"/>
  </r>
  <r>
    <x v="0"/>
    <x v="0"/>
    <x v="0"/>
    <s v="FRANCE"/>
    <x v="19"/>
    <s v="FR_A"/>
    <s v="GNR_WT_WIND_ONS_RG3"/>
    <x v="3"/>
    <x v="0"/>
    <x v="5"/>
    <x v="0"/>
    <x v="0"/>
    <n v="0.67556690000000008"/>
  </r>
  <r>
    <x v="0"/>
    <x v="0"/>
    <x v="0"/>
    <s v="FRANCE"/>
    <x v="19"/>
    <s v="FR_A"/>
    <s v="GNR_WT_WIND_ONS_RG3"/>
    <x v="3"/>
    <x v="0"/>
    <x v="5"/>
    <x v="1"/>
    <x v="0"/>
    <n v="-0.67556690000000008"/>
  </r>
  <r>
    <x v="0"/>
    <x v="0"/>
    <x v="0"/>
    <s v="FRANCE"/>
    <x v="19"/>
    <s v="FR_A"/>
    <s v="GNR_ELYS_ELEC_AEC_Y-2020"/>
    <x v="2"/>
    <x v="1"/>
    <x v="3"/>
    <x v="0"/>
    <x v="0"/>
    <n v="8.6659999999999968"/>
  </r>
  <r>
    <x v="0"/>
    <x v="0"/>
    <x v="0"/>
    <s v="FRANCE"/>
    <x v="19"/>
    <s v="FR_A"/>
    <s v="GNR_ELYS_ELEC_AEC_Y-2020"/>
    <x v="2"/>
    <x v="1"/>
    <x v="3"/>
    <x v="1"/>
    <x v="0"/>
    <n v="-2.165999999999999"/>
  </r>
  <r>
    <x v="0"/>
    <x v="0"/>
    <x v="0"/>
    <s v="FRANCE"/>
    <x v="19"/>
    <s v="FR_A"/>
    <s v="GNR_ELYS_ELEC_AEC_Y-2050"/>
    <x v="2"/>
    <x v="1"/>
    <x v="3"/>
    <x v="2"/>
    <x v="0"/>
    <n v="32.333799668184305"/>
  </r>
  <r>
    <x v="0"/>
    <x v="0"/>
    <x v="0"/>
    <s v="FRANCE"/>
    <x v="19"/>
    <s v="FR_A"/>
    <s v="GNR_H2S_H2-CAVERN_Y-2050"/>
    <x v="6"/>
    <x v="1"/>
    <x v="7"/>
    <x v="2"/>
    <x v="0"/>
    <n v="63.241074664763104"/>
  </r>
  <r>
    <x v="0"/>
    <x v="0"/>
    <x v="0"/>
    <s v="FRANCE"/>
    <x v="19"/>
    <s v="FR_A"/>
    <s v="GNR_STEAM-REFORMING_E-70_Y-2020"/>
    <x v="0"/>
    <x v="1"/>
    <x v="4"/>
    <x v="0"/>
    <x v="0"/>
    <n v="5.2216921144784267"/>
  </r>
  <r>
    <x v="0"/>
    <x v="0"/>
    <x v="0"/>
    <s v="FRANCE"/>
    <x v="19"/>
    <s v="FR_A"/>
    <s v="GNR_STEAM-REFORMING_E-70_Y-2020"/>
    <x v="0"/>
    <x v="1"/>
    <x v="4"/>
    <x v="2"/>
    <x v="0"/>
    <n v="-6.3664629124104976E-16"/>
  </r>
  <r>
    <x v="0"/>
    <x v="0"/>
    <x v="0"/>
    <s v="FRANCE"/>
    <x v="19"/>
    <s v="FR_A"/>
    <s v="GNR_STEAM-REFORMING_E-70_Y-2020"/>
    <x v="0"/>
    <x v="1"/>
    <x v="4"/>
    <x v="1"/>
    <x v="0"/>
    <n v="-5.2216921144784259"/>
  </r>
  <r>
    <x v="0"/>
    <x v="0"/>
    <x v="0"/>
    <s v="FRANCE"/>
    <x v="19"/>
    <s v="FR_Offshore"/>
    <s v="GNR_WT_WIND_OFF"/>
    <x v="3"/>
    <x v="0"/>
    <x v="10"/>
    <x v="0"/>
    <x v="0"/>
    <n v="3"/>
  </r>
  <r>
    <x v="0"/>
    <x v="0"/>
    <x v="0"/>
    <s v="FRANCE"/>
    <x v="19"/>
    <s v="FR_Offshore"/>
    <s v="GNR_WT_WIND_OFF"/>
    <x v="3"/>
    <x v="0"/>
    <x v="10"/>
    <x v="1"/>
    <x v="0"/>
    <n v="-0.5"/>
  </r>
  <r>
    <x v="0"/>
    <x v="0"/>
    <x v="0"/>
    <s v="FRANCE"/>
    <x v="19"/>
    <s v="FR_IND-MT-DH"/>
    <s v="GNR_ST_FUELOIL_EXT_E-22"/>
    <x v="10"/>
    <x v="2"/>
    <x v="6"/>
    <x v="0"/>
    <x v="0"/>
    <n v="0.40687455243799231"/>
  </r>
  <r>
    <x v="0"/>
    <x v="0"/>
    <x v="0"/>
    <s v="FRANCE"/>
    <x v="19"/>
    <s v="FR_IND-MT-DH"/>
    <s v="GNR_ST_FUELOIL_EXT_E-22"/>
    <x v="10"/>
    <x v="2"/>
    <x v="6"/>
    <x v="1"/>
    <x v="0"/>
    <n v="-0.40687455243799231"/>
  </r>
  <r>
    <x v="0"/>
    <x v="0"/>
    <x v="0"/>
    <s v="FRANCE"/>
    <x v="19"/>
    <s v="FR_IND-MT-DH"/>
    <s v="GNR_ST_FUELOIL_EXT_E-22"/>
    <x v="10"/>
    <x v="0"/>
    <x v="6"/>
    <x v="0"/>
    <x v="0"/>
    <n v="0.15"/>
  </r>
  <r>
    <x v="0"/>
    <x v="0"/>
    <x v="0"/>
    <s v="FRANCE"/>
    <x v="19"/>
    <s v="FR_IND-MT-DH"/>
    <s v="GNR_ST_FUELOIL_EXT_E-22"/>
    <x v="10"/>
    <x v="0"/>
    <x v="6"/>
    <x v="1"/>
    <x v="0"/>
    <n v="-0.15"/>
  </r>
  <r>
    <x v="0"/>
    <x v="0"/>
    <x v="0"/>
    <s v="FRANCE"/>
    <x v="19"/>
    <s v="FR_IND-MT-DH"/>
    <s v="GNR_ST_NGAS_EXT_E-24"/>
    <x v="0"/>
    <x v="2"/>
    <x v="6"/>
    <x v="0"/>
    <x v="0"/>
    <n v="5.0064944928560573"/>
  </r>
  <r>
    <x v="0"/>
    <x v="0"/>
    <x v="0"/>
    <s v="FRANCE"/>
    <x v="19"/>
    <s v="FR_IND-MT-DH"/>
    <s v="GNR_ST_NGAS_EXT_E-24"/>
    <x v="0"/>
    <x v="2"/>
    <x v="6"/>
    <x v="1"/>
    <x v="0"/>
    <n v="-5.0064944928560573"/>
  </r>
  <r>
    <x v="0"/>
    <x v="0"/>
    <x v="0"/>
    <s v="FRANCE"/>
    <x v="19"/>
    <s v="FR_IND-MT-DH"/>
    <s v="GNR_ST_NGAS_EXT_E-24"/>
    <x v="0"/>
    <x v="0"/>
    <x v="6"/>
    <x v="0"/>
    <x v="0"/>
    <n v="1.615"/>
  </r>
  <r>
    <x v="0"/>
    <x v="0"/>
    <x v="0"/>
    <s v="FRANCE"/>
    <x v="19"/>
    <s v="FR_IND-MT-DH"/>
    <s v="GNR_ST_NGAS_EXT_E-24"/>
    <x v="0"/>
    <x v="0"/>
    <x v="6"/>
    <x v="1"/>
    <x v="0"/>
    <n v="-1.615"/>
  </r>
  <r>
    <x v="0"/>
    <x v="0"/>
    <x v="0"/>
    <s v="FRANCE"/>
    <x v="19"/>
    <s v="FR00_A"/>
    <s v="GNR_WT_ONS-2050"/>
    <x v="3"/>
    <x v="0"/>
    <x v="5"/>
    <x v="2"/>
    <x v="0"/>
    <n v="100.48380727511231"/>
  </r>
  <r>
    <x v="0"/>
    <x v="0"/>
    <x v="0"/>
    <s v="FRANCE"/>
    <x v="19"/>
    <s v="FR00_A"/>
    <s v="GNR_PV-2050"/>
    <x v="8"/>
    <x v="0"/>
    <x v="9"/>
    <x v="2"/>
    <x v="0"/>
    <n v="119.84192653646213"/>
  </r>
  <r>
    <x v="0"/>
    <x v="0"/>
    <x v="0"/>
    <s v="FRANCE"/>
    <x v="20"/>
    <s v="FR15_A"/>
    <s v="GNR_ST_MSW_CND_E-25_LS-220-MW-FEED_Y-2050"/>
    <x v="17"/>
    <x v="0"/>
    <x v="0"/>
    <x v="2"/>
    <x v="0"/>
    <n v="8.3550744777541736E-3"/>
  </r>
  <r>
    <x v="0"/>
    <x v="0"/>
    <x v="0"/>
    <s v="FRANCE"/>
    <x v="20"/>
    <s v="FR15_A"/>
    <s v="GNR_ELYS_ELEC_AEC_Y-2050"/>
    <x v="2"/>
    <x v="1"/>
    <x v="3"/>
    <x v="2"/>
    <x v="0"/>
    <n v="0.64991582712197893"/>
  </r>
  <r>
    <x v="0"/>
    <x v="0"/>
    <x v="0"/>
    <s v="FRANCE"/>
    <x v="20"/>
    <s v="FR15_A"/>
    <s v="GNR_FC_H2_SOFCC_Y-2050"/>
    <x v="6"/>
    <x v="0"/>
    <x v="12"/>
    <x v="2"/>
    <x v="0"/>
    <n v="0.60989234674221737"/>
  </r>
  <r>
    <x v="0"/>
    <x v="0"/>
    <x v="0"/>
    <s v="FRANCE"/>
    <x v="20"/>
    <s v="FR15_A"/>
    <s v="GNR_H2S_H2-CAVERN_Y-2050"/>
    <x v="6"/>
    <x v="1"/>
    <x v="7"/>
    <x v="2"/>
    <x v="0"/>
    <n v="1.7722925409182113"/>
  </r>
  <r>
    <x v="0"/>
    <x v="0"/>
    <x v="0"/>
    <s v="FRANCE"/>
    <x v="20"/>
    <s v="FR15_A"/>
    <s v="GNR_WT_ONS-2050"/>
    <x v="3"/>
    <x v="0"/>
    <x v="5"/>
    <x v="2"/>
    <x v="0"/>
    <n v="0.71619272488770025"/>
  </r>
  <r>
    <x v="0"/>
    <x v="0"/>
    <x v="0"/>
    <s v="FRANCE"/>
    <x v="20"/>
    <s v="FR15_A"/>
    <s v="GNR_PV-2050"/>
    <x v="8"/>
    <x v="0"/>
    <x v="9"/>
    <x v="2"/>
    <x v="0"/>
    <n v="2.0878176324044353"/>
  </r>
  <r>
    <x v="0"/>
    <x v="0"/>
    <x v="0"/>
    <s v="ITALY"/>
    <x v="21"/>
    <s v="ITCA_A"/>
    <s v="GNR_CC_NGAS_CND_E-56"/>
    <x v="0"/>
    <x v="0"/>
    <x v="0"/>
    <x v="0"/>
    <x v="0"/>
    <n v="4.422879148152"/>
  </r>
  <r>
    <x v="0"/>
    <x v="0"/>
    <x v="0"/>
    <s v="ITALY"/>
    <x v="21"/>
    <s v="ITCA_A"/>
    <s v="GNR_CC_NGAS_CND_E-56"/>
    <x v="0"/>
    <x v="0"/>
    <x v="0"/>
    <x v="1"/>
    <x v="0"/>
    <n v="-4.4228791481520009"/>
  </r>
  <r>
    <x v="0"/>
    <x v="0"/>
    <x v="0"/>
    <s v="ITALY"/>
    <x v="21"/>
    <s v="ITCA_A"/>
    <s v="GNR_ENG_BGAS_CND_E-35"/>
    <x v="7"/>
    <x v="0"/>
    <x v="0"/>
    <x v="0"/>
    <x v="0"/>
    <n v="0.1167580315"/>
  </r>
  <r>
    <x v="0"/>
    <x v="0"/>
    <x v="0"/>
    <s v="ITALY"/>
    <x v="21"/>
    <s v="ITCA_A"/>
    <s v="GNR_ENG_BGAS_CND_E-35"/>
    <x v="7"/>
    <x v="0"/>
    <x v="0"/>
    <x v="1"/>
    <x v="0"/>
    <n v="-0.1167580315"/>
  </r>
  <r>
    <x v="0"/>
    <x v="0"/>
    <x v="0"/>
    <s v="ITALY"/>
    <x v="21"/>
    <s v="ITCA_A"/>
    <s v="GNR_GT_FUELOIL_CND_E-32"/>
    <x v="10"/>
    <x v="0"/>
    <x v="0"/>
    <x v="0"/>
    <x v="0"/>
    <n v="0.36509175013400003"/>
  </r>
  <r>
    <x v="0"/>
    <x v="0"/>
    <x v="0"/>
    <s v="ITALY"/>
    <x v="21"/>
    <s v="ITCA_A"/>
    <s v="GNR_GT_FUELOIL_CND_E-32"/>
    <x v="10"/>
    <x v="0"/>
    <x v="0"/>
    <x v="1"/>
    <x v="0"/>
    <n v="-0.36509175013399991"/>
  </r>
  <r>
    <x v="0"/>
    <x v="0"/>
    <x v="0"/>
    <s v="ITALY"/>
    <x v="21"/>
    <s v="ITCA_A"/>
    <s v="GNR_PV_SUN"/>
    <x v="8"/>
    <x v="0"/>
    <x v="9"/>
    <x v="0"/>
    <x v="0"/>
    <n v="1.8411812000000001"/>
  </r>
  <r>
    <x v="0"/>
    <x v="0"/>
    <x v="0"/>
    <s v="ITALY"/>
    <x v="21"/>
    <s v="ITCA_A"/>
    <s v="GNR_PV_SUN"/>
    <x v="8"/>
    <x v="0"/>
    <x v="9"/>
    <x v="1"/>
    <x v="0"/>
    <n v="-1.8411812000000005"/>
  </r>
  <r>
    <x v="0"/>
    <x v="0"/>
    <x v="0"/>
    <s v="ITALY"/>
    <x v="21"/>
    <s v="ITCA_A"/>
    <s v="GNR_RES_WTR_NOPMP"/>
    <x v="1"/>
    <x v="0"/>
    <x v="1"/>
    <x v="0"/>
    <x v="0"/>
    <n v="0.233973839238"/>
  </r>
  <r>
    <x v="0"/>
    <x v="0"/>
    <x v="0"/>
    <s v="ITALY"/>
    <x v="21"/>
    <s v="ITCA_A"/>
    <s v="GNR_RES_WTR_PMP_MC-01"/>
    <x v="1"/>
    <x v="0"/>
    <x v="1"/>
    <x v="0"/>
    <x v="0"/>
    <n v="0.181984688985"/>
  </r>
  <r>
    <x v="0"/>
    <x v="0"/>
    <x v="0"/>
    <s v="ITALY"/>
    <x v="21"/>
    <s v="ITCA_A"/>
    <s v="GNR_ROR_WTR"/>
    <x v="1"/>
    <x v="0"/>
    <x v="2"/>
    <x v="0"/>
    <x v="0"/>
    <n v="0.57872490883200001"/>
  </r>
  <r>
    <x v="0"/>
    <x v="0"/>
    <x v="0"/>
    <s v="ITALY"/>
    <x v="21"/>
    <s v="ITCA_A"/>
    <s v="GNR_ST_COAL_CND_E-33"/>
    <x v="5"/>
    <x v="0"/>
    <x v="0"/>
    <x v="0"/>
    <x v="0"/>
    <n v="0.54719182180799997"/>
  </r>
  <r>
    <x v="0"/>
    <x v="0"/>
    <x v="0"/>
    <s v="ITALY"/>
    <x v="21"/>
    <s v="ITCA_A"/>
    <s v="GNR_ST_COAL_CND_E-33"/>
    <x v="5"/>
    <x v="0"/>
    <x v="0"/>
    <x v="1"/>
    <x v="0"/>
    <n v="-0.54719182180800008"/>
  </r>
  <r>
    <x v="0"/>
    <x v="0"/>
    <x v="0"/>
    <s v="ITALY"/>
    <x v="21"/>
    <s v="ITCA_A"/>
    <s v="GNR_ST_FUELOIL_CND_E-35"/>
    <x v="10"/>
    <x v="0"/>
    <x v="0"/>
    <x v="0"/>
    <x v="0"/>
    <n v="0.36509175013400003"/>
  </r>
  <r>
    <x v="0"/>
    <x v="0"/>
    <x v="0"/>
    <s v="ITALY"/>
    <x v="21"/>
    <s v="ITCA_A"/>
    <s v="GNR_ST_FUELOIL_CND_E-35"/>
    <x v="10"/>
    <x v="0"/>
    <x v="0"/>
    <x v="1"/>
    <x v="0"/>
    <n v="-0.36509175013399991"/>
  </r>
  <r>
    <x v="0"/>
    <x v="0"/>
    <x v="0"/>
    <s v="ITALY"/>
    <x v="21"/>
    <s v="ITCA_A"/>
    <s v="GNR_ST_MSW_CND_E-20"/>
    <x v="17"/>
    <x v="0"/>
    <x v="0"/>
    <x v="0"/>
    <x v="0"/>
    <n v="3.6003931167999999E-2"/>
  </r>
  <r>
    <x v="0"/>
    <x v="0"/>
    <x v="0"/>
    <s v="ITALY"/>
    <x v="21"/>
    <s v="ITCA_A"/>
    <s v="GNR_ST_MSW_CND_E-20"/>
    <x v="17"/>
    <x v="0"/>
    <x v="0"/>
    <x v="1"/>
    <x v="0"/>
    <n v="-3.6003931168000006E-2"/>
  </r>
  <r>
    <x v="0"/>
    <x v="0"/>
    <x v="0"/>
    <s v="ITALY"/>
    <x v="21"/>
    <s v="ITCA_A"/>
    <s v="GNR_ST_WOOD_CND_E-50"/>
    <x v="18"/>
    <x v="0"/>
    <x v="0"/>
    <x v="0"/>
    <x v="0"/>
    <n v="0.13238237898800001"/>
  </r>
  <r>
    <x v="0"/>
    <x v="0"/>
    <x v="0"/>
    <s v="ITALY"/>
    <x v="21"/>
    <s v="ITCA_A"/>
    <s v="GNR_ST_WOOD_CND_E-50"/>
    <x v="18"/>
    <x v="0"/>
    <x v="0"/>
    <x v="1"/>
    <x v="0"/>
    <n v="-0.13238237898800001"/>
  </r>
  <r>
    <x v="0"/>
    <x v="0"/>
    <x v="0"/>
    <s v="ITALY"/>
    <x v="21"/>
    <s v="ITCA_A"/>
    <s v="GNR_WT_WIND_ONS_RG1"/>
    <x v="3"/>
    <x v="0"/>
    <x v="5"/>
    <x v="0"/>
    <x v="0"/>
    <n v="0.78495545850000015"/>
  </r>
  <r>
    <x v="0"/>
    <x v="0"/>
    <x v="0"/>
    <s v="ITALY"/>
    <x v="21"/>
    <s v="ITCA_A"/>
    <s v="GNR_WT_WIND_ONS_RG1"/>
    <x v="3"/>
    <x v="0"/>
    <x v="5"/>
    <x v="1"/>
    <x v="0"/>
    <n v="-0.78495545850000015"/>
  </r>
  <r>
    <x v="0"/>
    <x v="0"/>
    <x v="0"/>
    <s v="ITALY"/>
    <x v="21"/>
    <s v="ITCA_A"/>
    <s v="GNR_WT_WIND_ONS_RG2"/>
    <x v="3"/>
    <x v="0"/>
    <x v="5"/>
    <x v="0"/>
    <x v="0"/>
    <n v="1.70073682675"/>
  </r>
  <r>
    <x v="0"/>
    <x v="0"/>
    <x v="0"/>
    <s v="ITALY"/>
    <x v="21"/>
    <s v="ITCA_A"/>
    <s v="GNR_WT_WIND_ONS_RG2"/>
    <x v="3"/>
    <x v="0"/>
    <x v="5"/>
    <x v="1"/>
    <x v="0"/>
    <n v="-1.7007368267499996"/>
  </r>
  <r>
    <x v="0"/>
    <x v="0"/>
    <x v="0"/>
    <s v="ITALY"/>
    <x v="21"/>
    <s v="ITCA_A"/>
    <s v="GNR_WT_WIND_ONS_RG3"/>
    <x v="3"/>
    <x v="0"/>
    <x v="5"/>
    <x v="0"/>
    <x v="0"/>
    <n v="0.13082590975000002"/>
  </r>
  <r>
    <x v="0"/>
    <x v="0"/>
    <x v="0"/>
    <s v="ITALY"/>
    <x v="21"/>
    <s v="ITCA_A"/>
    <s v="GNR_WT_WIND_ONS_RG3"/>
    <x v="3"/>
    <x v="0"/>
    <x v="5"/>
    <x v="1"/>
    <x v="0"/>
    <n v="-0.13082590975000002"/>
  </r>
  <r>
    <x v="0"/>
    <x v="0"/>
    <x v="0"/>
    <s v="ITALY"/>
    <x v="21"/>
    <s v="ITCA_A"/>
    <s v="GNR_ELYS_ELEC_AEC_Y-2020"/>
    <x v="2"/>
    <x v="1"/>
    <x v="3"/>
    <x v="0"/>
    <x v="0"/>
    <n v="0.5660429367119999"/>
  </r>
  <r>
    <x v="0"/>
    <x v="0"/>
    <x v="0"/>
    <s v="ITALY"/>
    <x v="21"/>
    <s v="ITCA_A"/>
    <s v="GNR_ELYS_ELEC_AEC_Y-2020"/>
    <x v="2"/>
    <x v="1"/>
    <x v="3"/>
    <x v="1"/>
    <x v="0"/>
    <n v="-0.14146827671199982"/>
  </r>
  <r>
    <x v="0"/>
    <x v="0"/>
    <x v="0"/>
    <s v="ITALY"/>
    <x v="21"/>
    <s v="ITCA_A"/>
    <s v="GNR_STEAM-REFORMING_E-70_Y-2020"/>
    <x v="0"/>
    <x v="1"/>
    <x v="4"/>
    <x v="0"/>
    <x v="0"/>
    <n v="0.22073649666182321"/>
  </r>
  <r>
    <x v="0"/>
    <x v="0"/>
    <x v="0"/>
    <s v="ITALY"/>
    <x v="21"/>
    <s v="ITCA_A"/>
    <s v="GNR_STEAM-REFORMING_E-70_Y-2020"/>
    <x v="0"/>
    <x v="1"/>
    <x v="4"/>
    <x v="1"/>
    <x v="0"/>
    <n v="-0.22073649666182321"/>
  </r>
  <r>
    <x v="0"/>
    <x v="0"/>
    <x v="0"/>
    <s v="ITALY"/>
    <x v="21"/>
    <s v="ITCA_A"/>
    <s v="GNR_WT_ONS-2050"/>
    <x v="3"/>
    <x v="0"/>
    <x v="5"/>
    <x v="2"/>
    <x v="0"/>
    <n v="1.5159158490560659E-2"/>
  </r>
  <r>
    <x v="0"/>
    <x v="0"/>
    <x v="0"/>
    <s v="ITALY"/>
    <x v="21"/>
    <s v="ITCA_A"/>
    <s v="GNR_PV-2050"/>
    <x v="8"/>
    <x v="0"/>
    <x v="9"/>
    <x v="2"/>
    <x v="0"/>
    <n v="3.5007204069540396"/>
  </r>
  <r>
    <x v="0"/>
    <x v="0"/>
    <x v="0"/>
    <s v="ITALY"/>
    <x v="22"/>
    <s v="ITCN_A"/>
    <s v="GNR_CC_NGAS_CND_E-56"/>
    <x v="0"/>
    <x v="0"/>
    <x v="0"/>
    <x v="0"/>
    <x v="0"/>
    <n v="3.2151851819699999"/>
  </r>
  <r>
    <x v="0"/>
    <x v="0"/>
    <x v="0"/>
    <s v="ITALY"/>
    <x v="22"/>
    <s v="ITCN_A"/>
    <s v="GNR_CC_NGAS_CND_E-56"/>
    <x v="0"/>
    <x v="0"/>
    <x v="0"/>
    <x v="1"/>
    <x v="0"/>
    <n v="-3.2151851819699999"/>
  </r>
  <r>
    <x v="0"/>
    <x v="0"/>
    <x v="0"/>
    <s v="ITALY"/>
    <x v="22"/>
    <s v="ITCN_A"/>
    <s v="GNR_ENG_BGAS_CND_E-35"/>
    <x v="7"/>
    <x v="0"/>
    <x v="0"/>
    <x v="0"/>
    <x v="0"/>
    <n v="8.4876543124999995E-2"/>
  </r>
  <r>
    <x v="0"/>
    <x v="0"/>
    <x v="0"/>
    <s v="ITALY"/>
    <x v="22"/>
    <s v="ITCN_A"/>
    <s v="GNR_ENG_BGAS_CND_E-35"/>
    <x v="7"/>
    <x v="0"/>
    <x v="0"/>
    <x v="1"/>
    <x v="0"/>
    <n v="-8.4876543124999995E-2"/>
  </r>
  <r>
    <x v="0"/>
    <x v="0"/>
    <x v="0"/>
    <s v="ITALY"/>
    <x v="22"/>
    <s v="ITCN_A"/>
    <s v="GNR_GEO_HEAT_EO"/>
    <x v="15"/>
    <x v="0"/>
    <x v="0"/>
    <x v="0"/>
    <x v="0"/>
    <n v="0.96199999999999997"/>
  </r>
  <r>
    <x v="0"/>
    <x v="0"/>
    <x v="0"/>
    <s v="ITALY"/>
    <x v="22"/>
    <s v="ITCN_A"/>
    <s v="GNR_GEO_HEAT_EO"/>
    <x v="15"/>
    <x v="0"/>
    <x v="0"/>
    <x v="1"/>
    <x v="0"/>
    <n v="-0.9620000000000003"/>
  </r>
  <r>
    <x v="0"/>
    <x v="0"/>
    <x v="0"/>
    <s v="ITALY"/>
    <x v="22"/>
    <s v="ITCN_A"/>
    <s v="GNR_GT_FUELOIL_CND_E-32"/>
    <x v="10"/>
    <x v="0"/>
    <x v="0"/>
    <x v="0"/>
    <x v="0"/>
    <n v="0.26540123430249996"/>
  </r>
  <r>
    <x v="0"/>
    <x v="0"/>
    <x v="0"/>
    <s v="ITALY"/>
    <x v="22"/>
    <s v="ITCN_A"/>
    <s v="GNR_GT_FUELOIL_CND_E-32"/>
    <x v="10"/>
    <x v="0"/>
    <x v="0"/>
    <x v="1"/>
    <x v="0"/>
    <n v="-0.2654012343024999"/>
  </r>
  <r>
    <x v="0"/>
    <x v="0"/>
    <x v="0"/>
    <s v="ITALY"/>
    <x v="22"/>
    <s v="ITCN_A"/>
    <s v="GNR_PV_SUN"/>
    <x v="8"/>
    <x v="0"/>
    <x v="9"/>
    <x v="0"/>
    <x v="0"/>
    <n v="1.88625"/>
  </r>
  <r>
    <x v="0"/>
    <x v="0"/>
    <x v="0"/>
    <s v="ITALY"/>
    <x v="22"/>
    <s v="ITCN_A"/>
    <s v="GNR_PV_SUN"/>
    <x v="8"/>
    <x v="0"/>
    <x v="9"/>
    <x v="1"/>
    <x v="0"/>
    <n v="-1.88625"/>
  </r>
  <r>
    <x v="0"/>
    <x v="0"/>
    <x v="0"/>
    <s v="ITALY"/>
    <x v="22"/>
    <s v="ITCN_A"/>
    <s v="GNR_RES_WTR_NOPMP"/>
    <x v="1"/>
    <x v="0"/>
    <x v="1"/>
    <x v="0"/>
    <x v="0"/>
    <n v="0.13749900157800002"/>
  </r>
  <r>
    <x v="0"/>
    <x v="0"/>
    <x v="0"/>
    <s v="ITALY"/>
    <x v="22"/>
    <s v="ITCN_A"/>
    <s v="GNR_RES_WTR_PMP_MC-01"/>
    <x v="1"/>
    <x v="0"/>
    <x v="1"/>
    <x v="0"/>
    <x v="0"/>
    <n v="0.10694662753500001"/>
  </r>
  <r>
    <x v="0"/>
    <x v="0"/>
    <x v="0"/>
    <s v="ITALY"/>
    <x v="22"/>
    <s v="ITCN_A"/>
    <s v="GNR_ROR_WTR"/>
    <x v="1"/>
    <x v="0"/>
    <x v="2"/>
    <x v="0"/>
    <x v="0"/>
    <n v="0.34009826659200004"/>
  </r>
  <r>
    <x v="0"/>
    <x v="0"/>
    <x v="0"/>
    <s v="ITALY"/>
    <x v="22"/>
    <s v="ITCN_A"/>
    <s v="GNR_ST_COAL_CND_E-33"/>
    <x v="5"/>
    <x v="0"/>
    <x v="0"/>
    <x v="0"/>
    <x v="0"/>
    <n v="0.39777777737999997"/>
  </r>
  <r>
    <x v="0"/>
    <x v="0"/>
    <x v="0"/>
    <s v="ITALY"/>
    <x v="22"/>
    <s v="ITCN_A"/>
    <s v="GNR_ST_COAL_CND_E-33"/>
    <x v="5"/>
    <x v="0"/>
    <x v="0"/>
    <x v="1"/>
    <x v="0"/>
    <n v="-0.39777777737999997"/>
  </r>
  <r>
    <x v="0"/>
    <x v="0"/>
    <x v="0"/>
    <s v="ITALY"/>
    <x v="22"/>
    <s v="ITCN_A"/>
    <s v="GNR_ST_FUELOIL_CND_E-35"/>
    <x v="10"/>
    <x v="0"/>
    <x v="0"/>
    <x v="0"/>
    <x v="0"/>
    <n v="0.26540123430249996"/>
  </r>
  <r>
    <x v="0"/>
    <x v="0"/>
    <x v="0"/>
    <s v="ITALY"/>
    <x v="22"/>
    <s v="ITCN_A"/>
    <s v="GNR_ST_FUELOIL_CND_E-35"/>
    <x v="10"/>
    <x v="0"/>
    <x v="0"/>
    <x v="1"/>
    <x v="0"/>
    <n v="-0.2654012343024999"/>
  </r>
  <r>
    <x v="0"/>
    <x v="0"/>
    <x v="0"/>
    <s v="ITALY"/>
    <x v="22"/>
    <s v="ITCN_A"/>
    <s v="GNR_ST_MSW_CND_E-20"/>
    <x v="17"/>
    <x v="0"/>
    <x v="0"/>
    <x v="0"/>
    <x v="0"/>
    <n v="2.6172839480000001E-2"/>
  </r>
  <r>
    <x v="0"/>
    <x v="0"/>
    <x v="0"/>
    <s v="ITALY"/>
    <x v="22"/>
    <s v="ITCN_A"/>
    <s v="GNR_ST_MSW_CND_E-20"/>
    <x v="17"/>
    <x v="0"/>
    <x v="0"/>
    <x v="1"/>
    <x v="0"/>
    <n v="-2.6172839480000005E-2"/>
  </r>
  <r>
    <x v="0"/>
    <x v="0"/>
    <x v="0"/>
    <s v="ITALY"/>
    <x v="22"/>
    <s v="ITCN_A"/>
    <s v="GNR_ST_WOOD_CND_E-50"/>
    <x v="18"/>
    <x v="0"/>
    <x v="0"/>
    <x v="0"/>
    <x v="0"/>
    <n v="9.6234567805000004E-2"/>
  </r>
  <r>
    <x v="0"/>
    <x v="0"/>
    <x v="0"/>
    <s v="ITALY"/>
    <x v="22"/>
    <s v="ITCN_A"/>
    <s v="GNR_ST_WOOD_CND_E-50"/>
    <x v="18"/>
    <x v="0"/>
    <x v="0"/>
    <x v="1"/>
    <x v="0"/>
    <n v="-9.6234567805000004E-2"/>
  </r>
  <r>
    <x v="0"/>
    <x v="0"/>
    <x v="0"/>
    <s v="ITALY"/>
    <x v="22"/>
    <s v="ITCN_A"/>
    <s v="GNR_WT_WIND_ONS_RG1"/>
    <x v="3"/>
    <x v="0"/>
    <x v="5"/>
    <x v="0"/>
    <x v="0"/>
    <n v="4.4067672150000001E-2"/>
  </r>
  <r>
    <x v="0"/>
    <x v="0"/>
    <x v="0"/>
    <s v="ITALY"/>
    <x v="22"/>
    <s v="ITCN_A"/>
    <s v="GNR_WT_WIND_ONS_RG1"/>
    <x v="3"/>
    <x v="0"/>
    <x v="5"/>
    <x v="1"/>
    <x v="0"/>
    <n v="-4.4067672150000008E-2"/>
  </r>
  <r>
    <x v="0"/>
    <x v="0"/>
    <x v="0"/>
    <s v="ITALY"/>
    <x v="22"/>
    <s v="ITCN_A"/>
    <s v="GNR_WT_WIND_ONS_RG2"/>
    <x v="3"/>
    <x v="0"/>
    <x v="5"/>
    <x v="0"/>
    <x v="0"/>
    <n v="9.5479956325000004E-2"/>
  </r>
  <r>
    <x v="0"/>
    <x v="0"/>
    <x v="0"/>
    <s v="ITALY"/>
    <x v="22"/>
    <s v="ITCN_A"/>
    <s v="GNR_WT_WIND_ONS_RG2"/>
    <x v="3"/>
    <x v="0"/>
    <x v="5"/>
    <x v="1"/>
    <x v="0"/>
    <n v="-9.5479956325000018E-2"/>
  </r>
  <r>
    <x v="0"/>
    <x v="0"/>
    <x v="0"/>
    <s v="ITALY"/>
    <x v="22"/>
    <s v="ITCN_A"/>
    <s v="GNR_WT_WIND_ONS_RG3"/>
    <x v="3"/>
    <x v="0"/>
    <x v="5"/>
    <x v="0"/>
    <x v="0"/>
    <n v="7.3446120249999998E-3"/>
  </r>
  <r>
    <x v="0"/>
    <x v="0"/>
    <x v="0"/>
    <s v="ITALY"/>
    <x v="22"/>
    <s v="ITCN_A"/>
    <s v="GNR_WT_WIND_ONS_RG3"/>
    <x v="3"/>
    <x v="0"/>
    <x v="5"/>
    <x v="1"/>
    <x v="0"/>
    <n v="-7.3446120250000016E-3"/>
  </r>
  <r>
    <x v="0"/>
    <x v="0"/>
    <x v="0"/>
    <s v="ITALY"/>
    <x v="22"/>
    <s v="ITCN_A"/>
    <s v="GNR_ELYS_ELEC_AEC_Y-2020"/>
    <x v="2"/>
    <x v="1"/>
    <x v="3"/>
    <x v="0"/>
    <x v="0"/>
    <n v="0.41148148106999988"/>
  </r>
  <r>
    <x v="0"/>
    <x v="0"/>
    <x v="0"/>
    <s v="ITALY"/>
    <x v="22"/>
    <s v="ITCN_A"/>
    <s v="GNR_ELYS_ELEC_AEC_Y-2020"/>
    <x v="2"/>
    <x v="1"/>
    <x v="3"/>
    <x v="1"/>
    <x v="0"/>
    <n v="-0.10283950606999988"/>
  </r>
  <r>
    <x v="0"/>
    <x v="0"/>
    <x v="0"/>
    <s v="ITALY"/>
    <x v="22"/>
    <s v="ITCN_A"/>
    <s v="GNR_STEAM-REFORMING_E-70_Y-2020"/>
    <x v="0"/>
    <x v="1"/>
    <x v="4"/>
    <x v="0"/>
    <x v="0"/>
    <n v="0.1604630579796873"/>
  </r>
  <r>
    <x v="0"/>
    <x v="0"/>
    <x v="0"/>
    <s v="ITALY"/>
    <x v="22"/>
    <s v="ITCN_A"/>
    <s v="GNR_STEAM-REFORMING_E-70_Y-2020"/>
    <x v="0"/>
    <x v="1"/>
    <x v="4"/>
    <x v="1"/>
    <x v="0"/>
    <n v="-0.1604630579796873"/>
  </r>
  <r>
    <x v="0"/>
    <x v="0"/>
    <x v="0"/>
    <s v="ITALY"/>
    <x v="22"/>
    <s v="ITCN_A"/>
    <s v="GNR_PV-2050"/>
    <x v="8"/>
    <x v="0"/>
    <x v="9"/>
    <x v="2"/>
    <x v="0"/>
    <n v="2.9496859216402078"/>
  </r>
  <r>
    <x v="0"/>
    <x v="0"/>
    <x v="0"/>
    <s v="ITALY"/>
    <x v="23"/>
    <s v="ITCS_A"/>
    <s v="GNR_CC_NGAS_CND_E-56"/>
    <x v="0"/>
    <x v="0"/>
    <x v="0"/>
    <x v="0"/>
    <x v="0"/>
    <n v="7.750035948192"/>
  </r>
  <r>
    <x v="0"/>
    <x v="0"/>
    <x v="0"/>
    <s v="ITALY"/>
    <x v="23"/>
    <s v="ITCS_A"/>
    <s v="GNR_CC_NGAS_CND_E-56"/>
    <x v="0"/>
    <x v="0"/>
    <x v="0"/>
    <x v="1"/>
    <x v="0"/>
    <n v="-7.750035948192"/>
  </r>
  <r>
    <x v="0"/>
    <x v="0"/>
    <x v="0"/>
    <s v="ITALY"/>
    <x v="23"/>
    <s v="ITCS_A"/>
    <s v="GNR_ENG_BGAS_CND_E-35"/>
    <x v="7"/>
    <x v="0"/>
    <x v="0"/>
    <x v="0"/>
    <x v="0"/>
    <n v="0.20459047399999999"/>
  </r>
  <r>
    <x v="0"/>
    <x v="0"/>
    <x v="0"/>
    <s v="ITALY"/>
    <x v="23"/>
    <s v="ITCS_A"/>
    <s v="GNR_ENG_BGAS_CND_E-35"/>
    <x v="7"/>
    <x v="0"/>
    <x v="0"/>
    <x v="1"/>
    <x v="0"/>
    <n v="-0.20459047399999999"/>
  </r>
  <r>
    <x v="0"/>
    <x v="0"/>
    <x v="0"/>
    <s v="ITALY"/>
    <x v="23"/>
    <s v="ITCS_A"/>
    <s v="GNR_GT_FUELOIL_CND_E-32"/>
    <x v="10"/>
    <x v="0"/>
    <x v="0"/>
    <x v="0"/>
    <x v="0"/>
    <n v="0.63973581306400007"/>
  </r>
  <r>
    <x v="0"/>
    <x v="0"/>
    <x v="0"/>
    <s v="ITALY"/>
    <x v="23"/>
    <s v="ITCS_A"/>
    <s v="GNR_GT_FUELOIL_CND_E-32"/>
    <x v="10"/>
    <x v="0"/>
    <x v="0"/>
    <x v="1"/>
    <x v="0"/>
    <n v="-0.63973581306400018"/>
  </r>
  <r>
    <x v="0"/>
    <x v="0"/>
    <x v="0"/>
    <s v="ITALY"/>
    <x v="23"/>
    <s v="ITCS_A"/>
    <s v="GNR_PV_SUN"/>
    <x v="8"/>
    <x v="0"/>
    <x v="9"/>
    <x v="0"/>
    <x v="0"/>
    <n v="3.3232204000000003"/>
  </r>
  <r>
    <x v="0"/>
    <x v="0"/>
    <x v="0"/>
    <s v="ITALY"/>
    <x v="23"/>
    <s v="ITCS_A"/>
    <s v="GNR_PV_SUN"/>
    <x v="8"/>
    <x v="0"/>
    <x v="9"/>
    <x v="1"/>
    <x v="0"/>
    <n v="-3.3232204000000003"/>
  </r>
  <r>
    <x v="0"/>
    <x v="0"/>
    <x v="0"/>
    <s v="ITALY"/>
    <x v="23"/>
    <s v="ITCS_A"/>
    <s v="GNR_RES_WTR_NOPMP"/>
    <x v="1"/>
    <x v="0"/>
    <x v="1"/>
    <x v="0"/>
    <x v="0"/>
    <n v="0.73966325874799999"/>
  </r>
  <r>
    <x v="0"/>
    <x v="0"/>
    <x v="0"/>
    <s v="ITALY"/>
    <x v="23"/>
    <s v="ITCS_A"/>
    <s v="GNR_RES_WTR_PMP_MC-01"/>
    <x v="1"/>
    <x v="0"/>
    <x v="1"/>
    <x v="0"/>
    <x v="0"/>
    <n v="0.57530956681000001"/>
  </r>
  <r>
    <x v="0"/>
    <x v="0"/>
    <x v="0"/>
    <s v="ITALY"/>
    <x v="23"/>
    <s v="ITCS_A"/>
    <s v="GNR_ROR_WTR"/>
    <x v="1"/>
    <x v="0"/>
    <x v="2"/>
    <x v="0"/>
    <x v="0"/>
    <n v="1.829527409472"/>
  </r>
  <r>
    <x v="0"/>
    <x v="0"/>
    <x v="0"/>
    <s v="ITALY"/>
    <x v="23"/>
    <s v="ITCS_A"/>
    <s v="GNR_ST_COAL_CND_E-33"/>
    <x v="5"/>
    <x v="0"/>
    <x v="0"/>
    <x v="0"/>
    <x v="0"/>
    <n v="0.95882255596800003"/>
  </r>
  <r>
    <x v="0"/>
    <x v="0"/>
    <x v="0"/>
    <s v="ITALY"/>
    <x v="23"/>
    <s v="ITCS_A"/>
    <s v="GNR_ST_COAL_CND_E-33"/>
    <x v="5"/>
    <x v="0"/>
    <x v="0"/>
    <x v="1"/>
    <x v="0"/>
    <n v="-0.95882255596799981"/>
  </r>
  <r>
    <x v="0"/>
    <x v="0"/>
    <x v="0"/>
    <s v="ITALY"/>
    <x v="23"/>
    <s v="ITCS_A"/>
    <s v="GNR_ST_FUELOIL_CND_E-35"/>
    <x v="10"/>
    <x v="0"/>
    <x v="0"/>
    <x v="0"/>
    <x v="0"/>
    <n v="0.63973581306400007"/>
  </r>
  <r>
    <x v="0"/>
    <x v="0"/>
    <x v="0"/>
    <s v="ITALY"/>
    <x v="23"/>
    <s v="ITCS_A"/>
    <s v="GNR_ST_FUELOIL_CND_E-35"/>
    <x v="10"/>
    <x v="0"/>
    <x v="0"/>
    <x v="1"/>
    <x v="0"/>
    <n v="-0.63973581306400018"/>
  </r>
  <r>
    <x v="0"/>
    <x v="0"/>
    <x v="0"/>
    <s v="ITALY"/>
    <x v="23"/>
    <s v="ITCS_A"/>
    <s v="GNR_ST_MSW_CND_E-20"/>
    <x v="17"/>
    <x v="0"/>
    <x v="0"/>
    <x v="0"/>
    <x v="0"/>
    <n v="6.3088262527999997E-2"/>
  </r>
  <r>
    <x v="0"/>
    <x v="0"/>
    <x v="0"/>
    <s v="ITALY"/>
    <x v="23"/>
    <s v="ITCS_A"/>
    <s v="GNR_ST_MSW_CND_E-20"/>
    <x v="17"/>
    <x v="0"/>
    <x v="0"/>
    <x v="1"/>
    <x v="0"/>
    <n v="-6.3088262528000011E-2"/>
  </r>
  <r>
    <x v="0"/>
    <x v="0"/>
    <x v="0"/>
    <s v="ITALY"/>
    <x v="23"/>
    <s v="ITCS_A"/>
    <s v="GNR_ST_WOOD_CND_E-50"/>
    <x v="18"/>
    <x v="0"/>
    <x v="0"/>
    <x v="0"/>
    <x v="0"/>
    <n v="0.231968399248"/>
  </r>
  <r>
    <x v="0"/>
    <x v="0"/>
    <x v="0"/>
    <s v="ITALY"/>
    <x v="23"/>
    <s v="ITCS_A"/>
    <s v="GNR_ST_WOOD_CND_E-50"/>
    <x v="18"/>
    <x v="0"/>
    <x v="0"/>
    <x v="1"/>
    <x v="0"/>
    <n v="-0.23196839924799995"/>
  </r>
  <r>
    <x v="0"/>
    <x v="0"/>
    <x v="0"/>
    <s v="ITALY"/>
    <x v="23"/>
    <s v="ITCS_A"/>
    <s v="GNR_WT_WIND_ONS_RG1"/>
    <x v="3"/>
    <x v="0"/>
    <x v="5"/>
    <x v="0"/>
    <x v="0"/>
    <n v="0.57838824722999993"/>
  </r>
  <r>
    <x v="0"/>
    <x v="0"/>
    <x v="0"/>
    <s v="ITALY"/>
    <x v="23"/>
    <s v="ITCS_A"/>
    <s v="GNR_WT_WIND_ONS_RG1"/>
    <x v="3"/>
    <x v="0"/>
    <x v="5"/>
    <x v="1"/>
    <x v="0"/>
    <n v="-0.57838824722999993"/>
  </r>
  <r>
    <x v="0"/>
    <x v="0"/>
    <x v="0"/>
    <s v="ITALY"/>
    <x v="23"/>
    <s v="ITCS_A"/>
    <s v="GNR_WT_WIND_ONS_RG2"/>
    <x v="3"/>
    <x v="0"/>
    <x v="5"/>
    <x v="0"/>
    <x v="0"/>
    <n v="1.2531745356649999"/>
  </r>
  <r>
    <x v="0"/>
    <x v="0"/>
    <x v="0"/>
    <s v="ITALY"/>
    <x v="23"/>
    <s v="ITCS_A"/>
    <s v="GNR_WT_WIND_ONS_RG2"/>
    <x v="3"/>
    <x v="0"/>
    <x v="5"/>
    <x v="1"/>
    <x v="0"/>
    <n v="-1.2531745356649997"/>
  </r>
  <r>
    <x v="0"/>
    <x v="0"/>
    <x v="0"/>
    <s v="ITALY"/>
    <x v="23"/>
    <s v="ITCS_A"/>
    <s v="GNR_WT_WIND_ONS_RG3"/>
    <x v="3"/>
    <x v="0"/>
    <x v="5"/>
    <x v="0"/>
    <x v="0"/>
    <n v="9.6398041205000007E-2"/>
  </r>
  <r>
    <x v="0"/>
    <x v="0"/>
    <x v="0"/>
    <s v="ITALY"/>
    <x v="23"/>
    <s v="ITCS_A"/>
    <s v="GNR_WT_WIND_ONS_RG3"/>
    <x v="3"/>
    <x v="0"/>
    <x v="5"/>
    <x v="1"/>
    <x v="0"/>
    <n v="-9.6398041205000007E-2"/>
  </r>
  <r>
    <x v="0"/>
    <x v="0"/>
    <x v="0"/>
    <s v="ITALY"/>
    <x v="23"/>
    <s v="ITCS_A"/>
    <s v="GNR_ELYS_ELEC_AEC_Y-2020"/>
    <x v="2"/>
    <x v="1"/>
    <x v="3"/>
    <x v="0"/>
    <x v="0"/>
    <n v="0.9918546179519997"/>
  </r>
  <r>
    <x v="0"/>
    <x v="0"/>
    <x v="0"/>
    <s v="ITALY"/>
    <x v="23"/>
    <s v="ITCS_A"/>
    <s v="GNR_ELYS_ELEC_AEC_Y-2020"/>
    <x v="2"/>
    <x v="1"/>
    <x v="3"/>
    <x v="1"/>
    <x v="0"/>
    <n v="-0.2478892579519997"/>
  </r>
  <r>
    <x v="0"/>
    <x v="0"/>
    <x v="0"/>
    <s v="ITALY"/>
    <x v="23"/>
    <s v="ITCS_A"/>
    <s v="GNR_STEAM-REFORMING_E-70_Y-2020"/>
    <x v="0"/>
    <x v="1"/>
    <x v="4"/>
    <x v="0"/>
    <x v="0"/>
    <n v="0.38678782008363877"/>
  </r>
  <r>
    <x v="0"/>
    <x v="0"/>
    <x v="0"/>
    <s v="ITALY"/>
    <x v="23"/>
    <s v="ITCS_A"/>
    <s v="GNR_STEAM-REFORMING_E-70_Y-2020"/>
    <x v="0"/>
    <x v="1"/>
    <x v="4"/>
    <x v="1"/>
    <x v="0"/>
    <n v="-0.38678782008363877"/>
  </r>
  <r>
    <x v="0"/>
    <x v="0"/>
    <x v="0"/>
    <s v="ITALY"/>
    <x v="23"/>
    <s v="ITCS_A"/>
    <s v="GNR_PV-2050"/>
    <x v="8"/>
    <x v="0"/>
    <x v="9"/>
    <x v="2"/>
    <x v="0"/>
    <n v="14.072560501046533"/>
  </r>
  <r>
    <x v="0"/>
    <x v="0"/>
    <x v="0"/>
    <s v="ITALY"/>
    <x v="24"/>
    <s v="ITN1_A"/>
    <s v="GNR_CC_NGAS_CND_E-56"/>
    <x v="0"/>
    <x v="0"/>
    <x v="0"/>
    <x v="0"/>
    <x v="0"/>
    <n v="24.433807821912001"/>
  </r>
  <r>
    <x v="0"/>
    <x v="0"/>
    <x v="0"/>
    <s v="ITALY"/>
    <x v="24"/>
    <s v="ITN1_A"/>
    <s v="GNR_CC_NGAS_CND_E-56"/>
    <x v="0"/>
    <x v="0"/>
    <x v="0"/>
    <x v="1"/>
    <x v="0"/>
    <n v="-24.433807821911994"/>
  </r>
  <r>
    <x v="0"/>
    <x v="0"/>
    <x v="0"/>
    <s v="ITALY"/>
    <x v="24"/>
    <s v="ITN1_A"/>
    <s v="GNR_ENG_BGAS_CND_E-35"/>
    <x v="7"/>
    <x v="0"/>
    <x v="0"/>
    <x v="0"/>
    <x v="0"/>
    <n v="0.64501950150000009"/>
  </r>
  <r>
    <x v="0"/>
    <x v="0"/>
    <x v="0"/>
    <s v="ITALY"/>
    <x v="24"/>
    <s v="ITN1_A"/>
    <s v="GNR_ENG_BGAS_CND_E-35"/>
    <x v="7"/>
    <x v="0"/>
    <x v="0"/>
    <x v="1"/>
    <x v="0"/>
    <n v="-0.64501950150000009"/>
  </r>
  <r>
    <x v="0"/>
    <x v="0"/>
    <x v="0"/>
    <s v="ITALY"/>
    <x v="24"/>
    <s v="ITN1_A"/>
    <s v="GNR_GT_FUELOIL_CND_E-32"/>
    <x v="10"/>
    <x v="0"/>
    <x v="0"/>
    <x v="0"/>
    <x v="0"/>
    <n v="2.0169173430540002"/>
  </r>
  <r>
    <x v="0"/>
    <x v="0"/>
    <x v="0"/>
    <s v="ITALY"/>
    <x v="24"/>
    <s v="ITN1_A"/>
    <s v="GNR_GT_FUELOIL_CND_E-32"/>
    <x v="10"/>
    <x v="0"/>
    <x v="0"/>
    <x v="1"/>
    <x v="0"/>
    <n v="-2.0169173430540006"/>
  </r>
  <r>
    <x v="0"/>
    <x v="0"/>
    <x v="0"/>
    <s v="ITALY"/>
    <x v="24"/>
    <s v="ITN1_A"/>
    <s v="GNR_PV_SUN"/>
    <x v="8"/>
    <x v="0"/>
    <x v="9"/>
    <x v="0"/>
    <x v="0"/>
    <n v="8.9819703999999998"/>
  </r>
  <r>
    <x v="0"/>
    <x v="0"/>
    <x v="0"/>
    <s v="ITALY"/>
    <x v="24"/>
    <s v="ITN1_A"/>
    <s v="GNR_PV_SUN"/>
    <x v="8"/>
    <x v="0"/>
    <x v="9"/>
    <x v="1"/>
    <x v="0"/>
    <n v="-8.9819703999999962"/>
  </r>
  <r>
    <x v="0"/>
    <x v="0"/>
    <x v="0"/>
    <s v="ITALY"/>
    <x v="24"/>
    <s v="ITN1_A"/>
    <s v="GNR_RES_WTR_NOPMP"/>
    <x v="1"/>
    <x v="0"/>
    <x v="1"/>
    <x v="0"/>
    <x v="0"/>
    <n v="3.8800977136360002"/>
  </r>
  <r>
    <x v="0"/>
    <x v="0"/>
    <x v="0"/>
    <s v="ITALY"/>
    <x v="24"/>
    <s v="ITN1_A"/>
    <s v="GNR_RES_WTR_PMP_MC-01"/>
    <x v="1"/>
    <x v="0"/>
    <x v="1"/>
    <x v="0"/>
    <x v="0"/>
    <n v="3.0179372956699999"/>
  </r>
  <r>
    <x v="0"/>
    <x v="0"/>
    <x v="0"/>
    <s v="ITALY"/>
    <x v="24"/>
    <s v="ITN1_A"/>
    <s v="GNR_ROR_WTR"/>
    <x v="1"/>
    <x v="0"/>
    <x v="2"/>
    <x v="0"/>
    <x v="0"/>
    <n v="9.5972660999040009"/>
  </r>
  <r>
    <x v="0"/>
    <x v="0"/>
    <x v="0"/>
    <s v="ITALY"/>
    <x v="24"/>
    <s v="ITN1_A"/>
    <s v="GNR_ST_COAL_CND_E-33"/>
    <x v="5"/>
    <x v="0"/>
    <x v="0"/>
    <x v="0"/>
    <x v="0"/>
    <n v="3.0229132128480001"/>
  </r>
  <r>
    <x v="0"/>
    <x v="0"/>
    <x v="0"/>
    <s v="ITALY"/>
    <x v="24"/>
    <s v="ITN1_A"/>
    <s v="GNR_ST_COAL_CND_E-33"/>
    <x v="5"/>
    <x v="0"/>
    <x v="0"/>
    <x v="1"/>
    <x v="0"/>
    <n v="-3.0229132128479996"/>
  </r>
  <r>
    <x v="0"/>
    <x v="0"/>
    <x v="0"/>
    <s v="ITALY"/>
    <x v="24"/>
    <s v="ITN1_A"/>
    <s v="GNR_ST_FUELOIL_CND_E-35"/>
    <x v="10"/>
    <x v="0"/>
    <x v="0"/>
    <x v="0"/>
    <x v="0"/>
    <n v="2.0169173430540002"/>
  </r>
  <r>
    <x v="0"/>
    <x v="0"/>
    <x v="0"/>
    <s v="ITALY"/>
    <x v="24"/>
    <s v="ITN1_A"/>
    <s v="GNR_ST_FUELOIL_CND_E-35"/>
    <x v="10"/>
    <x v="0"/>
    <x v="0"/>
    <x v="1"/>
    <x v="0"/>
    <n v="-2.0169173430540006"/>
  </r>
  <r>
    <x v="0"/>
    <x v="0"/>
    <x v="0"/>
    <s v="ITALY"/>
    <x v="24"/>
    <s v="ITN1_A"/>
    <s v="GNR_ST_MSW_CND_E-20"/>
    <x v="17"/>
    <x v="0"/>
    <x v="0"/>
    <x v="0"/>
    <x v="0"/>
    <n v="0.19890055900799999"/>
  </r>
  <r>
    <x v="0"/>
    <x v="0"/>
    <x v="0"/>
    <s v="ITALY"/>
    <x v="24"/>
    <s v="ITN1_A"/>
    <s v="GNR_ST_MSW_CND_E-20"/>
    <x v="17"/>
    <x v="0"/>
    <x v="0"/>
    <x v="1"/>
    <x v="0"/>
    <n v="-0.19890055900800002"/>
  </r>
  <r>
    <x v="0"/>
    <x v="0"/>
    <x v="0"/>
    <s v="ITALY"/>
    <x v="24"/>
    <s v="ITN1_A"/>
    <s v="GNR_ST_WOOD_CND_E-50"/>
    <x v="18"/>
    <x v="0"/>
    <x v="0"/>
    <x v="0"/>
    <x v="0"/>
    <n v="0.73133483842800007"/>
  </r>
  <r>
    <x v="0"/>
    <x v="0"/>
    <x v="0"/>
    <s v="ITALY"/>
    <x v="24"/>
    <s v="ITN1_A"/>
    <s v="GNR_ST_WOOD_CND_E-50"/>
    <x v="18"/>
    <x v="0"/>
    <x v="0"/>
    <x v="1"/>
    <x v="0"/>
    <n v="-0.73133483842799996"/>
  </r>
  <r>
    <x v="0"/>
    <x v="0"/>
    <x v="0"/>
    <s v="ITALY"/>
    <x v="24"/>
    <s v="ITN1_A"/>
    <s v="GNR_WT_WIND_ONS_RG1"/>
    <x v="3"/>
    <x v="0"/>
    <x v="5"/>
    <x v="0"/>
    <x v="0"/>
    <n v="4.6821895859999997E-2"/>
  </r>
  <r>
    <x v="0"/>
    <x v="0"/>
    <x v="0"/>
    <s v="ITALY"/>
    <x v="24"/>
    <s v="ITN1_A"/>
    <s v="GNR_WT_WIND_ONS_RG1"/>
    <x v="3"/>
    <x v="0"/>
    <x v="5"/>
    <x v="1"/>
    <x v="0"/>
    <n v="-4.6821895860000004E-2"/>
  </r>
  <r>
    <x v="0"/>
    <x v="0"/>
    <x v="0"/>
    <s v="ITALY"/>
    <x v="24"/>
    <s v="ITN1_A"/>
    <s v="GNR_WT_WIND_ONS_RG2"/>
    <x v="3"/>
    <x v="0"/>
    <x v="5"/>
    <x v="0"/>
    <x v="0"/>
    <n v="0.10144744103000002"/>
  </r>
  <r>
    <x v="0"/>
    <x v="0"/>
    <x v="0"/>
    <s v="ITALY"/>
    <x v="24"/>
    <s v="ITN1_A"/>
    <s v="GNR_WT_WIND_ONS_RG2"/>
    <x v="3"/>
    <x v="0"/>
    <x v="5"/>
    <x v="1"/>
    <x v="0"/>
    <n v="-0.10144744103"/>
  </r>
  <r>
    <x v="0"/>
    <x v="0"/>
    <x v="0"/>
    <s v="ITALY"/>
    <x v="24"/>
    <s v="ITN1_A"/>
    <s v="GNR_WT_WIND_ONS_RG3"/>
    <x v="3"/>
    <x v="0"/>
    <x v="5"/>
    <x v="0"/>
    <x v="0"/>
    <n v="7.8036493099999998E-3"/>
  </r>
  <r>
    <x v="0"/>
    <x v="0"/>
    <x v="0"/>
    <s v="ITALY"/>
    <x v="24"/>
    <s v="ITN1_A"/>
    <s v="GNR_WT_WIND_ONS_RG3"/>
    <x v="3"/>
    <x v="0"/>
    <x v="5"/>
    <x v="1"/>
    <x v="0"/>
    <n v="-7.8036493099999998E-3"/>
  </r>
  <r>
    <x v="0"/>
    <x v="0"/>
    <x v="0"/>
    <s v="ITALY"/>
    <x v="24"/>
    <s v="ITN1_A"/>
    <s v="GNR_ELYS_ELEC_AEC_Y-2020"/>
    <x v="2"/>
    <x v="1"/>
    <x v="3"/>
    <x v="0"/>
    <x v="0"/>
    <n v="3.1270545432719996"/>
  </r>
  <r>
    <x v="0"/>
    <x v="0"/>
    <x v="0"/>
    <s v="ITALY"/>
    <x v="24"/>
    <s v="ITN1_A"/>
    <s v="GNR_ELYS_ELEC_AEC_Y-2020"/>
    <x v="2"/>
    <x v="1"/>
    <x v="3"/>
    <x v="1"/>
    <x v="0"/>
    <n v="-0.78152908327199899"/>
  </r>
  <r>
    <x v="0"/>
    <x v="0"/>
    <x v="0"/>
    <s v="ITALY"/>
    <x v="24"/>
    <s v="ITN1_A"/>
    <s v="GNR_ELYS_ELEC_AEC_Y-2050"/>
    <x v="2"/>
    <x v="1"/>
    <x v="3"/>
    <x v="2"/>
    <x v="0"/>
    <n v="0.55737671546604317"/>
  </r>
  <r>
    <x v="0"/>
    <x v="0"/>
    <x v="0"/>
    <s v="ITALY"/>
    <x v="24"/>
    <s v="ITN1_A"/>
    <s v="GNR_STEAM-REFORMING_E-70_Y-2020"/>
    <x v="0"/>
    <x v="1"/>
    <x v="4"/>
    <x v="0"/>
    <x v="0"/>
    <n v="1.2194394099532728"/>
  </r>
  <r>
    <x v="0"/>
    <x v="0"/>
    <x v="0"/>
    <s v="ITALY"/>
    <x v="24"/>
    <s v="ITN1_A"/>
    <s v="GNR_STEAM-REFORMING_E-70_Y-2020"/>
    <x v="0"/>
    <x v="1"/>
    <x v="4"/>
    <x v="1"/>
    <x v="0"/>
    <n v="-1.2194394099532728"/>
  </r>
  <r>
    <x v="0"/>
    <x v="0"/>
    <x v="0"/>
    <s v="ITALY"/>
    <x v="24"/>
    <s v="ITN1_A"/>
    <s v="GNR_PV-2050"/>
    <x v="8"/>
    <x v="0"/>
    <x v="9"/>
    <x v="2"/>
    <x v="0"/>
    <n v="57.231450179784062"/>
  </r>
  <r>
    <x v="0"/>
    <x v="0"/>
    <x v="0"/>
    <s v="ITALY"/>
    <x v="25"/>
    <s v="ITS1_A"/>
    <s v="GNR_CC_NGAS_CND_E-56"/>
    <x v="0"/>
    <x v="0"/>
    <x v="0"/>
    <x v="0"/>
    <x v="0"/>
    <n v="4.422879148152"/>
  </r>
  <r>
    <x v="0"/>
    <x v="0"/>
    <x v="0"/>
    <s v="ITALY"/>
    <x v="25"/>
    <s v="ITS1_A"/>
    <s v="GNR_CC_NGAS_CND_E-56"/>
    <x v="0"/>
    <x v="0"/>
    <x v="0"/>
    <x v="1"/>
    <x v="0"/>
    <n v="-4.4228791481520009"/>
  </r>
  <r>
    <x v="0"/>
    <x v="0"/>
    <x v="0"/>
    <s v="ITALY"/>
    <x v="25"/>
    <s v="ITS1_A"/>
    <s v="GNR_ENG_BGAS_CND_E-35"/>
    <x v="7"/>
    <x v="0"/>
    <x v="0"/>
    <x v="0"/>
    <x v="0"/>
    <n v="0.1167580315"/>
  </r>
  <r>
    <x v="0"/>
    <x v="0"/>
    <x v="0"/>
    <s v="ITALY"/>
    <x v="25"/>
    <s v="ITS1_A"/>
    <s v="GNR_ENG_BGAS_CND_E-35"/>
    <x v="7"/>
    <x v="0"/>
    <x v="0"/>
    <x v="1"/>
    <x v="0"/>
    <n v="-0.1167580315"/>
  </r>
  <r>
    <x v="0"/>
    <x v="0"/>
    <x v="0"/>
    <s v="ITALY"/>
    <x v="25"/>
    <s v="ITS1_A"/>
    <s v="GNR_GT_FUELOIL_CND_E-32"/>
    <x v="10"/>
    <x v="0"/>
    <x v="0"/>
    <x v="0"/>
    <x v="0"/>
    <n v="0.36509175013400003"/>
  </r>
  <r>
    <x v="0"/>
    <x v="0"/>
    <x v="0"/>
    <s v="ITALY"/>
    <x v="25"/>
    <s v="ITS1_A"/>
    <s v="GNR_GT_FUELOIL_CND_E-32"/>
    <x v="10"/>
    <x v="0"/>
    <x v="0"/>
    <x v="1"/>
    <x v="0"/>
    <n v="-0.36509175013399991"/>
  </r>
  <r>
    <x v="0"/>
    <x v="0"/>
    <x v="0"/>
    <s v="ITALY"/>
    <x v="25"/>
    <s v="ITS1_A"/>
    <s v="GNR_PV_SUN"/>
    <x v="8"/>
    <x v="0"/>
    <x v="9"/>
    <x v="0"/>
    <x v="0"/>
    <n v="1.8411812000000001"/>
  </r>
  <r>
    <x v="0"/>
    <x v="0"/>
    <x v="0"/>
    <s v="ITALY"/>
    <x v="25"/>
    <s v="ITS1_A"/>
    <s v="GNR_PV_SUN"/>
    <x v="8"/>
    <x v="0"/>
    <x v="9"/>
    <x v="1"/>
    <x v="0"/>
    <n v="-1.8411812000000005"/>
  </r>
  <r>
    <x v="0"/>
    <x v="0"/>
    <x v="0"/>
    <s v="ITALY"/>
    <x v="25"/>
    <s v="ITS1_A"/>
    <s v="GNR_RES_WTR_NOPMP"/>
    <x v="1"/>
    <x v="0"/>
    <x v="1"/>
    <x v="0"/>
    <x v="0"/>
    <n v="6.2829066195999997E-2"/>
  </r>
  <r>
    <x v="0"/>
    <x v="0"/>
    <x v="0"/>
    <s v="ITALY"/>
    <x v="25"/>
    <s v="ITS1_A"/>
    <s v="GNR_RES_WTR_PMP_MC-01"/>
    <x v="1"/>
    <x v="0"/>
    <x v="1"/>
    <x v="0"/>
    <x v="0"/>
    <n v="4.886840387E-2"/>
  </r>
  <r>
    <x v="0"/>
    <x v="0"/>
    <x v="0"/>
    <s v="ITALY"/>
    <x v="25"/>
    <s v="ITS1_A"/>
    <s v="GNR_ROR_WTR"/>
    <x v="1"/>
    <x v="0"/>
    <x v="2"/>
    <x v="0"/>
    <x v="0"/>
    <n v="0.15540517574400001"/>
  </r>
  <r>
    <x v="0"/>
    <x v="0"/>
    <x v="0"/>
    <s v="ITALY"/>
    <x v="25"/>
    <s v="ITS1_A"/>
    <s v="GNR_ST_COAL_CND_E-33"/>
    <x v="5"/>
    <x v="0"/>
    <x v="0"/>
    <x v="0"/>
    <x v="0"/>
    <n v="0.54719182180799997"/>
  </r>
  <r>
    <x v="0"/>
    <x v="0"/>
    <x v="0"/>
    <s v="ITALY"/>
    <x v="25"/>
    <s v="ITS1_A"/>
    <s v="GNR_ST_COAL_CND_E-33"/>
    <x v="5"/>
    <x v="0"/>
    <x v="0"/>
    <x v="1"/>
    <x v="0"/>
    <n v="-0.54719182180800008"/>
  </r>
  <r>
    <x v="0"/>
    <x v="0"/>
    <x v="0"/>
    <s v="ITALY"/>
    <x v="25"/>
    <s v="ITS1_A"/>
    <s v="GNR_ST_FUELOIL_CND_E-35"/>
    <x v="10"/>
    <x v="0"/>
    <x v="0"/>
    <x v="0"/>
    <x v="0"/>
    <n v="0.36509175013400003"/>
  </r>
  <r>
    <x v="0"/>
    <x v="0"/>
    <x v="0"/>
    <s v="ITALY"/>
    <x v="25"/>
    <s v="ITS1_A"/>
    <s v="GNR_ST_FUELOIL_CND_E-35"/>
    <x v="10"/>
    <x v="0"/>
    <x v="0"/>
    <x v="1"/>
    <x v="0"/>
    <n v="-0.36509175013399991"/>
  </r>
  <r>
    <x v="0"/>
    <x v="0"/>
    <x v="0"/>
    <s v="ITALY"/>
    <x v="25"/>
    <s v="ITS1_A"/>
    <s v="GNR_ST_MSW_CND_E-20"/>
    <x v="17"/>
    <x v="0"/>
    <x v="0"/>
    <x v="0"/>
    <x v="0"/>
    <n v="3.6003931167999999E-2"/>
  </r>
  <r>
    <x v="0"/>
    <x v="0"/>
    <x v="0"/>
    <s v="ITALY"/>
    <x v="25"/>
    <s v="ITS1_A"/>
    <s v="GNR_ST_MSW_CND_E-20"/>
    <x v="17"/>
    <x v="0"/>
    <x v="0"/>
    <x v="1"/>
    <x v="0"/>
    <n v="-3.6003931168000006E-2"/>
  </r>
  <r>
    <x v="0"/>
    <x v="0"/>
    <x v="0"/>
    <s v="ITALY"/>
    <x v="25"/>
    <s v="ITS1_A"/>
    <s v="GNR_ST_WOOD_CND_E-50"/>
    <x v="18"/>
    <x v="0"/>
    <x v="0"/>
    <x v="0"/>
    <x v="0"/>
    <n v="0.13238237898800001"/>
  </r>
  <r>
    <x v="0"/>
    <x v="0"/>
    <x v="0"/>
    <s v="ITALY"/>
    <x v="25"/>
    <s v="ITS1_A"/>
    <s v="GNR_ST_WOOD_CND_E-50"/>
    <x v="18"/>
    <x v="0"/>
    <x v="0"/>
    <x v="1"/>
    <x v="0"/>
    <n v="-0.13238237898800001"/>
  </r>
  <r>
    <x v="0"/>
    <x v="0"/>
    <x v="0"/>
    <s v="ITALY"/>
    <x v="25"/>
    <s v="ITS1_A"/>
    <s v="GNR_WT_WIND_ONS_RG1"/>
    <x v="3"/>
    <x v="0"/>
    <x v="5"/>
    <x v="0"/>
    <x v="0"/>
    <n v="0.78495545850000015"/>
  </r>
  <r>
    <x v="0"/>
    <x v="0"/>
    <x v="0"/>
    <s v="ITALY"/>
    <x v="25"/>
    <s v="ITS1_A"/>
    <s v="GNR_WT_WIND_ONS_RG1"/>
    <x v="3"/>
    <x v="0"/>
    <x v="5"/>
    <x v="1"/>
    <x v="0"/>
    <n v="-0.78495545850000015"/>
  </r>
  <r>
    <x v="0"/>
    <x v="0"/>
    <x v="0"/>
    <s v="ITALY"/>
    <x v="25"/>
    <s v="ITS1_A"/>
    <s v="GNR_WT_WIND_ONS_RG2"/>
    <x v="3"/>
    <x v="0"/>
    <x v="5"/>
    <x v="0"/>
    <x v="0"/>
    <n v="1.70073682675"/>
  </r>
  <r>
    <x v="0"/>
    <x v="0"/>
    <x v="0"/>
    <s v="ITALY"/>
    <x v="25"/>
    <s v="ITS1_A"/>
    <s v="GNR_WT_WIND_ONS_RG2"/>
    <x v="3"/>
    <x v="0"/>
    <x v="5"/>
    <x v="1"/>
    <x v="0"/>
    <n v="-1.7007368267499996"/>
  </r>
  <r>
    <x v="0"/>
    <x v="0"/>
    <x v="0"/>
    <s v="ITALY"/>
    <x v="25"/>
    <s v="ITS1_A"/>
    <s v="GNR_WT_WIND_ONS_RG3"/>
    <x v="3"/>
    <x v="0"/>
    <x v="5"/>
    <x v="0"/>
    <x v="0"/>
    <n v="0.13082590975000002"/>
  </r>
  <r>
    <x v="0"/>
    <x v="0"/>
    <x v="0"/>
    <s v="ITALY"/>
    <x v="25"/>
    <s v="ITS1_A"/>
    <s v="GNR_WT_WIND_ONS_RG3"/>
    <x v="3"/>
    <x v="0"/>
    <x v="5"/>
    <x v="1"/>
    <x v="0"/>
    <n v="-0.13082590975000002"/>
  </r>
  <r>
    <x v="0"/>
    <x v="0"/>
    <x v="0"/>
    <s v="ITALY"/>
    <x v="25"/>
    <s v="ITS1_A"/>
    <s v="GNR_ELYS_ELEC_AEC_Y-2020"/>
    <x v="2"/>
    <x v="1"/>
    <x v="3"/>
    <x v="0"/>
    <x v="0"/>
    <n v="0.5660429367119999"/>
  </r>
  <r>
    <x v="0"/>
    <x v="0"/>
    <x v="0"/>
    <s v="ITALY"/>
    <x v="25"/>
    <s v="ITS1_A"/>
    <s v="GNR_ELYS_ELEC_AEC_Y-2020"/>
    <x v="2"/>
    <x v="1"/>
    <x v="3"/>
    <x v="1"/>
    <x v="0"/>
    <n v="-0.14146827671199982"/>
  </r>
  <r>
    <x v="0"/>
    <x v="0"/>
    <x v="0"/>
    <s v="ITALY"/>
    <x v="25"/>
    <s v="ITS1_A"/>
    <s v="GNR_ELYS_ELEC_AEC_Y-2050"/>
    <x v="2"/>
    <x v="1"/>
    <x v="3"/>
    <x v="2"/>
    <x v="0"/>
    <n v="15.052008367507653"/>
  </r>
  <r>
    <x v="0"/>
    <x v="0"/>
    <x v="0"/>
    <s v="ITALY"/>
    <x v="25"/>
    <s v="ITS1_A"/>
    <s v="GNR_STEAM-REFORMING_E-70_Y-2020"/>
    <x v="0"/>
    <x v="1"/>
    <x v="4"/>
    <x v="0"/>
    <x v="0"/>
    <n v="0.22073649666182321"/>
  </r>
  <r>
    <x v="0"/>
    <x v="0"/>
    <x v="0"/>
    <s v="ITALY"/>
    <x v="25"/>
    <s v="ITS1_A"/>
    <s v="GNR_STEAM-REFORMING_E-70_Y-2020"/>
    <x v="0"/>
    <x v="1"/>
    <x v="4"/>
    <x v="1"/>
    <x v="0"/>
    <n v="-0.22073649666182321"/>
  </r>
  <r>
    <x v="0"/>
    <x v="0"/>
    <x v="0"/>
    <s v="ITALY"/>
    <x v="25"/>
    <s v="ITS1_A"/>
    <s v="GNR_WT_ONS-2050"/>
    <x v="3"/>
    <x v="0"/>
    <x v="5"/>
    <x v="2"/>
    <x v="0"/>
    <n v="36.891685318484235"/>
  </r>
  <r>
    <x v="0"/>
    <x v="0"/>
    <x v="0"/>
    <s v="ITALY"/>
    <x v="25"/>
    <s v="ITS1_A"/>
    <s v="GNR_PV-2050"/>
    <x v="8"/>
    <x v="0"/>
    <x v="9"/>
    <x v="2"/>
    <x v="0"/>
    <n v="11.83088012215971"/>
  </r>
  <r>
    <x v="0"/>
    <x v="0"/>
    <x v="0"/>
    <s v="ITALY"/>
    <x v="26"/>
    <s v="ITSA_A"/>
    <s v="GNR_CC_NGAS_CND_E-56"/>
    <x v="0"/>
    <x v="0"/>
    <x v="0"/>
    <x v="0"/>
    <x v="0"/>
    <n v="1.863527751486"/>
  </r>
  <r>
    <x v="0"/>
    <x v="0"/>
    <x v="0"/>
    <s v="ITALY"/>
    <x v="26"/>
    <s v="ITSA_A"/>
    <s v="GNR_CC_NGAS_CND_E-56"/>
    <x v="0"/>
    <x v="0"/>
    <x v="0"/>
    <x v="1"/>
    <x v="0"/>
    <n v="-1.8635277514859996"/>
  </r>
  <r>
    <x v="0"/>
    <x v="0"/>
    <x v="0"/>
    <s v="ITALY"/>
    <x v="26"/>
    <s v="ITSA_A"/>
    <s v="GNR_ENG_BGAS_CND_E-35"/>
    <x v="7"/>
    <x v="0"/>
    <x v="0"/>
    <x v="0"/>
    <x v="0"/>
    <n v="4.9194613875000001E-2"/>
  </r>
  <r>
    <x v="0"/>
    <x v="0"/>
    <x v="0"/>
    <s v="ITALY"/>
    <x v="26"/>
    <s v="ITSA_A"/>
    <s v="GNR_ENG_BGAS_CND_E-35"/>
    <x v="7"/>
    <x v="0"/>
    <x v="0"/>
    <x v="1"/>
    <x v="0"/>
    <n v="-4.9194613875000008E-2"/>
  </r>
  <r>
    <x v="0"/>
    <x v="0"/>
    <x v="0"/>
    <s v="ITALY"/>
    <x v="26"/>
    <s v="ITSA_A"/>
    <s v="GNR_GT_FUELOIL_CND_E-32"/>
    <x v="10"/>
    <x v="0"/>
    <x v="0"/>
    <x v="0"/>
    <x v="0"/>
    <n v="0.15382708534950001"/>
  </r>
  <r>
    <x v="0"/>
    <x v="0"/>
    <x v="0"/>
    <s v="ITALY"/>
    <x v="26"/>
    <s v="ITSA_A"/>
    <s v="GNR_GT_FUELOIL_CND_E-32"/>
    <x v="10"/>
    <x v="0"/>
    <x v="0"/>
    <x v="1"/>
    <x v="0"/>
    <n v="-0.15382708534949999"/>
  </r>
  <r>
    <x v="0"/>
    <x v="0"/>
    <x v="0"/>
    <s v="ITALY"/>
    <x v="26"/>
    <s v="ITSA_A"/>
    <s v="GNR_PV_SUN"/>
    <x v="8"/>
    <x v="0"/>
    <x v="9"/>
    <x v="0"/>
    <x v="0"/>
    <n v="0.89815679999999998"/>
  </r>
  <r>
    <x v="0"/>
    <x v="0"/>
    <x v="0"/>
    <s v="ITALY"/>
    <x v="26"/>
    <s v="ITSA_A"/>
    <s v="GNR_PV_SUN"/>
    <x v="8"/>
    <x v="0"/>
    <x v="9"/>
    <x v="1"/>
    <x v="0"/>
    <n v="-0.89815679999999987"/>
  </r>
  <r>
    <x v="0"/>
    <x v="0"/>
    <x v="0"/>
    <s v="ITALY"/>
    <x v="26"/>
    <s v="ITSA_A"/>
    <s v="GNR_RES_WTR_NOPMP"/>
    <x v="1"/>
    <x v="0"/>
    <x v="1"/>
    <x v="0"/>
    <x v="0"/>
    <n v="4.6316297937999996E-2"/>
  </r>
  <r>
    <x v="0"/>
    <x v="0"/>
    <x v="0"/>
    <s v="ITALY"/>
    <x v="26"/>
    <s v="ITSA_A"/>
    <s v="GNR_RES_WTR_PMP_MC-01"/>
    <x v="1"/>
    <x v="0"/>
    <x v="1"/>
    <x v="0"/>
    <x v="0"/>
    <n v="3.6024784234999996E-2"/>
  </r>
  <r>
    <x v="0"/>
    <x v="0"/>
    <x v="0"/>
    <s v="ITALY"/>
    <x v="26"/>
    <s v="ITSA_A"/>
    <s v="GNR_ROR_WTR"/>
    <x v="1"/>
    <x v="0"/>
    <x v="2"/>
    <x v="0"/>
    <x v="0"/>
    <n v="0.11456150563199999"/>
  </r>
  <r>
    <x v="0"/>
    <x v="0"/>
    <x v="0"/>
    <s v="ITALY"/>
    <x v="26"/>
    <s v="ITSA_A"/>
    <s v="GNR_ST_COAL_CND_E-33"/>
    <x v="5"/>
    <x v="0"/>
    <x v="0"/>
    <x v="0"/>
    <x v="0"/>
    <n v="0.230552794044"/>
  </r>
  <r>
    <x v="0"/>
    <x v="0"/>
    <x v="0"/>
    <s v="ITALY"/>
    <x v="26"/>
    <s v="ITSA_A"/>
    <s v="GNR_ST_COAL_CND_E-33"/>
    <x v="5"/>
    <x v="0"/>
    <x v="0"/>
    <x v="1"/>
    <x v="0"/>
    <n v="-0.230552794044"/>
  </r>
  <r>
    <x v="0"/>
    <x v="0"/>
    <x v="0"/>
    <s v="ITALY"/>
    <x v="26"/>
    <s v="ITSA_A"/>
    <s v="GNR_ST_FUELOIL_CND_E-35"/>
    <x v="10"/>
    <x v="0"/>
    <x v="0"/>
    <x v="0"/>
    <x v="0"/>
    <n v="0.15382708534950001"/>
  </r>
  <r>
    <x v="0"/>
    <x v="0"/>
    <x v="0"/>
    <s v="ITALY"/>
    <x v="26"/>
    <s v="ITSA_A"/>
    <s v="GNR_ST_FUELOIL_CND_E-35"/>
    <x v="10"/>
    <x v="0"/>
    <x v="0"/>
    <x v="1"/>
    <x v="0"/>
    <n v="-0.15382708534949999"/>
  </r>
  <r>
    <x v="0"/>
    <x v="0"/>
    <x v="0"/>
    <s v="ITALY"/>
    <x v="26"/>
    <s v="ITSA_A"/>
    <s v="GNR_ST_MSW_CND_E-20"/>
    <x v="17"/>
    <x v="0"/>
    <x v="0"/>
    <x v="0"/>
    <x v="0"/>
    <n v="1.5169830024E-2"/>
  </r>
  <r>
    <x v="0"/>
    <x v="0"/>
    <x v="0"/>
    <s v="ITALY"/>
    <x v="26"/>
    <s v="ITSA_A"/>
    <s v="GNR_ST_MSW_CND_E-20"/>
    <x v="17"/>
    <x v="0"/>
    <x v="0"/>
    <x v="1"/>
    <x v="0"/>
    <n v="-1.5169830024E-2"/>
  </r>
  <r>
    <x v="0"/>
    <x v="0"/>
    <x v="0"/>
    <s v="ITALY"/>
    <x v="26"/>
    <s v="ITSA_A"/>
    <s v="GNR_ST_WOOD_CND_E-50"/>
    <x v="18"/>
    <x v="0"/>
    <x v="0"/>
    <x v="0"/>
    <x v="0"/>
    <n v="5.5777747659000003E-2"/>
  </r>
  <r>
    <x v="0"/>
    <x v="0"/>
    <x v="0"/>
    <s v="ITALY"/>
    <x v="26"/>
    <s v="ITSA_A"/>
    <s v="GNR_ST_WOOD_CND_E-50"/>
    <x v="18"/>
    <x v="0"/>
    <x v="0"/>
    <x v="1"/>
    <x v="0"/>
    <n v="-5.577774765900001E-2"/>
  </r>
  <r>
    <x v="0"/>
    <x v="0"/>
    <x v="0"/>
    <s v="ITALY"/>
    <x v="26"/>
    <s v="ITSA_A"/>
    <s v="GNR_WT_WIND_ONS_RG1"/>
    <x v="3"/>
    <x v="0"/>
    <x v="5"/>
    <x v="0"/>
    <x v="0"/>
    <n v="0.30296525762999998"/>
  </r>
  <r>
    <x v="0"/>
    <x v="0"/>
    <x v="0"/>
    <s v="ITALY"/>
    <x v="26"/>
    <s v="ITSA_A"/>
    <s v="GNR_WT_WIND_ONS_RG1"/>
    <x v="3"/>
    <x v="0"/>
    <x v="5"/>
    <x v="1"/>
    <x v="0"/>
    <n v="-0.30296525762999987"/>
  </r>
  <r>
    <x v="0"/>
    <x v="0"/>
    <x v="0"/>
    <s v="ITALY"/>
    <x v="26"/>
    <s v="ITSA_A"/>
    <s v="GNR_WT_WIND_ONS_RG2"/>
    <x v="3"/>
    <x v="0"/>
    <x v="5"/>
    <x v="0"/>
    <x v="0"/>
    <n v="0.65642472486500003"/>
  </r>
  <r>
    <x v="0"/>
    <x v="0"/>
    <x v="0"/>
    <s v="ITALY"/>
    <x v="26"/>
    <s v="ITSA_A"/>
    <s v="GNR_WT_WIND_ONS_RG2"/>
    <x v="3"/>
    <x v="0"/>
    <x v="5"/>
    <x v="1"/>
    <x v="0"/>
    <n v="-0.65642472486500014"/>
  </r>
  <r>
    <x v="0"/>
    <x v="0"/>
    <x v="0"/>
    <s v="ITALY"/>
    <x v="26"/>
    <s v="ITSA_A"/>
    <s v="GNR_WT_WIND_ONS_RG3"/>
    <x v="3"/>
    <x v="0"/>
    <x v="5"/>
    <x v="0"/>
    <x v="0"/>
    <n v="5.0494209605E-2"/>
  </r>
  <r>
    <x v="0"/>
    <x v="0"/>
    <x v="0"/>
    <s v="ITALY"/>
    <x v="26"/>
    <s v="ITSA_A"/>
    <s v="GNR_WT_WIND_ONS_RG3"/>
    <x v="3"/>
    <x v="0"/>
    <x v="5"/>
    <x v="1"/>
    <x v="0"/>
    <n v="-5.0494209605E-2"/>
  </r>
  <r>
    <x v="0"/>
    <x v="0"/>
    <x v="0"/>
    <s v="ITALY"/>
    <x v="26"/>
    <s v="ITSA_A"/>
    <s v="GNR_ELYS_ELEC_AEC_Y-2020"/>
    <x v="2"/>
    <x v="1"/>
    <x v="3"/>
    <x v="0"/>
    <x v="0"/>
    <n v="0.23849548806599996"/>
  </r>
  <r>
    <x v="0"/>
    <x v="0"/>
    <x v="0"/>
    <s v="ITALY"/>
    <x v="26"/>
    <s v="ITSA_A"/>
    <s v="GNR_ELYS_ELEC_AEC_Y-2020"/>
    <x v="2"/>
    <x v="1"/>
    <x v="3"/>
    <x v="1"/>
    <x v="0"/>
    <n v="-0.23849548806599996"/>
  </r>
  <r>
    <x v="0"/>
    <x v="0"/>
    <x v="0"/>
    <s v="ITALY"/>
    <x v="26"/>
    <s v="ITSA_A"/>
    <s v="GNR_STEAM-REFORMING_E-70_Y-2020"/>
    <x v="0"/>
    <x v="1"/>
    <x v="4"/>
    <x v="0"/>
    <x v="0"/>
    <n v="9.3004708814387813E-2"/>
  </r>
  <r>
    <x v="0"/>
    <x v="0"/>
    <x v="0"/>
    <s v="ITALY"/>
    <x v="26"/>
    <s v="ITSA_A"/>
    <s v="GNR_STEAM-REFORMING_E-70_Y-2020"/>
    <x v="0"/>
    <x v="1"/>
    <x v="4"/>
    <x v="1"/>
    <x v="0"/>
    <n v="-9.3004708814387813E-2"/>
  </r>
  <r>
    <x v="0"/>
    <x v="0"/>
    <x v="0"/>
    <s v="ITALY"/>
    <x v="26"/>
    <s v="ITSA_A"/>
    <s v="GNR_WT_ONS-2050"/>
    <x v="3"/>
    <x v="0"/>
    <x v="5"/>
    <x v="2"/>
    <x v="0"/>
    <n v="1.7851555230252034"/>
  </r>
  <r>
    <x v="0"/>
    <x v="0"/>
    <x v="0"/>
    <s v="ITALY"/>
    <x v="26"/>
    <s v="ITSA_A"/>
    <s v="GNR_PV-2050"/>
    <x v="8"/>
    <x v="0"/>
    <x v="9"/>
    <x v="2"/>
    <x v="0"/>
    <n v="1.799441056017056"/>
  </r>
  <r>
    <x v="0"/>
    <x v="0"/>
    <x v="0"/>
    <s v="ITALY"/>
    <x v="27"/>
    <s v="ITSI_A"/>
    <s v="GNR_CC_NGAS_CND_E-56"/>
    <x v="0"/>
    <x v="0"/>
    <x v="0"/>
    <x v="0"/>
    <x v="0"/>
    <n v="5.9776851043079997"/>
  </r>
  <r>
    <x v="0"/>
    <x v="0"/>
    <x v="0"/>
    <s v="ITALY"/>
    <x v="27"/>
    <s v="ITSI_A"/>
    <s v="GNR_CC_NGAS_CND_E-56"/>
    <x v="0"/>
    <x v="0"/>
    <x v="0"/>
    <x v="1"/>
    <x v="0"/>
    <n v="-5.9776851043080006"/>
  </r>
  <r>
    <x v="0"/>
    <x v="0"/>
    <x v="0"/>
    <s v="ITALY"/>
    <x v="27"/>
    <s v="ITSI_A"/>
    <s v="GNR_ENG_BGAS_CND_E-35"/>
    <x v="7"/>
    <x v="0"/>
    <x v="0"/>
    <x v="0"/>
    <x v="0"/>
    <n v="0.15780280725000001"/>
  </r>
  <r>
    <x v="0"/>
    <x v="0"/>
    <x v="0"/>
    <s v="ITALY"/>
    <x v="27"/>
    <s v="ITSI_A"/>
    <s v="GNR_ENG_BGAS_CND_E-35"/>
    <x v="7"/>
    <x v="0"/>
    <x v="0"/>
    <x v="1"/>
    <x v="0"/>
    <n v="-0.15780280725000004"/>
  </r>
  <r>
    <x v="0"/>
    <x v="0"/>
    <x v="0"/>
    <s v="ITALY"/>
    <x v="27"/>
    <s v="ITSI_A"/>
    <s v="GNR_GT_FUELOIL_CND_E-32"/>
    <x v="10"/>
    <x v="0"/>
    <x v="0"/>
    <x v="0"/>
    <x v="0"/>
    <n v="0.49343503256099996"/>
  </r>
  <r>
    <x v="0"/>
    <x v="0"/>
    <x v="0"/>
    <s v="ITALY"/>
    <x v="27"/>
    <s v="ITSI_A"/>
    <s v="GNR_GT_FUELOIL_CND_E-32"/>
    <x v="10"/>
    <x v="0"/>
    <x v="0"/>
    <x v="1"/>
    <x v="0"/>
    <n v="-0.49343503256100002"/>
  </r>
  <r>
    <x v="0"/>
    <x v="0"/>
    <x v="0"/>
    <s v="ITALY"/>
    <x v="27"/>
    <s v="ITSI_A"/>
    <s v="GNR_PV_SUN"/>
    <x v="8"/>
    <x v="0"/>
    <x v="9"/>
    <x v="0"/>
    <x v="0"/>
    <n v="1.3472352000000001"/>
  </r>
  <r>
    <x v="0"/>
    <x v="0"/>
    <x v="0"/>
    <s v="ITALY"/>
    <x v="27"/>
    <s v="ITSI_A"/>
    <s v="GNR_PV_SUN"/>
    <x v="8"/>
    <x v="0"/>
    <x v="9"/>
    <x v="1"/>
    <x v="0"/>
    <n v="-1.3472352000000001"/>
  </r>
  <r>
    <x v="0"/>
    <x v="0"/>
    <x v="0"/>
    <s v="ITALY"/>
    <x v="27"/>
    <s v="ITSI_A"/>
    <s v="GNR_RES_WTR_NOPMP"/>
    <x v="1"/>
    <x v="0"/>
    <x v="1"/>
    <x v="0"/>
    <x v="0"/>
    <n v="6.1620817504000003E-2"/>
  </r>
  <r>
    <x v="0"/>
    <x v="0"/>
    <x v="0"/>
    <s v="ITALY"/>
    <x v="27"/>
    <s v="ITSI_A"/>
    <s v="GNR_RES_WTR_PMP_MC-01"/>
    <x v="1"/>
    <x v="0"/>
    <x v="1"/>
    <x v="0"/>
    <x v="0"/>
    <n v="4.7928628879999997E-2"/>
  </r>
  <r>
    <x v="0"/>
    <x v="0"/>
    <x v="0"/>
    <s v="ITALY"/>
    <x v="27"/>
    <s v="ITSI_A"/>
    <s v="GNR_ROR_WTR"/>
    <x v="1"/>
    <x v="0"/>
    <x v="2"/>
    <x v="0"/>
    <x v="0"/>
    <n v="0.15241662105600001"/>
  </r>
  <r>
    <x v="0"/>
    <x v="0"/>
    <x v="0"/>
    <s v="ITALY"/>
    <x v="27"/>
    <s v="ITSI_A"/>
    <s v="GNR_ST_COAL_CND_E-33"/>
    <x v="5"/>
    <x v="0"/>
    <x v="0"/>
    <x v="0"/>
    <x v="0"/>
    <n v="0.73955002903200007"/>
  </r>
  <r>
    <x v="0"/>
    <x v="0"/>
    <x v="0"/>
    <s v="ITALY"/>
    <x v="27"/>
    <s v="ITSI_A"/>
    <s v="GNR_ST_COAL_CND_E-33"/>
    <x v="5"/>
    <x v="0"/>
    <x v="0"/>
    <x v="1"/>
    <x v="0"/>
    <n v="-0.73955002903200007"/>
  </r>
  <r>
    <x v="0"/>
    <x v="0"/>
    <x v="0"/>
    <s v="ITALY"/>
    <x v="27"/>
    <s v="ITSI_A"/>
    <s v="GNR_ST_FUELOIL_CND_E-35"/>
    <x v="10"/>
    <x v="0"/>
    <x v="0"/>
    <x v="0"/>
    <x v="0"/>
    <n v="0.49343503256099996"/>
  </r>
  <r>
    <x v="0"/>
    <x v="0"/>
    <x v="0"/>
    <s v="ITALY"/>
    <x v="27"/>
    <s v="ITSI_A"/>
    <s v="GNR_ST_FUELOIL_CND_E-35"/>
    <x v="10"/>
    <x v="0"/>
    <x v="0"/>
    <x v="1"/>
    <x v="0"/>
    <n v="-0.49343503256100002"/>
  </r>
  <r>
    <x v="0"/>
    <x v="0"/>
    <x v="0"/>
    <s v="ITALY"/>
    <x v="27"/>
    <s v="ITSI_A"/>
    <s v="GNR_ST_MSW_CND_E-20"/>
    <x v="17"/>
    <x v="0"/>
    <x v="0"/>
    <x v="0"/>
    <x v="0"/>
    <n v="4.8660647472000003E-2"/>
  </r>
  <r>
    <x v="0"/>
    <x v="0"/>
    <x v="0"/>
    <s v="ITALY"/>
    <x v="27"/>
    <s v="ITSI_A"/>
    <s v="GNR_ST_MSW_CND_E-20"/>
    <x v="17"/>
    <x v="0"/>
    <x v="0"/>
    <x v="1"/>
    <x v="0"/>
    <n v="-4.8660647472000003E-2"/>
  </r>
  <r>
    <x v="0"/>
    <x v="0"/>
    <x v="0"/>
    <s v="ITALY"/>
    <x v="27"/>
    <s v="ITSI_A"/>
    <s v="GNR_ST_WOOD_CND_E-50"/>
    <x v="18"/>
    <x v="0"/>
    <x v="0"/>
    <x v="0"/>
    <x v="0"/>
    <n v="0.178919692002"/>
  </r>
  <r>
    <x v="0"/>
    <x v="0"/>
    <x v="0"/>
    <s v="ITALY"/>
    <x v="27"/>
    <s v="ITSI_A"/>
    <s v="GNR_ST_WOOD_CND_E-50"/>
    <x v="18"/>
    <x v="0"/>
    <x v="0"/>
    <x v="1"/>
    <x v="0"/>
    <n v="-0.178919692002"/>
  </r>
  <r>
    <x v="0"/>
    <x v="0"/>
    <x v="0"/>
    <s v="ITALY"/>
    <x v="27"/>
    <s v="ITSI_A"/>
    <s v="GNR_WT_WIND_ONS_RG1"/>
    <x v="3"/>
    <x v="0"/>
    <x v="5"/>
    <x v="0"/>
    <x v="0"/>
    <n v="0.55084594827"/>
  </r>
  <r>
    <x v="0"/>
    <x v="0"/>
    <x v="0"/>
    <s v="ITALY"/>
    <x v="27"/>
    <s v="ITSI_A"/>
    <s v="GNR_WT_WIND_ONS_RG1"/>
    <x v="3"/>
    <x v="0"/>
    <x v="5"/>
    <x v="1"/>
    <x v="0"/>
    <n v="-0.55084594827000022"/>
  </r>
  <r>
    <x v="0"/>
    <x v="0"/>
    <x v="0"/>
    <s v="ITALY"/>
    <x v="27"/>
    <s v="ITSI_A"/>
    <s v="GNR_WT_WIND_ONS_RG2"/>
    <x v="3"/>
    <x v="0"/>
    <x v="5"/>
    <x v="0"/>
    <x v="0"/>
    <n v="1.193499554585"/>
  </r>
  <r>
    <x v="0"/>
    <x v="0"/>
    <x v="0"/>
    <s v="ITALY"/>
    <x v="27"/>
    <s v="ITSI_A"/>
    <s v="GNR_WT_WIND_ONS_RG2"/>
    <x v="3"/>
    <x v="0"/>
    <x v="5"/>
    <x v="1"/>
    <x v="0"/>
    <n v="-1.1934995545850002"/>
  </r>
  <r>
    <x v="0"/>
    <x v="0"/>
    <x v="0"/>
    <s v="ITALY"/>
    <x v="27"/>
    <s v="ITSI_A"/>
    <s v="GNR_WT_WIND_ONS_RG3"/>
    <x v="3"/>
    <x v="0"/>
    <x v="5"/>
    <x v="0"/>
    <x v="0"/>
    <n v="9.1807658045000004E-2"/>
  </r>
  <r>
    <x v="0"/>
    <x v="0"/>
    <x v="0"/>
    <s v="ITALY"/>
    <x v="27"/>
    <s v="ITSI_A"/>
    <s v="GNR_WT_WIND_ONS_RG3"/>
    <x v="3"/>
    <x v="0"/>
    <x v="5"/>
    <x v="1"/>
    <x v="0"/>
    <n v="-9.1807658045000004E-2"/>
  </r>
  <r>
    <x v="0"/>
    <x v="0"/>
    <x v="0"/>
    <s v="ITALY"/>
    <x v="27"/>
    <s v="ITSI_A"/>
    <s v="GNR_ELYS_ELEC_AEC_Y-2020"/>
    <x v="2"/>
    <x v="1"/>
    <x v="3"/>
    <x v="0"/>
    <x v="0"/>
    <n v="0.76502800954799977"/>
  </r>
  <r>
    <x v="0"/>
    <x v="0"/>
    <x v="0"/>
    <s v="ITALY"/>
    <x v="27"/>
    <s v="ITSI_A"/>
    <s v="GNR_ELYS_ELEC_AEC_Y-2020"/>
    <x v="2"/>
    <x v="1"/>
    <x v="3"/>
    <x v="1"/>
    <x v="0"/>
    <n v="-0.19119961954799974"/>
  </r>
  <r>
    <x v="0"/>
    <x v="0"/>
    <x v="0"/>
    <s v="ITALY"/>
    <x v="27"/>
    <s v="ITSI_A"/>
    <s v="GNR_ELYS_ELEC_AEC_Y-2050"/>
    <x v="2"/>
    <x v="1"/>
    <x v="3"/>
    <x v="2"/>
    <x v="0"/>
    <n v="7.6729840960666946"/>
  </r>
  <r>
    <x v="0"/>
    <x v="0"/>
    <x v="0"/>
    <s v="ITALY"/>
    <x v="27"/>
    <s v="ITSI_A"/>
    <s v="GNR_STEAM-REFORMING_E-70_Y-2020"/>
    <x v="0"/>
    <x v="1"/>
    <x v="4"/>
    <x v="0"/>
    <x v="0"/>
    <n v="0.29833355691480595"/>
  </r>
  <r>
    <x v="0"/>
    <x v="0"/>
    <x v="0"/>
    <s v="ITALY"/>
    <x v="27"/>
    <s v="ITSI_A"/>
    <s v="GNR_STEAM-REFORMING_E-70_Y-2020"/>
    <x v="0"/>
    <x v="1"/>
    <x v="4"/>
    <x v="1"/>
    <x v="0"/>
    <n v="-0.29833355691480595"/>
  </r>
  <r>
    <x v="0"/>
    <x v="0"/>
    <x v="0"/>
    <s v="ITALY"/>
    <x v="27"/>
    <s v="ITSI_A"/>
    <s v="GNR_PV-2050"/>
    <x v="8"/>
    <x v="0"/>
    <x v="9"/>
    <x v="2"/>
    <x v="0"/>
    <n v="24.648579825801061"/>
  </r>
  <r>
    <x v="0"/>
    <x v="0"/>
    <x v="0"/>
    <s v="SWITZERLAND"/>
    <x v="28"/>
    <s v="CH_A"/>
    <s v="GNR_RES_WTR_NOPMP"/>
    <x v="1"/>
    <x v="0"/>
    <x v="1"/>
    <x v="0"/>
    <x v="0"/>
    <n v="8.152000000000001"/>
  </r>
  <r>
    <x v="0"/>
    <x v="0"/>
    <x v="0"/>
    <s v="SWITZERLAND"/>
    <x v="28"/>
    <s v="CH_A"/>
    <s v="GNR_ROR_WTR"/>
    <x v="1"/>
    <x v="0"/>
    <x v="2"/>
    <x v="0"/>
    <x v="0"/>
    <n v="4.0529999999999999"/>
  </r>
  <r>
    <x v="0"/>
    <x v="0"/>
    <x v="0"/>
    <s v="SWITZERLAND"/>
    <x v="28"/>
    <s v="CH_A"/>
    <s v="GNR_ST_MSW_CND_E-20"/>
    <x v="17"/>
    <x v="0"/>
    <x v="0"/>
    <x v="0"/>
    <x v="0"/>
    <n v="0.42199999999999999"/>
  </r>
  <r>
    <x v="0"/>
    <x v="0"/>
    <x v="0"/>
    <s v="SWITZERLAND"/>
    <x v="28"/>
    <s v="CH_A"/>
    <s v="GNR_ST_MSW_CND_E-20"/>
    <x v="17"/>
    <x v="0"/>
    <x v="0"/>
    <x v="1"/>
    <x v="0"/>
    <n v="-0.4220000000000001"/>
  </r>
  <r>
    <x v="0"/>
    <x v="0"/>
    <x v="0"/>
    <s v="SWITZERLAND"/>
    <x v="28"/>
    <s v="CH_A"/>
    <s v="GNR_ST_NUCL_CND_E-33"/>
    <x v="11"/>
    <x v="0"/>
    <x v="0"/>
    <x v="0"/>
    <x v="0"/>
    <n v="3.3330000000000002"/>
  </r>
  <r>
    <x v="0"/>
    <x v="0"/>
    <x v="0"/>
    <s v="SWITZERLAND"/>
    <x v="28"/>
    <s v="CH_A"/>
    <s v="GNR_ST_WOOD_CND_E-50"/>
    <x v="18"/>
    <x v="0"/>
    <x v="0"/>
    <x v="0"/>
    <x v="0"/>
    <n v="0.19600000000000001"/>
  </r>
  <r>
    <x v="0"/>
    <x v="0"/>
    <x v="0"/>
    <s v="SWITZERLAND"/>
    <x v="28"/>
    <s v="CH_A"/>
    <s v="GNR_ST_WOOD_CND_E-50"/>
    <x v="18"/>
    <x v="0"/>
    <x v="0"/>
    <x v="1"/>
    <x v="0"/>
    <n v="-0.19600000000000004"/>
  </r>
  <r>
    <x v="0"/>
    <x v="0"/>
    <x v="0"/>
    <s v="SWITZERLAND"/>
    <x v="28"/>
    <s v="CH_A"/>
    <s v="GNR_ELYS_ELEC_AEC_Y-2050"/>
    <x v="2"/>
    <x v="1"/>
    <x v="3"/>
    <x v="2"/>
    <x v="0"/>
    <n v="6.5677791503659284"/>
  </r>
  <r>
    <x v="0"/>
    <x v="0"/>
    <x v="0"/>
    <s v="SWITZERLAND"/>
    <x v="28"/>
    <s v="CH_A"/>
    <s v="GNR_STEAM-REFORMING_E-70_Y-2020"/>
    <x v="0"/>
    <x v="1"/>
    <x v="4"/>
    <x v="0"/>
    <x v="0"/>
    <n v="0.26593013759196149"/>
  </r>
  <r>
    <x v="0"/>
    <x v="0"/>
    <x v="0"/>
    <s v="SWITZERLAND"/>
    <x v="28"/>
    <s v="CH_A"/>
    <s v="GNR_STEAM-REFORMING_E-70_Y-2020"/>
    <x v="0"/>
    <x v="1"/>
    <x v="4"/>
    <x v="2"/>
    <x v="0"/>
    <n v="-7.958078640513122E-17"/>
  </r>
  <r>
    <x v="0"/>
    <x v="0"/>
    <x v="0"/>
    <s v="SWITZERLAND"/>
    <x v="28"/>
    <s v="CH_A"/>
    <s v="GNR_STEAM-REFORMING_E-70_Y-2020"/>
    <x v="0"/>
    <x v="1"/>
    <x v="4"/>
    <x v="1"/>
    <x v="0"/>
    <n v="-0.26593013759196138"/>
  </r>
  <r>
    <x v="0"/>
    <x v="0"/>
    <x v="0"/>
    <s v="SWITZERLAND"/>
    <x v="28"/>
    <s v="CH00_A"/>
    <s v="GNR_PV_SUN"/>
    <x v="8"/>
    <x v="0"/>
    <x v="9"/>
    <x v="0"/>
    <x v="0"/>
    <n v="1.6640000000000001"/>
  </r>
  <r>
    <x v="0"/>
    <x v="0"/>
    <x v="0"/>
    <s v="SWITZERLAND"/>
    <x v="28"/>
    <s v="CH00_A"/>
    <s v="GNR_PV_SUN"/>
    <x v="8"/>
    <x v="0"/>
    <x v="9"/>
    <x v="1"/>
    <x v="0"/>
    <n v="-1.6640000000000001"/>
  </r>
  <r>
    <x v="0"/>
    <x v="0"/>
    <x v="0"/>
    <s v="SWITZERLAND"/>
    <x v="28"/>
    <s v="CH00_A"/>
    <s v="GNR_WT_WIND_ONS_RG1"/>
    <x v="3"/>
    <x v="0"/>
    <x v="5"/>
    <x v="0"/>
    <x v="0"/>
    <n v="2.2499999999999999E-2"/>
  </r>
  <r>
    <x v="0"/>
    <x v="0"/>
    <x v="0"/>
    <s v="SWITZERLAND"/>
    <x v="28"/>
    <s v="CH00_A"/>
    <s v="GNR_WT_WIND_ONS_RG1"/>
    <x v="3"/>
    <x v="0"/>
    <x v="5"/>
    <x v="1"/>
    <x v="0"/>
    <n v="-2.2499999999999999E-2"/>
  </r>
  <r>
    <x v="0"/>
    <x v="0"/>
    <x v="0"/>
    <s v="SWITZERLAND"/>
    <x v="28"/>
    <s v="CH00_A"/>
    <s v="GNR_WT_WIND_ONS_RG2"/>
    <x v="3"/>
    <x v="0"/>
    <x v="5"/>
    <x v="0"/>
    <x v="0"/>
    <n v="4.8750000000000002E-2"/>
  </r>
  <r>
    <x v="0"/>
    <x v="0"/>
    <x v="0"/>
    <s v="SWITZERLAND"/>
    <x v="28"/>
    <s v="CH00_A"/>
    <s v="GNR_WT_WIND_ONS_RG2"/>
    <x v="3"/>
    <x v="0"/>
    <x v="5"/>
    <x v="1"/>
    <x v="0"/>
    <n v="-4.8750000000000002E-2"/>
  </r>
  <r>
    <x v="0"/>
    <x v="0"/>
    <x v="0"/>
    <s v="SWITZERLAND"/>
    <x v="28"/>
    <s v="CH00_A"/>
    <s v="GNR_WT_WIND_ONS_RG3"/>
    <x v="3"/>
    <x v="0"/>
    <x v="5"/>
    <x v="0"/>
    <x v="0"/>
    <n v="3.7499999999999999E-3"/>
  </r>
  <r>
    <x v="0"/>
    <x v="0"/>
    <x v="0"/>
    <s v="SWITZERLAND"/>
    <x v="28"/>
    <s v="CH00_A"/>
    <s v="GNR_WT_WIND_ONS_RG3"/>
    <x v="3"/>
    <x v="0"/>
    <x v="5"/>
    <x v="1"/>
    <x v="0"/>
    <n v="-3.7499999999999999E-3"/>
  </r>
  <r>
    <x v="0"/>
    <x v="0"/>
    <x v="0"/>
    <s v="SWITZERLAND"/>
    <x v="28"/>
    <s v="CH00_A"/>
    <s v="GNR_PV-2050"/>
    <x v="8"/>
    <x v="0"/>
    <x v="9"/>
    <x v="2"/>
    <x v="0"/>
    <n v="55.616557766630649"/>
  </r>
  <r>
    <x v="0"/>
    <x v="0"/>
    <x v="0"/>
    <s v="AUSTRIA"/>
    <x v="29"/>
    <s v="AT_A"/>
    <s v="GNR_ENG_BGAS_CND_E-35"/>
    <x v="7"/>
    <x v="0"/>
    <x v="0"/>
    <x v="0"/>
    <x v="0"/>
    <n v="8.5000000000000006E-2"/>
  </r>
  <r>
    <x v="0"/>
    <x v="0"/>
    <x v="0"/>
    <s v="AUSTRIA"/>
    <x v="29"/>
    <s v="AT_A"/>
    <s v="GNR_ENG_BGAS_CND_E-35"/>
    <x v="7"/>
    <x v="0"/>
    <x v="0"/>
    <x v="1"/>
    <x v="0"/>
    <n v="-8.5000000000000006E-2"/>
  </r>
  <r>
    <x v="0"/>
    <x v="0"/>
    <x v="0"/>
    <s v="AUSTRIA"/>
    <x v="29"/>
    <s v="AT_A"/>
    <s v="GNR_GEO_HEAT_EO"/>
    <x v="15"/>
    <x v="0"/>
    <x v="0"/>
    <x v="0"/>
    <x v="0"/>
    <n v="1E-3"/>
  </r>
  <r>
    <x v="0"/>
    <x v="0"/>
    <x v="0"/>
    <s v="AUSTRIA"/>
    <x v="29"/>
    <s v="AT_A"/>
    <s v="GNR_GEO_HEAT_EO"/>
    <x v="15"/>
    <x v="0"/>
    <x v="0"/>
    <x v="1"/>
    <x v="0"/>
    <n v="-1E-3"/>
  </r>
  <r>
    <x v="0"/>
    <x v="0"/>
    <x v="0"/>
    <s v="AUSTRIA"/>
    <x v="29"/>
    <s v="AT_A"/>
    <s v="GNR_GT_FUELOIL_CND_E-32"/>
    <x v="10"/>
    <x v="0"/>
    <x v="0"/>
    <x v="0"/>
    <x v="0"/>
    <n v="8.4000000000000005E-2"/>
  </r>
  <r>
    <x v="0"/>
    <x v="0"/>
    <x v="0"/>
    <s v="AUSTRIA"/>
    <x v="29"/>
    <s v="AT_A"/>
    <s v="GNR_GT_FUELOIL_CND_E-32"/>
    <x v="10"/>
    <x v="0"/>
    <x v="0"/>
    <x v="1"/>
    <x v="0"/>
    <n v="-8.4000000000000005E-2"/>
  </r>
  <r>
    <x v="0"/>
    <x v="0"/>
    <x v="0"/>
    <s v="AUSTRIA"/>
    <x v="29"/>
    <s v="AT_A"/>
    <s v="GNR_RES_WTR_PMP_MC-01"/>
    <x v="1"/>
    <x v="0"/>
    <x v="1"/>
    <x v="0"/>
    <x v="0"/>
    <n v="8.4359999999999999"/>
  </r>
  <r>
    <x v="0"/>
    <x v="0"/>
    <x v="0"/>
    <s v="AUSTRIA"/>
    <x v="29"/>
    <s v="AT_A"/>
    <s v="GNR_ROR_WTR"/>
    <x v="1"/>
    <x v="0"/>
    <x v="2"/>
    <x v="0"/>
    <x v="0"/>
    <n v="5.7140000000000004"/>
  </r>
  <r>
    <x v="0"/>
    <x v="0"/>
    <x v="0"/>
    <s v="AUSTRIA"/>
    <x v="29"/>
    <s v="AT_A"/>
    <s v="GNR_ST_COAL_CND_E-33"/>
    <x v="5"/>
    <x v="0"/>
    <x v="0"/>
    <x v="0"/>
    <x v="0"/>
    <n v="0.59799999999999998"/>
  </r>
  <r>
    <x v="0"/>
    <x v="0"/>
    <x v="0"/>
    <s v="AUSTRIA"/>
    <x v="29"/>
    <s v="AT_A"/>
    <s v="GNR_ST_COAL_CND_E-33"/>
    <x v="5"/>
    <x v="0"/>
    <x v="0"/>
    <x v="1"/>
    <x v="0"/>
    <n v="-0.59799999999999986"/>
  </r>
  <r>
    <x v="0"/>
    <x v="0"/>
    <x v="0"/>
    <s v="AUSTRIA"/>
    <x v="29"/>
    <s v="AT_A"/>
    <s v="GNR_ST_FUELOIL_CND_E-35"/>
    <x v="10"/>
    <x v="0"/>
    <x v="0"/>
    <x v="0"/>
    <x v="0"/>
    <n v="8.4000000000000005E-2"/>
  </r>
  <r>
    <x v="0"/>
    <x v="0"/>
    <x v="0"/>
    <s v="AUSTRIA"/>
    <x v="29"/>
    <s v="AT_A"/>
    <s v="GNR_ST_FUELOIL_CND_E-35"/>
    <x v="10"/>
    <x v="0"/>
    <x v="0"/>
    <x v="1"/>
    <x v="0"/>
    <n v="-8.4000000000000005E-2"/>
  </r>
  <r>
    <x v="0"/>
    <x v="0"/>
    <x v="0"/>
    <s v="AUSTRIA"/>
    <x v="29"/>
    <s v="AT_A"/>
    <s v="GNR_ST_MSW_CND_E-20"/>
    <x v="17"/>
    <x v="0"/>
    <x v="0"/>
    <x v="0"/>
    <x v="0"/>
    <n v="2.1999999999999999E-2"/>
  </r>
  <r>
    <x v="0"/>
    <x v="0"/>
    <x v="0"/>
    <s v="AUSTRIA"/>
    <x v="29"/>
    <s v="AT_A"/>
    <s v="GNR_ST_MSW_CND_E-20"/>
    <x v="17"/>
    <x v="0"/>
    <x v="0"/>
    <x v="1"/>
    <x v="0"/>
    <n v="-2.2000000000000009E-2"/>
  </r>
  <r>
    <x v="0"/>
    <x v="0"/>
    <x v="0"/>
    <s v="AUSTRIA"/>
    <x v="29"/>
    <s v="AT_A"/>
    <s v="GNR_ELYS_ELEC_AEC_Y-2020"/>
    <x v="2"/>
    <x v="1"/>
    <x v="3"/>
    <x v="0"/>
    <x v="0"/>
    <n v="1.3330000000000031"/>
  </r>
  <r>
    <x v="0"/>
    <x v="0"/>
    <x v="0"/>
    <s v="AUSTRIA"/>
    <x v="29"/>
    <s v="AT_A"/>
    <s v="GNR_ELYS_ELEC_AEC_Y-2020"/>
    <x v="2"/>
    <x v="1"/>
    <x v="3"/>
    <x v="1"/>
    <x v="0"/>
    <n v="-0.33300000000000024"/>
  </r>
  <r>
    <x v="0"/>
    <x v="0"/>
    <x v="0"/>
    <s v="AUSTRIA"/>
    <x v="29"/>
    <s v="AT_A"/>
    <s v="GNR_STEAM-REFORMING_E-70_Y-2020"/>
    <x v="0"/>
    <x v="1"/>
    <x v="4"/>
    <x v="0"/>
    <x v="0"/>
    <n v="0.59983550897254112"/>
  </r>
  <r>
    <x v="0"/>
    <x v="0"/>
    <x v="0"/>
    <s v="AUSTRIA"/>
    <x v="29"/>
    <s v="AT_A"/>
    <s v="GNR_STEAM-REFORMING_E-70_Y-2020"/>
    <x v="0"/>
    <x v="1"/>
    <x v="4"/>
    <x v="1"/>
    <x v="0"/>
    <n v="-0.59983550897254112"/>
  </r>
  <r>
    <x v="0"/>
    <x v="0"/>
    <x v="0"/>
    <s v="AUSTRIA"/>
    <x v="29"/>
    <s v="AT00_A"/>
    <s v="GNR_PV_SUN"/>
    <x v="8"/>
    <x v="0"/>
    <x v="9"/>
    <x v="0"/>
    <x v="0"/>
    <n v="1.1930000000000001"/>
  </r>
  <r>
    <x v="0"/>
    <x v="0"/>
    <x v="0"/>
    <s v="AUSTRIA"/>
    <x v="29"/>
    <s v="AT00_A"/>
    <s v="GNR_PV_SUN"/>
    <x v="8"/>
    <x v="0"/>
    <x v="9"/>
    <x v="1"/>
    <x v="0"/>
    <n v="-1.1929999999999998"/>
  </r>
  <r>
    <x v="0"/>
    <x v="0"/>
    <x v="0"/>
    <s v="AUSTRIA"/>
    <x v="29"/>
    <s v="AT00_A"/>
    <s v="GNR_WT_WIND_ONS_RG1"/>
    <x v="3"/>
    <x v="0"/>
    <x v="5"/>
    <x v="0"/>
    <x v="0"/>
    <n v="0.86610000000000009"/>
  </r>
  <r>
    <x v="0"/>
    <x v="0"/>
    <x v="0"/>
    <s v="AUSTRIA"/>
    <x v="29"/>
    <s v="AT00_A"/>
    <s v="GNR_WT_WIND_ONS_RG1"/>
    <x v="3"/>
    <x v="0"/>
    <x v="5"/>
    <x v="1"/>
    <x v="0"/>
    <n v="-0.8661000000000002"/>
  </r>
  <r>
    <x v="0"/>
    <x v="0"/>
    <x v="0"/>
    <s v="AUSTRIA"/>
    <x v="29"/>
    <s v="AT00_A"/>
    <s v="GNR_WT_WIND_ONS_RG2"/>
    <x v="3"/>
    <x v="0"/>
    <x v="5"/>
    <x v="0"/>
    <x v="0"/>
    <n v="1.8765499999999999"/>
  </r>
  <r>
    <x v="0"/>
    <x v="0"/>
    <x v="0"/>
    <s v="AUSTRIA"/>
    <x v="29"/>
    <s v="AT00_A"/>
    <s v="GNR_WT_WIND_ONS_RG2"/>
    <x v="3"/>
    <x v="0"/>
    <x v="5"/>
    <x v="1"/>
    <x v="0"/>
    <n v="-1.8765499999999997"/>
  </r>
  <r>
    <x v="0"/>
    <x v="0"/>
    <x v="0"/>
    <s v="AUSTRIA"/>
    <x v="29"/>
    <s v="AT00_A"/>
    <s v="GNR_WT_WIND_ONS_RG3"/>
    <x v="3"/>
    <x v="0"/>
    <x v="5"/>
    <x v="0"/>
    <x v="0"/>
    <n v="0.14435000000000001"/>
  </r>
  <r>
    <x v="0"/>
    <x v="0"/>
    <x v="0"/>
    <s v="AUSTRIA"/>
    <x v="29"/>
    <s v="AT00_A"/>
    <s v="GNR_WT_WIND_ONS_RG3"/>
    <x v="3"/>
    <x v="0"/>
    <x v="5"/>
    <x v="1"/>
    <x v="0"/>
    <n v="-0.14435000000000001"/>
  </r>
  <r>
    <x v="0"/>
    <x v="0"/>
    <x v="0"/>
    <s v="AUSTRIA"/>
    <x v="29"/>
    <s v="AT00_A"/>
    <s v="GNR_WT_ONS-2050"/>
    <x v="3"/>
    <x v="0"/>
    <x v="5"/>
    <x v="2"/>
    <x v="0"/>
    <n v="9.6509999999999998"/>
  </r>
  <r>
    <x v="0"/>
    <x v="0"/>
    <x v="0"/>
    <s v="CZECH_REPUBLIC"/>
    <x v="30"/>
    <s v="CZ_A"/>
    <s v="GNR_CC_NGAS_CND_E-56"/>
    <x v="0"/>
    <x v="0"/>
    <x v="0"/>
    <x v="0"/>
    <x v="0"/>
    <n v="1.226"/>
  </r>
  <r>
    <x v="0"/>
    <x v="0"/>
    <x v="0"/>
    <s v="CZECH_REPUBLIC"/>
    <x v="30"/>
    <s v="CZ_A"/>
    <s v="GNR_CC_NGAS_CND_E-56"/>
    <x v="0"/>
    <x v="0"/>
    <x v="0"/>
    <x v="1"/>
    <x v="0"/>
    <n v="-1.226"/>
  </r>
  <r>
    <x v="0"/>
    <x v="0"/>
    <x v="0"/>
    <s v="CZECH_REPUBLIC"/>
    <x v="30"/>
    <s v="CZ_A"/>
    <s v="GNR_ENG_BGAS_CND_E-35"/>
    <x v="7"/>
    <x v="0"/>
    <x v="0"/>
    <x v="0"/>
    <x v="0"/>
    <n v="0.4"/>
  </r>
  <r>
    <x v="0"/>
    <x v="0"/>
    <x v="0"/>
    <s v="CZECH_REPUBLIC"/>
    <x v="30"/>
    <s v="CZ_A"/>
    <s v="GNR_ENG_BGAS_CND_E-35"/>
    <x v="7"/>
    <x v="0"/>
    <x v="0"/>
    <x v="1"/>
    <x v="0"/>
    <n v="-0.4"/>
  </r>
  <r>
    <x v="0"/>
    <x v="0"/>
    <x v="0"/>
    <s v="CZECH_REPUBLIC"/>
    <x v="30"/>
    <s v="CZ_A"/>
    <s v="GNR_GT_FUELOIL_CND_E-32"/>
    <x v="10"/>
    <x v="0"/>
    <x v="0"/>
    <x v="0"/>
    <x v="0"/>
    <n v="0.19"/>
  </r>
  <r>
    <x v="0"/>
    <x v="0"/>
    <x v="0"/>
    <s v="CZECH_REPUBLIC"/>
    <x v="30"/>
    <s v="CZ_A"/>
    <s v="GNR_GT_FUELOIL_CND_E-32"/>
    <x v="10"/>
    <x v="0"/>
    <x v="0"/>
    <x v="1"/>
    <x v="0"/>
    <n v="-0.19"/>
  </r>
  <r>
    <x v="0"/>
    <x v="0"/>
    <x v="0"/>
    <s v="CZECH_REPUBLIC"/>
    <x v="30"/>
    <s v="CZ_A"/>
    <s v="GNR_RES_WTR_NOPMP"/>
    <x v="1"/>
    <x v="0"/>
    <x v="1"/>
    <x v="0"/>
    <x v="0"/>
    <n v="0.753"/>
  </r>
  <r>
    <x v="0"/>
    <x v="0"/>
    <x v="0"/>
    <s v="CZECH_REPUBLIC"/>
    <x v="30"/>
    <s v="CZ_A"/>
    <s v="GNR_ROR_WTR"/>
    <x v="1"/>
    <x v="0"/>
    <x v="2"/>
    <x v="0"/>
    <x v="0"/>
    <n v="0.33400000000000002"/>
  </r>
  <r>
    <x v="0"/>
    <x v="0"/>
    <x v="0"/>
    <s v="CZECH_REPUBLIC"/>
    <x v="30"/>
    <s v="CZ_A"/>
    <s v="GNR_ST_COAL_CND_E-33"/>
    <x v="5"/>
    <x v="0"/>
    <x v="0"/>
    <x v="0"/>
    <x v="0"/>
    <n v="9.65"/>
  </r>
  <r>
    <x v="0"/>
    <x v="0"/>
    <x v="0"/>
    <s v="CZECH_REPUBLIC"/>
    <x v="30"/>
    <s v="CZ_A"/>
    <s v="GNR_ST_COAL_CND_E-33"/>
    <x v="5"/>
    <x v="0"/>
    <x v="0"/>
    <x v="1"/>
    <x v="0"/>
    <n v="-9.65"/>
  </r>
  <r>
    <x v="0"/>
    <x v="0"/>
    <x v="0"/>
    <s v="CZECH_REPUBLIC"/>
    <x v="30"/>
    <s v="CZ_A"/>
    <s v="GNR_ST_COAL_EXT_E-36"/>
    <x v="5"/>
    <x v="2"/>
    <x v="6"/>
    <x v="0"/>
    <x v="0"/>
    <n v="3.333333333333333"/>
  </r>
  <r>
    <x v="0"/>
    <x v="0"/>
    <x v="0"/>
    <s v="CZECH_REPUBLIC"/>
    <x v="30"/>
    <s v="CZ_A"/>
    <s v="GNR_ST_COAL_EXT_E-36"/>
    <x v="5"/>
    <x v="2"/>
    <x v="6"/>
    <x v="1"/>
    <x v="0"/>
    <n v="-3.333333333333333"/>
  </r>
  <r>
    <x v="0"/>
    <x v="0"/>
    <x v="0"/>
    <s v="CZECH_REPUBLIC"/>
    <x v="30"/>
    <s v="CZ_A"/>
    <s v="GNR_ST_COAL_EXT_E-36"/>
    <x v="5"/>
    <x v="0"/>
    <x v="6"/>
    <x v="0"/>
    <x v="0"/>
    <n v="3"/>
  </r>
  <r>
    <x v="0"/>
    <x v="0"/>
    <x v="0"/>
    <s v="CZECH_REPUBLIC"/>
    <x v="30"/>
    <s v="CZ_A"/>
    <s v="GNR_ST_COAL_EXT_E-36"/>
    <x v="5"/>
    <x v="0"/>
    <x v="6"/>
    <x v="1"/>
    <x v="0"/>
    <n v="-3"/>
  </r>
  <r>
    <x v="0"/>
    <x v="0"/>
    <x v="0"/>
    <s v="CZECH_REPUBLIC"/>
    <x v="30"/>
    <s v="CZ_A"/>
    <s v="GNR_ST_FUELOIL_CND_E-35"/>
    <x v="10"/>
    <x v="0"/>
    <x v="0"/>
    <x v="0"/>
    <x v="0"/>
    <n v="0.19"/>
  </r>
  <r>
    <x v="0"/>
    <x v="0"/>
    <x v="0"/>
    <s v="CZECH_REPUBLIC"/>
    <x v="30"/>
    <s v="CZ_A"/>
    <s v="GNR_ST_FUELOIL_CND_E-35"/>
    <x v="10"/>
    <x v="0"/>
    <x v="0"/>
    <x v="1"/>
    <x v="0"/>
    <n v="-0.19"/>
  </r>
  <r>
    <x v="0"/>
    <x v="0"/>
    <x v="0"/>
    <s v="CZECH_REPUBLIC"/>
    <x v="30"/>
    <s v="CZ_A"/>
    <s v="GNR_ST_MSW_CND_E-20"/>
    <x v="17"/>
    <x v="0"/>
    <x v="0"/>
    <x v="0"/>
    <x v="0"/>
    <n v="0.1"/>
  </r>
  <r>
    <x v="0"/>
    <x v="0"/>
    <x v="0"/>
    <s v="CZECH_REPUBLIC"/>
    <x v="30"/>
    <s v="CZ_A"/>
    <s v="GNR_ST_MSW_CND_E-20"/>
    <x v="17"/>
    <x v="0"/>
    <x v="0"/>
    <x v="1"/>
    <x v="0"/>
    <n v="-0.1"/>
  </r>
  <r>
    <x v="0"/>
    <x v="0"/>
    <x v="0"/>
    <s v="CZECH_REPUBLIC"/>
    <x v="30"/>
    <s v="CZ_A"/>
    <s v="GNR_ST_NUCL_CND_E-33"/>
    <x v="11"/>
    <x v="0"/>
    <x v="0"/>
    <x v="0"/>
    <x v="0"/>
    <n v="4.04"/>
  </r>
  <r>
    <x v="0"/>
    <x v="0"/>
    <x v="0"/>
    <s v="CZECH_REPUBLIC"/>
    <x v="30"/>
    <s v="CZ_A"/>
    <s v="GNR_ST_NUCL_CND_E-33"/>
    <x v="11"/>
    <x v="0"/>
    <x v="0"/>
    <x v="1"/>
    <x v="0"/>
    <n v="-4.04"/>
  </r>
  <r>
    <x v="0"/>
    <x v="0"/>
    <x v="0"/>
    <s v="CZECH_REPUBLIC"/>
    <x v="30"/>
    <s v="CZ_A"/>
    <s v="GNR_ST_WOOD_CND_E-50"/>
    <x v="18"/>
    <x v="0"/>
    <x v="0"/>
    <x v="0"/>
    <x v="0"/>
    <n v="0.4"/>
  </r>
  <r>
    <x v="0"/>
    <x v="0"/>
    <x v="0"/>
    <s v="CZECH_REPUBLIC"/>
    <x v="30"/>
    <s v="CZ_A"/>
    <s v="GNR_ST_WOOD_CND_E-50"/>
    <x v="18"/>
    <x v="0"/>
    <x v="0"/>
    <x v="1"/>
    <x v="0"/>
    <n v="-0.4"/>
  </r>
  <r>
    <x v="0"/>
    <x v="0"/>
    <x v="0"/>
    <s v="CZECH_REPUBLIC"/>
    <x v="30"/>
    <s v="CZ_A"/>
    <s v="GNR_ELYS_ELEC_AEC_Y-2050"/>
    <x v="2"/>
    <x v="1"/>
    <x v="3"/>
    <x v="2"/>
    <x v="0"/>
    <n v="1.4136441901428258"/>
  </r>
  <r>
    <x v="0"/>
    <x v="0"/>
    <x v="0"/>
    <s v="CZECH_REPUBLIC"/>
    <x v="30"/>
    <s v="CZ_A"/>
    <s v="GNR_STEAM-REFORMING_E-70_Y-2020"/>
    <x v="0"/>
    <x v="1"/>
    <x v="4"/>
    <x v="0"/>
    <x v="0"/>
    <n v="0.77060031926043604"/>
  </r>
  <r>
    <x v="0"/>
    <x v="0"/>
    <x v="0"/>
    <s v="CZECH_REPUBLIC"/>
    <x v="30"/>
    <s v="CZ_A"/>
    <s v="GNR_STEAM-REFORMING_E-70_Y-2020"/>
    <x v="0"/>
    <x v="1"/>
    <x v="4"/>
    <x v="1"/>
    <x v="0"/>
    <n v="-0.77060031926043604"/>
  </r>
  <r>
    <x v="0"/>
    <x v="0"/>
    <x v="0"/>
    <s v="CZECH_REPUBLIC"/>
    <x v="30"/>
    <s v="CZ00_A"/>
    <s v="GNR_PV_SUN"/>
    <x v="8"/>
    <x v="0"/>
    <x v="9"/>
    <x v="0"/>
    <x v="0"/>
    <n v="2.0489999999999999"/>
  </r>
  <r>
    <x v="0"/>
    <x v="0"/>
    <x v="0"/>
    <s v="CZECH_REPUBLIC"/>
    <x v="30"/>
    <s v="CZ00_A"/>
    <s v="GNR_PV_SUN"/>
    <x v="8"/>
    <x v="0"/>
    <x v="9"/>
    <x v="1"/>
    <x v="0"/>
    <n v="-2.0490000000000004"/>
  </r>
  <r>
    <x v="0"/>
    <x v="0"/>
    <x v="0"/>
    <s v="CZECH_REPUBLIC"/>
    <x v="30"/>
    <s v="CZ00_A"/>
    <s v="GNR_WT_WIND_ONS_RG1"/>
    <x v="3"/>
    <x v="0"/>
    <x v="5"/>
    <x v="0"/>
    <x v="0"/>
    <n v="9.4799999999999995E-2"/>
  </r>
  <r>
    <x v="0"/>
    <x v="0"/>
    <x v="0"/>
    <s v="CZECH_REPUBLIC"/>
    <x v="30"/>
    <s v="CZ00_A"/>
    <s v="GNR_WT_WIND_ONS_RG1"/>
    <x v="3"/>
    <x v="0"/>
    <x v="5"/>
    <x v="1"/>
    <x v="0"/>
    <n v="-9.4799999999999982E-2"/>
  </r>
  <r>
    <x v="0"/>
    <x v="0"/>
    <x v="0"/>
    <s v="CZECH_REPUBLIC"/>
    <x v="30"/>
    <s v="CZ00_A"/>
    <s v="GNR_WT_WIND_ONS_RG2"/>
    <x v="3"/>
    <x v="0"/>
    <x v="5"/>
    <x v="0"/>
    <x v="0"/>
    <n v="0.2054"/>
  </r>
  <r>
    <x v="0"/>
    <x v="0"/>
    <x v="0"/>
    <s v="CZECH_REPUBLIC"/>
    <x v="30"/>
    <s v="CZ00_A"/>
    <s v="GNR_WT_WIND_ONS_RG2"/>
    <x v="3"/>
    <x v="0"/>
    <x v="5"/>
    <x v="1"/>
    <x v="0"/>
    <n v="-0.20540000000000005"/>
  </r>
  <r>
    <x v="0"/>
    <x v="0"/>
    <x v="0"/>
    <s v="CZECH_REPUBLIC"/>
    <x v="30"/>
    <s v="CZ00_A"/>
    <s v="GNR_WT_WIND_ONS_RG3"/>
    <x v="3"/>
    <x v="0"/>
    <x v="5"/>
    <x v="0"/>
    <x v="0"/>
    <n v="1.5800000000000002E-2"/>
  </r>
  <r>
    <x v="0"/>
    <x v="0"/>
    <x v="0"/>
    <s v="CZECH_REPUBLIC"/>
    <x v="30"/>
    <s v="CZ00_A"/>
    <s v="GNR_WT_WIND_ONS_RG3"/>
    <x v="3"/>
    <x v="0"/>
    <x v="5"/>
    <x v="1"/>
    <x v="0"/>
    <n v="-1.5799999999999995E-2"/>
  </r>
  <r>
    <x v="0"/>
    <x v="0"/>
    <x v="0"/>
    <s v="CZECH_REPUBLIC"/>
    <x v="30"/>
    <s v="CZ00_A"/>
    <s v="GNR_WT_ONS-2050"/>
    <x v="3"/>
    <x v="0"/>
    <x v="5"/>
    <x v="2"/>
    <x v="0"/>
    <n v="18.846"/>
  </r>
  <r>
    <x v="0"/>
    <x v="0"/>
    <x v="0"/>
    <s v="CZECH_REPUBLIC"/>
    <x v="30"/>
    <s v="CZ00_A"/>
    <s v="GNR_PV-2050"/>
    <x v="8"/>
    <x v="0"/>
    <x v="9"/>
    <x v="2"/>
    <x v="0"/>
    <n v="9.9730197906404729"/>
  </r>
  <r>
    <x v="0"/>
    <x v="0"/>
    <x v="0"/>
    <s v="SPAIN"/>
    <x v="31"/>
    <s v="ES_A"/>
    <s v="GNR_CC_NGAS_CND_E-56"/>
    <x v="0"/>
    <x v="0"/>
    <x v="0"/>
    <x v="0"/>
    <x v="0"/>
    <n v="24.523499000000001"/>
  </r>
  <r>
    <x v="0"/>
    <x v="0"/>
    <x v="0"/>
    <s v="SPAIN"/>
    <x v="31"/>
    <s v="ES_A"/>
    <s v="GNR_CC_NGAS_CND_E-56"/>
    <x v="0"/>
    <x v="0"/>
    <x v="0"/>
    <x v="1"/>
    <x v="0"/>
    <n v="-24.523499000000001"/>
  </r>
  <r>
    <x v="0"/>
    <x v="0"/>
    <x v="0"/>
    <s v="SPAIN"/>
    <x v="31"/>
    <s v="ES_A"/>
    <s v="GNR_RES_WTR_NOPMP"/>
    <x v="1"/>
    <x v="0"/>
    <x v="1"/>
    <x v="0"/>
    <x v="0"/>
    <n v="10.97"/>
  </r>
  <r>
    <x v="0"/>
    <x v="0"/>
    <x v="0"/>
    <s v="SPAIN"/>
    <x v="31"/>
    <s v="ES_A"/>
    <s v="GNR_ROR_WTR"/>
    <x v="1"/>
    <x v="0"/>
    <x v="2"/>
    <x v="0"/>
    <x v="0"/>
    <n v="3.35"/>
  </r>
  <r>
    <x v="0"/>
    <x v="0"/>
    <x v="0"/>
    <s v="SPAIN"/>
    <x v="31"/>
    <s v="ES_A"/>
    <s v="GNR_ST_COAL_CND_E-33"/>
    <x v="5"/>
    <x v="0"/>
    <x v="0"/>
    <x v="0"/>
    <x v="0"/>
    <n v="9.2112020000000001"/>
  </r>
  <r>
    <x v="0"/>
    <x v="0"/>
    <x v="0"/>
    <s v="SPAIN"/>
    <x v="31"/>
    <s v="ES_A"/>
    <s v="GNR_ST_COAL_CND_E-33"/>
    <x v="5"/>
    <x v="0"/>
    <x v="0"/>
    <x v="1"/>
    <x v="0"/>
    <n v="-9.2112020000000001"/>
  </r>
  <r>
    <x v="0"/>
    <x v="0"/>
    <x v="0"/>
    <s v="SPAIN"/>
    <x v="31"/>
    <s v="ES_A"/>
    <s v="GNR_ST_MSW_CND_E-20"/>
    <x v="17"/>
    <x v="0"/>
    <x v="0"/>
    <x v="0"/>
    <x v="0"/>
    <n v="5.2512460000000001"/>
  </r>
  <r>
    <x v="0"/>
    <x v="0"/>
    <x v="0"/>
    <s v="SPAIN"/>
    <x v="31"/>
    <s v="ES_A"/>
    <s v="GNR_ST_MSW_CND_E-20"/>
    <x v="17"/>
    <x v="0"/>
    <x v="0"/>
    <x v="1"/>
    <x v="0"/>
    <n v="-5.2460000000000013"/>
  </r>
  <r>
    <x v="0"/>
    <x v="0"/>
    <x v="0"/>
    <s v="SPAIN"/>
    <x v="31"/>
    <s v="ES_A"/>
    <s v="GNR_ST_NUCL_CND_E-33"/>
    <x v="11"/>
    <x v="0"/>
    <x v="0"/>
    <x v="0"/>
    <x v="0"/>
    <n v="7.117"/>
  </r>
  <r>
    <x v="0"/>
    <x v="0"/>
    <x v="0"/>
    <s v="SPAIN"/>
    <x v="31"/>
    <s v="ES_A"/>
    <s v="GNR_ST_NUCL_CND_E-33"/>
    <x v="11"/>
    <x v="0"/>
    <x v="0"/>
    <x v="1"/>
    <x v="0"/>
    <n v="-7.117"/>
  </r>
  <r>
    <x v="0"/>
    <x v="0"/>
    <x v="0"/>
    <s v="SPAIN"/>
    <x v="31"/>
    <s v="ES_A"/>
    <s v="GNR_ST_WOOD_CND_E-50"/>
    <x v="18"/>
    <x v="0"/>
    <x v="0"/>
    <x v="0"/>
    <x v="0"/>
    <n v="0.99599500000000007"/>
  </r>
  <r>
    <x v="0"/>
    <x v="0"/>
    <x v="0"/>
    <s v="SPAIN"/>
    <x v="31"/>
    <s v="ES_A"/>
    <s v="GNR_ST_WOOD_CND_E-50"/>
    <x v="18"/>
    <x v="0"/>
    <x v="0"/>
    <x v="1"/>
    <x v="0"/>
    <n v="-0.99599500000000007"/>
  </r>
  <r>
    <x v="0"/>
    <x v="0"/>
    <x v="0"/>
    <s v="SPAIN"/>
    <x v="31"/>
    <s v="ES_A"/>
    <s v="GNR_ELYS_ELEC_AEC_Y-2020"/>
    <x v="2"/>
    <x v="1"/>
    <x v="3"/>
    <x v="0"/>
    <x v="0"/>
    <n v="5.3329999999999984"/>
  </r>
  <r>
    <x v="0"/>
    <x v="0"/>
    <x v="0"/>
    <s v="SPAIN"/>
    <x v="31"/>
    <s v="ES_A"/>
    <s v="GNR_ELYS_ELEC_AEC_Y-2020"/>
    <x v="2"/>
    <x v="1"/>
    <x v="3"/>
    <x v="1"/>
    <x v="0"/>
    <n v="-1.3330000000000004"/>
  </r>
  <r>
    <x v="0"/>
    <x v="0"/>
    <x v="0"/>
    <s v="SPAIN"/>
    <x v="31"/>
    <s v="ES_A"/>
    <s v="GNR_ELYS_ELEC_AEC_Y-2050"/>
    <x v="2"/>
    <x v="1"/>
    <x v="3"/>
    <x v="2"/>
    <x v="0"/>
    <n v="102.43555847642044"/>
  </r>
  <r>
    <x v="0"/>
    <x v="0"/>
    <x v="0"/>
    <s v="SPAIN"/>
    <x v="31"/>
    <s v="ES_A"/>
    <s v="GNR_H2S_H2-CAVERN_Y-2050"/>
    <x v="6"/>
    <x v="1"/>
    <x v="7"/>
    <x v="2"/>
    <x v="0"/>
    <n v="75.815474717741466"/>
  </r>
  <r>
    <x v="0"/>
    <x v="0"/>
    <x v="0"/>
    <s v="SPAIN"/>
    <x v="31"/>
    <s v="ES_A"/>
    <s v="GNR_STEAM-REFORMING_E-70_Y-2020"/>
    <x v="0"/>
    <x v="1"/>
    <x v="4"/>
    <x v="0"/>
    <x v="0"/>
    <n v="2.5814054323348197"/>
  </r>
  <r>
    <x v="0"/>
    <x v="0"/>
    <x v="0"/>
    <s v="SPAIN"/>
    <x v="31"/>
    <s v="ES_A"/>
    <s v="GNR_STEAM-REFORMING_E-70_Y-2020"/>
    <x v="0"/>
    <x v="1"/>
    <x v="4"/>
    <x v="2"/>
    <x v="0"/>
    <n v="-1.2732925824820995E-15"/>
  </r>
  <r>
    <x v="0"/>
    <x v="0"/>
    <x v="0"/>
    <s v="SPAIN"/>
    <x v="31"/>
    <s v="ES_A"/>
    <s v="GNR_STEAM-REFORMING_E-70_Y-2020"/>
    <x v="0"/>
    <x v="1"/>
    <x v="4"/>
    <x v="1"/>
    <x v="0"/>
    <n v="-2.5814054323348183"/>
  </r>
  <r>
    <x v="0"/>
    <x v="0"/>
    <x v="0"/>
    <s v="SPAIN"/>
    <x v="31"/>
    <s v="ES00_A"/>
    <s v="GNR_PV_SUN"/>
    <x v="8"/>
    <x v="0"/>
    <x v="9"/>
    <x v="0"/>
    <x v="0"/>
    <n v="9.8849999999999998"/>
  </r>
  <r>
    <x v="0"/>
    <x v="0"/>
    <x v="0"/>
    <s v="SPAIN"/>
    <x v="31"/>
    <s v="ES00_A"/>
    <s v="GNR_PV_SUN"/>
    <x v="8"/>
    <x v="0"/>
    <x v="9"/>
    <x v="1"/>
    <x v="0"/>
    <n v="-9.8849999999999998"/>
  </r>
  <r>
    <x v="0"/>
    <x v="0"/>
    <x v="0"/>
    <s v="SPAIN"/>
    <x v="31"/>
    <s v="ES00_A"/>
    <s v="GNR_WT_WIND_ONS_RG1"/>
    <x v="3"/>
    <x v="0"/>
    <x v="5"/>
    <x v="0"/>
    <x v="0"/>
    <n v="7.5022054000000002"/>
  </r>
  <r>
    <x v="0"/>
    <x v="0"/>
    <x v="0"/>
    <s v="SPAIN"/>
    <x v="31"/>
    <s v="ES00_A"/>
    <s v="GNR_WT_WIND_ONS_RG1"/>
    <x v="3"/>
    <x v="0"/>
    <x v="5"/>
    <x v="1"/>
    <x v="0"/>
    <n v="-7.5022054000000011"/>
  </r>
  <r>
    <x v="0"/>
    <x v="0"/>
    <x v="0"/>
    <s v="SPAIN"/>
    <x v="31"/>
    <s v="ES00_A"/>
    <s v="GNR_WT_WIND_ONS_RG2"/>
    <x v="3"/>
    <x v="0"/>
    <x v="5"/>
    <x v="0"/>
    <x v="0"/>
    <n v="18.377831199999999"/>
  </r>
  <r>
    <x v="0"/>
    <x v="0"/>
    <x v="0"/>
    <s v="SPAIN"/>
    <x v="31"/>
    <s v="ES00_A"/>
    <s v="GNR_WT_WIND_ONS_RG2"/>
    <x v="3"/>
    <x v="0"/>
    <x v="5"/>
    <x v="1"/>
    <x v="0"/>
    <n v="-18.377831199999999"/>
  </r>
  <r>
    <x v="0"/>
    <x v="0"/>
    <x v="0"/>
    <s v="SPAIN"/>
    <x v="31"/>
    <s v="ES00_A"/>
    <s v="GNR_WT_WIND_ONS_RG3"/>
    <x v="3"/>
    <x v="0"/>
    <x v="5"/>
    <x v="0"/>
    <x v="0"/>
    <n v="1.3293334000000001"/>
  </r>
  <r>
    <x v="0"/>
    <x v="0"/>
    <x v="0"/>
    <s v="SPAIN"/>
    <x v="31"/>
    <s v="ES00_A"/>
    <s v="GNR_WT_WIND_ONS_RG3"/>
    <x v="3"/>
    <x v="0"/>
    <x v="5"/>
    <x v="1"/>
    <x v="0"/>
    <n v="-1.3293334000000001"/>
  </r>
  <r>
    <x v="0"/>
    <x v="0"/>
    <x v="0"/>
    <s v="SPAIN"/>
    <x v="31"/>
    <s v="ES00_A"/>
    <s v="GNR_WT_ONS-2050"/>
    <x v="3"/>
    <x v="0"/>
    <x v="5"/>
    <x v="2"/>
    <x v="0"/>
    <n v="55.77153327314668"/>
  </r>
  <r>
    <x v="0"/>
    <x v="0"/>
    <x v="0"/>
    <s v="SPAIN"/>
    <x v="31"/>
    <s v="ES00_A"/>
    <s v="GNR_PV-2050"/>
    <x v="8"/>
    <x v="0"/>
    <x v="9"/>
    <x v="2"/>
    <x v="0"/>
    <n v="274.84032892799411"/>
  </r>
  <r>
    <x v="0"/>
    <x v="0"/>
    <x v="0"/>
    <s v="PORTUGAL"/>
    <x v="32"/>
    <s v="PT_A"/>
    <s v="GNR_CC_NGAS_CND_E-56"/>
    <x v="0"/>
    <x v="0"/>
    <x v="0"/>
    <x v="0"/>
    <x v="0"/>
    <n v="3.8290000000000002"/>
  </r>
  <r>
    <x v="0"/>
    <x v="0"/>
    <x v="0"/>
    <s v="PORTUGAL"/>
    <x v="32"/>
    <s v="PT_A"/>
    <s v="GNR_CC_NGAS_CND_E-56"/>
    <x v="0"/>
    <x v="0"/>
    <x v="0"/>
    <x v="1"/>
    <x v="0"/>
    <n v="-3.8289999999999984"/>
  </r>
  <r>
    <x v="0"/>
    <x v="0"/>
    <x v="0"/>
    <s v="PORTUGAL"/>
    <x v="32"/>
    <s v="PT_A"/>
    <s v="GNR_ES_WTR_PMP"/>
    <x v="2"/>
    <x v="0"/>
    <x v="13"/>
    <x v="0"/>
    <x v="0"/>
    <n v="0.31404255319148933"/>
  </r>
  <r>
    <x v="0"/>
    <x v="0"/>
    <x v="0"/>
    <s v="PORTUGAL"/>
    <x v="32"/>
    <s v="PT_A"/>
    <s v="GNR_RES_WTR_NOPMP"/>
    <x v="1"/>
    <x v="0"/>
    <x v="1"/>
    <x v="0"/>
    <x v="0"/>
    <n v="3.492"/>
  </r>
  <r>
    <x v="0"/>
    <x v="0"/>
    <x v="0"/>
    <s v="PORTUGAL"/>
    <x v="32"/>
    <s v="PT_A"/>
    <s v="GNR_ROR_WTR"/>
    <x v="1"/>
    <x v="0"/>
    <x v="2"/>
    <x v="0"/>
    <x v="0"/>
    <n v="0.77200000000000002"/>
  </r>
  <r>
    <x v="0"/>
    <x v="0"/>
    <x v="0"/>
    <s v="PORTUGAL"/>
    <x v="32"/>
    <s v="PT_A"/>
    <s v="GNR_ST_COAL_CND_E-33"/>
    <x v="5"/>
    <x v="0"/>
    <x v="0"/>
    <x v="0"/>
    <x v="0"/>
    <n v="1.756"/>
  </r>
  <r>
    <x v="0"/>
    <x v="0"/>
    <x v="0"/>
    <s v="PORTUGAL"/>
    <x v="32"/>
    <s v="PT_A"/>
    <s v="GNR_ST_COAL_CND_E-33"/>
    <x v="5"/>
    <x v="0"/>
    <x v="0"/>
    <x v="1"/>
    <x v="0"/>
    <n v="-1.7559999999999998"/>
  </r>
  <r>
    <x v="0"/>
    <x v="0"/>
    <x v="0"/>
    <s v="PORTUGAL"/>
    <x v="32"/>
    <s v="PT_A"/>
    <s v="GNR_ST_MSW_CND_E-20"/>
    <x v="17"/>
    <x v="0"/>
    <x v="0"/>
    <x v="0"/>
    <x v="0"/>
    <n v="0.78600000000000003"/>
  </r>
  <r>
    <x v="0"/>
    <x v="0"/>
    <x v="0"/>
    <s v="PORTUGAL"/>
    <x v="32"/>
    <s v="PT_A"/>
    <s v="GNR_ST_MSW_CND_E-20"/>
    <x v="17"/>
    <x v="0"/>
    <x v="0"/>
    <x v="1"/>
    <x v="0"/>
    <n v="-0.78599999999999981"/>
  </r>
  <r>
    <x v="0"/>
    <x v="0"/>
    <x v="0"/>
    <s v="PORTUGAL"/>
    <x v="32"/>
    <s v="PT_A"/>
    <s v="GNR_ST_WOOD_CND_E-50"/>
    <x v="18"/>
    <x v="0"/>
    <x v="0"/>
    <x v="0"/>
    <x v="0"/>
    <n v="0.69800000000000006"/>
  </r>
  <r>
    <x v="0"/>
    <x v="0"/>
    <x v="0"/>
    <s v="PORTUGAL"/>
    <x v="32"/>
    <s v="PT_A"/>
    <s v="GNR_ST_WOOD_CND_E-50"/>
    <x v="18"/>
    <x v="0"/>
    <x v="0"/>
    <x v="1"/>
    <x v="0"/>
    <n v="-0.69799999999999995"/>
  </r>
  <r>
    <x v="0"/>
    <x v="0"/>
    <x v="0"/>
    <s v="PORTUGAL"/>
    <x v="32"/>
    <s v="PT_A"/>
    <s v="GNR_ELYS_ELEC_AEC_Y-2020"/>
    <x v="2"/>
    <x v="1"/>
    <x v="3"/>
    <x v="0"/>
    <x v="0"/>
    <n v="3.0659999999999941"/>
  </r>
  <r>
    <x v="0"/>
    <x v="0"/>
    <x v="0"/>
    <s v="PORTUGAL"/>
    <x v="32"/>
    <s v="PT_A"/>
    <s v="GNR_ELYS_ELEC_AEC_Y-2020"/>
    <x v="2"/>
    <x v="1"/>
    <x v="3"/>
    <x v="1"/>
    <x v="0"/>
    <n v="-0.76599999999999691"/>
  </r>
  <r>
    <x v="0"/>
    <x v="0"/>
    <x v="0"/>
    <s v="PORTUGAL"/>
    <x v="32"/>
    <s v="PT_A"/>
    <s v="GNR_ELYS_ELEC_AEC_Y-2050"/>
    <x v="2"/>
    <x v="1"/>
    <x v="3"/>
    <x v="2"/>
    <x v="0"/>
    <n v="3.7245267566665459"/>
  </r>
  <r>
    <x v="0"/>
    <x v="0"/>
    <x v="0"/>
    <s v="PORTUGAL"/>
    <x v="32"/>
    <s v="PT_A"/>
    <s v="GNR_H2S_H2-CAVERN_Y-2050"/>
    <x v="6"/>
    <x v="1"/>
    <x v="7"/>
    <x v="2"/>
    <x v="0"/>
    <n v="4.2742381072015769"/>
  </r>
  <r>
    <x v="0"/>
    <x v="0"/>
    <x v="0"/>
    <s v="PORTUGAL"/>
    <x v="32"/>
    <s v="PT_A"/>
    <s v="GNR_STEAM-REFORMING_E-70_Y-2020"/>
    <x v="0"/>
    <x v="1"/>
    <x v="4"/>
    <x v="0"/>
    <x v="0"/>
    <n v="0.48152185881072912"/>
  </r>
  <r>
    <x v="0"/>
    <x v="0"/>
    <x v="0"/>
    <s v="PORTUGAL"/>
    <x v="32"/>
    <s v="PT_A"/>
    <s v="GNR_STEAM-REFORMING_E-70_Y-2020"/>
    <x v="0"/>
    <x v="1"/>
    <x v="4"/>
    <x v="1"/>
    <x v="0"/>
    <n v="-0.48152185881072912"/>
  </r>
  <r>
    <x v="0"/>
    <x v="0"/>
    <x v="0"/>
    <s v="PORTUGAL"/>
    <x v="32"/>
    <s v="PT00_A"/>
    <s v="GNR_PV_SUN"/>
    <x v="8"/>
    <x v="0"/>
    <x v="9"/>
    <x v="0"/>
    <x v="0"/>
    <n v="0.73"/>
  </r>
  <r>
    <x v="0"/>
    <x v="0"/>
    <x v="0"/>
    <s v="PORTUGAL"/>
    <x v="32"/>
    <s v="PT00_A"/>
    <s v="GNR_PV_SUN"/>
    <x v="8"/>
    <x v="0"/>
    <x v="9"/>
    <x v="1"/>
    <x v="0"/>
    <n v="-0.73"/>
  </r>
  <r>
    <x v="0"/>
    <x v="0"/>
    <x v="0"/>
    <s v="PORTUGAL"/>
    <x v="32"/>
    <s v="PT00_A"/>
    <s v="GNR_WT_WIND_ONS_RG1"/>
    <x v="3"/>
    <x v="0"/>
    <x v="5"/>
    <x v="0"/>
    <x v="0"/>
    <n v="1.4403658000000001"/>
  </r>
  <r>
    <x v="0"/>
    <x v="0"/>
    <x v="0"/>
    <s v="PORTUGAL"/>
    <x v="32"/>
    <s v="PT00_A"/>
    <s v="GNR_WT_WIND_ONS_RG1"/>
    <x v="3"/>
    <x v="0"/>
    <x v="5"/>
    <x v="1"/>
    <x v="0"/>
    <n v="-1.4403658000000001"/>
  </r>
  <r>
    <x v="0"/>
    <x v="0"/>
    <x v="0"/>
    <s v="PORTUGAL"/>
    <x v="32"/>
    <s v="PT00_A"/>
    <s v="GNR_WT_WIND_ONS_RG2"/>
    <x v="3"/>
    <x v="0"/>
    <x v="5"/>
    <x v="0"/>
    <x v="0"/>
    <n v="3.5284024"/>
  </r>
  <r>
    <x v="0"/>
    <x v="0"/>
    <x v="0"/>
    <s v="PORTUGAL"/>
    <x v="32"/>
    <s v="PT00_A"/>
    <s v="GNR_WT_WIND_ONS_RG2"/>
    <x v="3"/>
    <x v="0"/>
    <x v="5"/>
    <x v="1"/>
    <x v="0"/>
    <n v="-3.5284023999999983"/>
  </r>
  <r>
    <x v="0"/>
    <x v="0"/>
    <x v="0"/>
    <s v="PORTUGAL"/>
    <x v="32"/>
    <s v="PT00_A"/>
    <s v="GNR_WT_WIND_ONS_RG3"/>
    <x v="3"/>
    <x v="0"/>
    <x v="5"/>
    <x v="0"/>
    <x v="0"/>
    <n v="0.2552218"/>
  </r>
  <r>
    <x v="0"/>
    <x v="0"/>
    <x v="0"/>
    <s v="PORTUGAL"/>
    <x v="32"/>
    <s v="PT00_A"/>
    <s v="GNR_WT_WIND_ONS_RG3"/>
    <x v="3"/>
    <x v="0"/>
    <x v="5"/>
    <x v="1"/>
    <x v="0"/>
    <n v="-0.2552218"/>
  </r>
  <r>
    <x v="0"/>
    <x v="0"/>
    <x v="0"/>
    <s v="PORTUGAL"/>
    <x v="32"/>
    <s v="PT00_A"/>
    <s v="GNR_PV-2050"/>
    <x v="8"/>
    <x v="0"/>
    <x v="9"/>
    <x v="2"/>
    <x v="0"/>
    <n v="22.96646250598701"/>
  </r>
  <r>
    <x v="0"/>
    <x v="0"/>
    <x v="0"/>
    <s v="SLOVAKIA"/>
    <x v="33"/>
    <s v="SK_A"/>
    <s v="GNR_CC_NGAS_CND_E-56"/>
    <x v="0"/>
    <x v="0"/>
    <x v="0"/>
    <x v="0"/>
    <x v="0"/>
    <n v="1.1520000000000001"/>
  </r>
  <r>
    <x v="0"/>
    <x v="0"/>
    <x v="0"/>
    <s v="SLOVAKIA"/>
    <x v="33"/>
    <s v="SK_A"/>
    <s v="GNR_CC_NGAS_CND_E-56"/>
    <x v="0"/>
    <x v="0"/>
    <x v="0"/>
    <x v="1"/>
    <x v="0"/>
    <n v="-1.1520000000000004"/>
  </r>
  <r>
    <x v="0"/>
    <x v="0"/>
    <x v="0"/>
    <s v="SLOVAKIA"/>
    <x v="33"/>
    <s v="SK_A"/>
    <s v="GNR_ES_WTR_PMP"/>
    <x v="2"/>
    <x v="0"/>
    <x v="13"/>
    <x v="0"/>
    <x v="0"/>
    <n v="9.7446808510638291E-2"/>
  </r>
  <r>
    <x v="0"/>
    <x v="0"/>
    <x v="0"/>
    <s v="SLOVAKIA"/>
    <x v="33"/>
    <s v="SK_A"/>
    <s v="GNR_RES_WTR_NOPMP"/>
    <x v="1"/>
    <x v="0"/>
    <x v="1"/>
    <x v="0"/>
    <x v="0"/>
    <n v="0.41799999999999998"/>
  </r>
  <r>
    <x v="0"/>
    <x v="0"/>
    <x v="0"/>
    <s v="SLOVAKIA"/>
    <x v="33"/>
    <s v="SK_A"/>
    <s v="GNR_ROR_WTR"/>
    <x v="1"/>
    <x v="0"/>
    <x v="2"/>
    <x v="0"/>
    <x v="0"/>
    <n v="1.21"/>
  </r>
  <r>
    <x v="0"/>
    <x v="0"/>
    <x v="0"/>
    <s v="SLOVAKIA"/>
    <x v="33"/>
    <s v="SK_A"/>
    <s v="GNR_ST_COAL_CND_E-33"/>
    <x v="5"/>
    <x v="0"/>
    <x v="0"/>
    <x v="0"/>
    <x v="0"/>
    <n v="0.309"/>
  </r>
  <r>
    <x v="0"/>
    <x v="0"/>
    <x v="0"/>
    <s v="SLOVAKIA"/>
    <x v="33"/>
    <s v="SK_A"/>
    <s v="GNR_ST_COAL_CND_E-33"/>
    <x v="5"/>
    <x v="0"/>
    <x v="0"/>
    <x v="1"/>
    <x v="0"/>
    <n v="-0.30899999999999994"/>
  </r>
  <r>
    <x v="0"/>
    <x v="0"/>
    <x v="0"/>
    <s v="SLOVAKIA"/>
    <x v="33"/>
    <s v="SK_A"/>
    <s v="GNR_ST_FUELOIL_CND_E-35"/>
    <x v="10"/>
    <x v="0"/>
    <x v="0"/>
    <x v="0"/>
    <x v="0"/>
    <n v="0.25700000000000001"/>
  </r>
  <r>
    <x v="0"/>
    <x v="0"/>
    <x v="0"/>
    <s v="SLOVAKIA"/>
    <x v="33"/>
    <s v="SK_A"/>
    <s v="GNR_ST_FUELOIL_CND_E-35"/>
    <x v="10"/>
    <x v="0"/>
    <x v="0"/>
    <x v="1"/>
    <x v="0"/>
    <n v="-0.25699999999999995"/>
  </r>
  <r>
    <x v="0"/>
    <x v="0"/>
    <x v="0"/>
    <s v="SLOVAKIA"/>
    <x v="33"/>
    <s v="SK_A"/>
    <s v="GNR_ST_NUCL_CND_E-33"/>
    <x v="11"/>
    <x v="0"/>
    <x v="0"/>
    <x v="0"/>
    <x v="0"/>
    <n v="1.94"/>
  </r>
  <r>
    <x v="0"/>
    <x v="0"/>
    <x v="0"/>
    <s v="SLOVAKIA"/>
    <x v="33"/>
    <s v="SK_A"/>
    <s v="GNR_ST_NUCL_CND_E-33"/>
    <x v="11"/>
    <x v="0"/>
    <x v="0"/>
    <x v="1"/>
    <x v="0"/>
    <n v="-1.94"/>
  </r>
  <r>
    <x v="0"/>
    <x v="0"/>
    <x v="0"/>
    <s v="SLOVAKIA"/>
    <x v="33"/>
    <s v="SK_A"/>
    <s v="GNR_ST_WOOD_CND_E-50"/>
    <x v="18"/>
    <x v="0"/>
    <x v="0"/>
    <x v="0"/>
    <x v="0"/>
    <n v="0.224"/>
  </r>
  <r>
    <x v="0"/>
    <x v="0"/>
    <x v="0"/>
    <s v="SLOVAKIA"/>
    <x v="33"/>
    <s v="SK_A"/>
    <s v="GNR_ST_WOOD_CND_E-50"/>
    <x v="18"/>
    <x v="0"/>
    <x v="0"/>
    <x v="1"/>
    <x v="0"/>
    <n v="-0.22399999999999995"/>
  </r>
  <r>
    <x v="0"/>
    <x v="0"/>
    <x v="0"/>
    <s v="SLOVAKIA"/>
    <x v="33"/>
    <s v="SK00_A"/>
    <s v="GNR_PV_SUN"/>
    <x v="8"/>
    <x v="0"/>
    <x v="9"/>
    <x v="0"/>
    <x v="0"/>
    <n v="0.53100000000000003"/>
  </r>
  <r>
    <x v="0"/>
    <x v="0"/>
    <x v="0"/>
    <s v="SLOVAKIA"/>
    <x v="33"/>
    <s v="SK00_A"/>
    <s v="GNR_PV_SUN"/>
    <x v="8"/>
    <x v="0"/>
    <x v="9"/>
    <x v="1"/>
    <x v="0"/>
    <n v="-0.53100000000000003"/>
  </r>
  <r>
    <x v="0"/>
    <x v="0"/>
    <x v="0"/>
    <s v="SLOVAKIA"/>
    <x v="33"/>
    <s v="SK00_A"/>
    <s v="GNR_WT_WIND_ONS_RG1"/>
    <x v="3"/>
    <x v="0"/>
    <x v="5"/>
    <x v="0"/>
    <x v="0"/>
    <n v="9.0000000000000008E-4"/>
  </r>
  <r>
    <x v="0"/>
    <x v="0"/>
    <x v="0"/>
    <s v="SLOVAKIA"/>
    <x v="33"/>
    <s v="SK00_A"/>
    <s v="GNR_WT_WIND_ONS_RG1"/>
    <x v="3"/>
    <x v="0"/>
    <x v="5"/>
    <x v="1"/>
    <x v="0"/>
    <n v="-8.9999999999999998E-4"/>
  </r>
  <r>
    <x v="0"/>
    <x v="0"/>
    <x v="0"/>
    <s v="SLOVAKIA"/>
    <x v="33"/>
    <s v="SK00_A"/>
    <s v="GNR_WT_WIND_ONS_RG2"/>
    <x v="3"/>
    <x v="0"/>
    <x v="5"/>
    <x v="0"/>
    <x v="0"/>
    <n v="1.9499999999999999E-3"/>
  </r>
  <r>
    <x v="0"/>
    <x v="0"/>
    <x v="0"/>
    <s v="SLOVAKIA"/>
    <x v="33"/>
    <s v="SK00_A"/>
    <s v="GNR_WT_WIND_ONS_RG2"/>
    <x v="3"/>
    <x v="0"/>
    <x v="5"/>
    <x v="1"/>
    <x v="0"/>
    <n v="-1.9500000000000001E-3"/>
  </r>
  <r>
    <x v="0"/>
    <x v="0"/>
    <x v="0"/>
    <s v="SLOVAKIA"/>
    <x v="33"/>
    <s v="SK00_A"/>
    <s v="GNR_WT_WIND_ONS_RG3"/>
    <x v="3"/>
    <x v="0"/>
    <x v="5"/>
    <x v="0"/>
    <x v="0"/>
    <n v="1.4999999999999999E-4"/>
  </r>
  <r>
    <x v="0"/>
    <x v="0"/>
    <x v="0"/>
    <s v="SLOVAKIA"/>
    <x v="33"/>
    <s v="SK00_A"/>
    <s v="GNR_WT_WIND_ONS_RG3"/>
    <x v="3"/>
    <x v="0"/>
    <x v="5"/>
    <x v="1"/>
    <x v="0"/>
    <n v="-1.5000000000000001E-4"/>
  </r>
  <r>
    <x v="0"/>
    <x v="0"/>
    <x v="0"/>
    <s v="SLOVAKIA"/>
    <x v="33"/>
    <s v="SK00_A"/>
    <s v="GNR_PV-2050"/>
    <x v="8"/>
    <x v="0"/>
    <x v="9"/>
    <x v="2"/>
    <x v="0"/>
    <n v="6.9676889358952794"/>
  </r>
  <r>
    <x v="0"/>
    <x v="0"/>
    <x v="0"/>
    <s v="HUNGARY"/>
    <x v="34"/>
    <s v="HU_A"/>
    <s v="GNR_CC_NGAS_CND_E-56"/>
    <x v="0"/>
    <x v="0"/>
    <x v="0"/>
    <x v="0"/>
    <x v="0"/>
    <n v="4.03"/>
  </r>
  <r>
    <x v="0"/>
    <x v="0"/>
    <x v="0"/>
    <s v="HUNGARY"/>
    <x v="34"/>
    <s v="HU_A"/>
    <s v="GNR_CC_NGAS_CND_E-56"/>
    <x v="0"/>
    <x v="0"/>
    <x v="0"/>
    <x v="1"/>
    <x v="0"/>
    <n v="-4.03"/>
  </r>
  <r>
    <x v="0"/>
    <x v="0"/>
    <x v="0"/>
    <s v="HUNGARY"/>
    <x v="34"/>
    <s v="HU_A"/>
    <s v="GNR_GEO_HEAT_EO"/>
    <x v="15"/>
    <x v="0"/>
    <x v="0"/>
    <x v="0"/>
    <x v="0"/>
    <n v="3.0000000000000001E-3"/>
  </r>
  <r>
    <x v="0"/>
    <x v="0"/>
    <x v="0"/>
    <s v="HUNGARY"/>
    <x v="34"/>
    <s v="HU_A"/>
    <s v="GNR_GEO_HEAT_EO"/>
    <x v="15"/>
    <x v="0"/>
    <x v="0"/>
    <x v="1"/>
    <x v="0"/>
    <n v="-2.9999999999999996E-3"/>
  </r>
  <r>
    <x v="0"/>
    <x v="0"/>
    <x v="0"/>
    <s v="HUNGARY"/>
    <x v="34"/>
    <s v="HU_A"/>
    <s v="GNR_RES_WTR_NOPMP"/>
    <x v="1"/>
    <x v="0"/>
    <x v="1"/>
    <x v="0"/>
    <x v="0"/>
    <n v="2.8000000000000001E-2"/>
  </r>
  <r>
    <x v="0"/>
    <x v="0"/>
    <x v="0"/>
    <s v="HUNGARY"/>
    <x v="34"/>
    <s v="HU_A"/>
    <s v="GNR_ROR_WTR"/>
    <x v="1"/>
    <x v="0"/>
    <x v="2"/>
    <x v="0"/>
    <x v="0"/>
    <n v="1.9699999999999999E-2"/>
  </r>
  <r>
    <x v="0"/>
    <x v="0"/>
    <x v="0"/>
    <s v="HUNGARY"/>
    <x v="34"/>
    <s v="HU_A"/>
    <s v="GNR_ST_COAL_CND_E-33"/>
    <x v="5"/>
    <x v="0"/>
    <x v="0"/>
    <x v="0"/>
    <x v="0"/>
    <n v="1.0489999999999999"/>
  </r>
  <r>
    <x v="0"/>
    <x v="0"/>
    <x v="0"/>
    <s v="HUNGARY"/>
    <x v="34"/>
    <s v="HU_A"/>
    <s v="GNR_ST_COAL_CND_E-33"/>
    <x v="5"/>
    <x v="0"/>
    <x v="0"/>
    <x v="1"/>
    <x v="0"/>
    <n v="-1.0490000000000002"/>
  </r>
  <r>
    <x v="0"/>
    <x v="0"/>
    <x v="0"/>
    <s v="HUNGARY"/>
    <x v="34"/>
    <s v="HU_A"/>
    <s v="GNR_ST_FUELOIL_CND_E-35"/>
    <x v="10"/>
    <x v="0"/>
    <x v="0"/>
    <x v="0"/>
    <x v="0"/>
    <n v="0.42"/>
  </r>
  <r>
    <x v="0"/>
    <x v="0"/>
    <x v="0"/>
    <s v="HUNGARY"/>
    <x v="34"/>
    <s v="HU_A"/>
    <s v="GNR_ST_FUELOIL_CND_E-35"/>
    <x v="10"/>
    <x v="0"/>
    <x v="0"/>
    <x v="1"/>
    <x v="0"/>
    <n v="-0.42"/>
  </r>
  <r>
    <x v="0"/>
    <x v="0"/>
    <x v="0"/>
    <s v="HUNGARY"/>
    <x v="34"/>
    <s v="HU_A"/>
    <s v="GNR_ST_MSW_CND_E-20"/>
    <x v="17"/>
    <x v="0"/>
    <x v="0"/>
    <x v="0"/>
    <x v="0"/>
    <n v="5.9000000000000004E-2"/>
  </r>
  <r>
    <x v="0"/>
    <x v="0"/>
    <x v="0"/>
    <s v="HUNGARY"/>
    <x v="34"/>
    <s v="HU_A"/>
    <s v="GNR_ST_MSW_CND_E-20"/>
    <x v="17"/>
    <x v="0"/>
    <x v="0"/>
    <x v="1"/>
    <x v="0"/>
    <n v="-5.9000000000000025E-2"/>
  </r>
  <r>
    <x v="0"/>
    <x v="0"/>
    <x v="0"/>
    <s v="HUNGARY"/>
    <x v="34"/>
    <s v="HU_A"/>
    <s v="GNR_ST_NUCL_CND_E-33"/>
    <x v="11"/>
    <x v="0"/>
    <x v="0"/>
    <x v="0"/>
    <x v="0"/>
    <n v="1.8989"/>
  </r>
  <r>
    <x v="0"/>
    <x v="0"/>
    <x v="0"/>
    <s v="HUNGARY"/>
    <x v="34"/>
    <s v="HU_A"/>
    <s v="GNR_ST_NUCL_CND_E-33"/>
    <x v="11"/>
    <x v="0"/>
    <x v="0"/>
    <x v="1"/>
    <x v="0"/>
    <n v="-1.7253165712291296"/>
  </r>
  <r>
    <x v="0"/>
    <x v="0"/>
    <x v="0"/>
    <s v="HUNGARY"/>
    <x v="34"/>
    <s v="HU_A"/>
    <s v="GNR_ST_WOOD_CND_E-50"/>
    <x v="18"/>
    <x v="0"/>
    <x v="0"/>
    <x v="0"/>
    <x v="0"/>
    <n v="0.24099999999999999"/>
  </r>
  <r>
    <x v="0"/>
    <x v="0"/>
    <x v="0"/>
    <s v="HUNGARY"/>
    <x v="34"/>
    <s v="HU_A"/>
    <s v="GNR_ST_WOOD_CND_E-50"/>
    <x v="18"/>
    <x v="0"/>
    <x v="0"/>
    <x v="1"/>
    <x v="0"/>
    <n v="-0.24100000000000013"/>
  </r>
  <r>
    <x v="0"/>
    <x v="0"/>
    <x v="0"/>
    <s v="HUNGARY"/>
    <x v="34"/>
    <s v="HU00_A"/>
    <s v="GNR_PV_SUN"/>
    <x v="8"/>
    <x v="0"/>
    <x v="9"/>
    <x v="0"/>
    <x v="0"/>
    <n v="1.407"/>
  </r>
  <r>
    <x v="0"/>
    <x v="0"/>
    <x v="0"/>
    <s v="HUNGARY"/>
    <x v="34"/>
    <s v="HU00_A"/>
    <s v="GNR_PV_SUN"/>
    <x v="8"/>
    <x v="0"/>
    <x v="9"/>
    <x v="1"/>
    <x v="0"/>
    <n v="-1.4069999999999998"/>
  </r>
  <r>
    <x v="0"/>
    <x v="0"/>
    <x v="0"/>
    <s v="HUNGARY"/>
    <x v="34"/>
    <s v="HU00_A"/>
    <s v="GNR_WT_WIND_ONS_RG1"/>
    <x v="3"/>
    <x v="0"/>
    <x v="5"/>
    <x v="0"/>
    <x v="0"/>
    <n v="9.6900000000000014E-2"/>
  </r>
  <r>
    <x v="0"/>
    <x v="0"/>
    <x v="0"/>
    <s v="HUNGARY"/>
    <x v="34"/>
    <s v="HU00_A"/>
    <s v="GNR_WT_WIND_ONS_RG1"/>
    <x v="3"/>
    <x v="0"/>
    <x v="5"/>
    <x v="1"/>
    <x v="0"/>
    <n v="-9.69E-2"/>
  </r>
  <r>
    <x v="0"/>
    <x v="0"/>
    <x v="0"/>
    <s v="HUNGARY"/>
    <x v="34"/>
    <s v="HU00_A"/>
    <s v="GNR_WT_WIND_ONS_RG2"/>
    <x v="3"/>
    <x v="0"/>
    <x v="5"/>
    <x v="0"/>
    <x v="0"/>
    <n v="0.20995"/>
  </r>
  <r>
    <x v="0"/>
    <x v="0"/>
    <x v="0"/>
    <s v="HUNGARY"/>
    <x v="34"/>
    <s v="HU00_A"/>
    <s v="GNR_WT_WIND_ONS_RG2"/>
    <x v="3"/>
    <x v="0"/>
    <x v="5"/>
    <x v="1"/>
    <x v="0"/>
    <n v="-0.20995000000000003"/>
  </r>
  <r>
    <x v="0"/>
    <x v="0"/>
    <x v="0"/>
    <s v="HUNGARY"/>
    <x v="34"/>
    <s v="HU00_A"/>
    <s v="GNR_WT_WIND_ONS_RG3"/>
    <x v="3"/>
    <x v="0"/>
    <x v="5"/>
    <x v="0"/>
    <x v="0"/>
    <n v="1.6149999999999998E-2"/>
  </r>
  <r>
    <x v="0"/>
    <x v="0"/>
    <x v="0"/>
    <s v="HUNGARY"/>
    <x v="34"/>
    <s v="HU00_A"/>
    <s v="GNR_WT_WIND_ONS_RG3"/>
    <x v="3"/>
    <x v="0"/>
    <x v="5"/>
    <x v="1"/>
    <x v="0"/>
    <n v="-1.6149999999999998E-2"/>
  </r>
  <r>
    <x v="0"/>
    <x v="0"/>
    <x v="0"/>
    <s v="HUNGARY"/>
    <x v="34"/>
    <s v="HU00_A"/>
    <s v="GNR_WT_ONS-2050"/>
    <x v="3"/>
    <x v="0"/>
    <x v="5"/>
    <x v="2"/>
    <x v="0"/>
    <n v="0.6"/>
  </r>
  <r>
    <x v="0"/>
    <x v="0"/>
    <x v="0"/>
    <s v="SLOVENIA"/>
    <x v="35"/>
    <s v="SI_A"/>
    <s v="GNR_CC_NGAS_CND_E-56"/>
    <x v="0"/>
    <x v="0"/>
    <x v="0"/>
    <x v="0"/>
    <x v="0"/>
    <n v="0.54600000000000004"/>
  </r>
  <r>
    <x v="0"/>
    <x v="0"/>
    <x v="0"/>
    <s v="SLOVENIA"/>
    <x v="35"/>
    <s v="SI_A"/>
    <s v="GNR_CC_NGAS_CND_E-56"/>
    <x v="0"/>
    <x v="0"/>
    <x v="0"/>
    <x v="1"/>
    <x v="0"/>
    <n v="-0.54600000000000004"/>
  </r>
  <r>
    <x v="0"/>
    <x v="0"/>
    <x v="0"/>
    <s v="SLOVENIA"/>
    <x v="35"/>
    <s v="SI_A"/>
    <s v="GNR_ROR_WTR"/>
    <x v="1"/>
    <x v="0"/>
    <x v="2"/>
    <x v="0"/>
    <x v="0"/>
    <n v="1.111"/>
  </r>
  <r>
    <x v="0"/>
    <x v="0"/>
    <x v="0"/>
    <s v="SLOVENIA"/>
    <x v="35"/>
    <s v="SI_A"/>
    <s v="GNR_ST_COAL_CND_E-33"/>
    <x v="5"/>
    <x v="0"/>
    <x v="0"/>
    <x v="0"/>
    <x v="0"/>
    <n v="0.96699999999999997"/>
  </r>
  <r>
    <x v="0"/>
    <x v="0"/>
    <x v="0"/>
    <s v="SLOVENIA"/>
    <x v="35"/>
    <s v="SI_A"/>
    <s v="GNR_ST_COAL_CND_E-33"/>
    <x v="5"/>
    <x v="0"/>
    <x v="0"/>
    <x v="1"/>
    <x v="0"/>
    <n v="-0.96700000000000019"/>
  </r>
  <r>
    <x v="0"/>
    <x v="0"/>
    <x v="0"/>
    <s v="SLOVENIA"/>
    <x v="35"/>
    <s v="SI_A"/>
    <s v="GNR_ST_FUELOIL_CND_E-35"/>
    <x v="10"/>
    <x v="0"/>
    <x v="0"/>
    <x v="0"/>
    <x v="0"/>
    <n v="5.8000000000000003E-2"/>
  </r>
  <r>
    <x v="0"/>
    <x v="0"/>
    <x v="0"/>
    <s v="SLOVENIA"/>
    <x v="35"/>
    <s v="SI_A"/>
    <s v="GNR_ST_FUELOIL_CND_E-35"/>
    <x v="10"/>
    <x v="0"/>
    <x v="0"/>
    <x v="1"/>
    <x v="0"/>
    <n v="-5.7999999999999989E-2"/>
  </r>
  <r>
    <x v="0"/>
    <x v="0"/>
    <x v="0"/>
    <s v="SLOVENIA"/>
    <x v="35"/>
    <s v="SI_A"/>
    <s v="GNR_ST_MSW_CND_E-20"/>
    <x v="17"/>
    <x v="0"/>
    <x v="0"/>
    <x v="0"/>
    <x v="0"/>
    <n v="3.7999999999999999E-2"/>
  </r>
  <r>
    <x v="0"/>
    <x v="0"/>
    <x v="0"/>
    <s v="SLOVENIA"/>
    <x v="35"/>
    <s v="SI_A"/>
    <s v="GNR_ST_MSW_CND_E-20"/>
    <x v="17"/>
    <x v="0"/>
    <x v="0"/>
    <x v="1"/>
    <x v="0"/>
    <n v="-3.7999999999999992E-2"/>
  </r>
  <r>
    <x v="0"/>
    <x v="0"/>
    <x v="0"/>
    <s v="SLOVENIA"/>
    <x v="35"/>
    <s v="SI_A"/>
    <s v="GNR_ST_NUCL_CND_E-33"/>
    <x v="11"/>
    <x v="0"/>
    <x v="0"/>
    <x v="0"/>
    <x v="0"/>
    <n v="0.69600000000000006"/>
  </r>
  <r>
    <x v="0"/>
    <x v="0"/>
    <x v="0"/>
    <s v="SLOVENIA"/>
    <x v="35"/>
    <s v="SI_A"/>
    <s v="GNR_ST_WOOD_CND_E-50"/>
    <x v="18"/>
    <x v="0"/>
    <x v="0"/>
    <x v="0"/>
    <x v="0"/>
    <n v="2.3E-2"/>
  </r>
  <r>
    <x v="0"/>
    <x v="0"/>
    <x v="0"/>
    <s v="SLOVENIA"/>
    <x v="35"/>
    <s v="SI_A"/>
    <s v="GNR_ST_WOOD_CND_E-50"/>
    <x v="18"/>
    <x v="0"/>
    <x v="0"/>
    <x v="1"/>
    <x v="0"/>
    <n v="-2.2999999999999993E-2"/>
  </r>
  <r>
    <x v="0"/>
    <x v="0"/>
    <x v="0"/>
    <s v="SLOVENIA"/>
    <x v="35"/>
    <s v="SI00_A"/>
    <s v="GNR_PV_SUN"/>
    <x v="8"/>
    <x v="0"/>
    <x v="9"/>
    <x v="0"/>
    <x v="0"/>
    <n v="0.27800000000000002"/>
  </r>
  <r>
    <x v="0"/>
    <x v="0"/>
    <x v="0"/>
    <s v="SLOVENIA"/>
    <x v="35"/>
    <s v="SI00_A"/>
    <s v="GNR_PV_SUN"/>
    <x v="8"/>
    <x v="0"/>
    <x v="9"/>
    <x v="1"/>
    <x v="0"/>
    <n v="-0.27800000000000002"/>
  </r>
  <r>
    <x v="0"/>
    <x v="0"/>
    <x v="0"/>
    <s v="SLOVENIA"/>
    <x v="35"/>
    <s v="SI00_A"/>
    <s v="GNR_WT_WIND_ONS_RG1"/>
    <x v="3"/>
    <x v="0"/>
    <x v="5"/>
    <x v="0"/>
    <x v="0"/>
    <n v="9.0000000000000008E-4"/>
  </r>
  <r>
    <x v="0"/>
    <x v="0"/>
    <x v="0"/>
    <s v="SLOVENIA"/>
    <x v="35"/>
    <s v="SI00_A"/>
    <s v="GNR_WT_WIND_ONS_RG1"/>
    <x v="3"/>
    <x v="0"/>
    <x v="5"/>
    <x v="1"/>
    <x v="0"/>
    <n v="-8.9999999999999998E-4"/>
  </r>
  <r>
    <x v="0"/>
    <x v="0"/>
    <x v="0"/>
    <s v="SLOVENIA"/>
    <x v="35"/>
    <s v="SI00_A"/>
    <s v="GNR_WT_WIND_ONS_RG2"/>
    <x v="3"/>
    <x v="0"/>
    <x v="5"/>
    <x v="0"/>
    <x v="0"/>
    <n v="1.9499999999999999E-3"/>
  </r>
  <r>
    <x v="0"/>
    <x v="0"/>
    <x v="0"/>
    <s v="SLOVENIA"/>
    <x v="35"/>
    <s v="SI00_A"/>
    <s v="GNR_WT_WIND_ONS_RG2"/>
    <x v="3"/>
    <x v="0"/>
    <x v="5"/>
    <x v="1"/>
    <x v="0"/>
    <n v="-1.9500000000000001E-3"/>
  </r>
  <r>
    <x v="0"/>
    <x v="0"/>
    <x v="0"/>
    <s v="SLOVENIA"/>
    <x v="35"/>
    <s v="SI00_A"/>
    <s v="GNR_WT_WIND_ONS_RG3"/>
    <x v="3"/>
    <x v="0"/>
    <x v="5"/>
    <x v="0"/>
    <x v="0"/>
    <n v="1.4999999999999999E-4"/>
  </r>
  <r>
    <x v="0"/>
    <x v="0"/>
    <x v="0"/>
    <s v="SLOVENIA"/>
    <x v="35"/>
    <s v="SI00_A"/>
    <s v="GNR_WT_WIND_ONS_RG3"/>
    <x v="3"/>
    <x v="0"/>
    <x v="5"/>
    <x v="1"/>
    <x v="0"/>
    <n v="-1.5000000000000001E-4"/>
  </r>
  <r>
    <x v="0"/>
    <x v="0"/>
    <x v="0"/>
    <s v="SLOVENIA"/>
    <x v="35"/>
    <s v="SI00_A"/>
    <s v="GNR_PV-2050"/>
    <x v="8"/>
    <x v="0"/>
    <x v="9"/>
    <x v="2"/>
    <x v="0"/>
    <n v="7.1033114739112291"/>
  </r>
  <r>
    <x v="0"/>
    <x v="0"/>
    <x v="0"/>
    <s v="CROATIA"/>
    <x v="36"/>
    <s v="HR_A"/>
    <s v="GNR_CC_NGAS_CND_E-56"/>
    <x v="0"/>
    <x v="0"/>
    <x v="0"/>
    <x v="0"/>
    <x v="0"/>
    <n v="0.74299999999999999"/>
  </r>
  <r>
    <x v="0"/>
    <x v="0"/>
    <x v="0"/>
    <s v="CROATIA"/>
    <x v="36"/>
    <s v="HR_A"/>
    <s v="GNR_CC_NGAS_CND_E-56"/>
    <x v="0"/>
    <x v="0"/>
    <x v="0"/>
    <x v="1"/>
    <x v="0"/>
    <n v="-0.74299999999999988"/>
  </r>
  <r>
    <x v="0"/>
    <x v="0"/>
    <x v="0"/>
    <s v="CROATIA"/>
    <x v="36"/>
    <s v="HR_A"/>
    <s v="GNR_ES_WTR_PMP"/>
    <x v="2"/>
    <x v="0"/>
    <x v="13"/>
    <x v="0"/>
    <x v="0"/>
    <n v="2.9893617021276596E-2"/>
  </r>
  <r>
    <x v="0"/>
    <x v="0"/>
    <x v="0"/>
    <s v="CROATIA"/>
    <x v="36"/>
    <s v="HR_A"/>
    <s v="GNR_GEO_HEAT_EO"/>
    <x v="15"/>
    <x v="0"/>
    <x v="0"/>
    <x v="0"/>
    <x v="0"/>
    <n v="0.01"/>
  </r>
  <r>
    <x v="0"/>
    <x v="0"/>
    <x v="0"/>
    <s v="CROATIA"/>
    <x v="36"/>
    <s v="HR_A"/>
    <s v="GNR_GEO_HEAT_EO"/>
    <x v="15"/>
    <x v="0"/>
    <x v="0"/>
    <x v="1"/>
    <x v="0"/>
    <n v="-0.01"/>
  </r>
  <r>
    <x v="0"/>
    <x v="0"/>
    <x v="0"/>
    <s v="CROATIA"/>
    <x v="36"/>
    <s v="HR_A"/>
    <s v="GNR_RES_WTR_NOPMP"/>
    <x v="1"/>
    <x v="0"/>
    <x v="1"/>
    <x v="0"/>
    <x v="0"/>
    <n v="1.444"/>
  </r>
  <r>
    <x v="0"/>
    <x v="0"/>
    <x v="0"/>
    <s v="CROATIA"/>
    <x v="36"/>
    <s v="HR_A"/>
    <s v="GNR_ROR_WTR"/>
    <x v="1"/>
    <x v="0"/>
    <x v="2"/>
    <x v="0"/>
    <x v="0"/>
    <n v="0.42099999999999999"/>
  </r>
  <r>
    <x v="0"/>
    <x v="0"/>
    <x v="0"/>
    <s v="CROATIA"/>
    <x v="36"/>
    <s v="HR_A"/>
    <s v="GNR_ST_COAL_CND_E-33"/>
    <x v="5"/>
    <x v="0"/>
    <x v="0"/>
    <x v="0"/>
    <x v="0"/>
    <n v="0.33200000000000002"/>
  </r>
  <r>
    <x v="0"/>
    <x v="0"/>
    <x v="0"/>
    <s v="CROATIA"/>
    <x v="36"/>
    <s v="HR_A"/>
    <s v="GNR_ST_COAL_CND_E-33"/>
    <x v="5"/>
    <x v="0"/>
    <x v="0"/>
    <x v="1"/>
    <x v="0"/>
    <n v="-0.33200000000000013"/>
  </r>
  <r>
    <x v="0"/>
    <x v="0"/>
    <x v="0"/>
    <s v="CROATIA"/>
    <x v="36"/>
    <s v="HR_A"/>
    <s v="GNR_ST_FUELOIL_CND_E-35"/>
    <x v="10"/>
    <x v="0"/>
    <x v="0"/>
    <x v="0"/>
    <x v="0"/>
    <n v="0.93700000000000006"/>
  </r>
  <r>
    <x v="0"/>
    <x v="0"/>
    <x v="0"/>
    <s v="CROATIA"/>
    <x v="36"/>
    <s v="HR_A"/>
    <s v="GNR_ST_FUELOIL_CND_E-35"/>
    <x v="10"/>
    <x v="0"/>
    <x v="0"/>
    <x v="1"/>
    <x v="0"/>
    <n v="-0.93700000000000028"/>
  </r>
  <r>
    <x v="0"/>
    <x v="0"/>
    <x v="0"/>
    <s v="CROATIA"/>
    <x v="36"/>
    <s v="HR_A"/>
    <s v="GNR_ST_MSW_CND_E-20"/>
    <x v="17"/>
    <x v="0"/>
    <x v="0"/>
    <x v="0"/>
    <x v="0"/>
    <n v="6.0000000000000001E-3"/>
  </r>
  <r>
    <x v="0"/>
    <x v="0"/>
    <x v="0"/>
    <s v="CROATIA"/>
    <x v="36"/>
    <s v="HR_A"/>
    <s v="GNR_ST_MSW_CND_E-20"/>
    <x v="17"/>
    <x v="0"/>
    <x v="0"/>
    <x v="1"/>
    <x v="0"/>
    <n v="-5.9999999999999993E-3"/>
  </r>
  <r>
    <x v="0"/>
    <x v="0"/>
    <x v="0"/>
    <s v="CROATIA"/>
    <x v="36"/>
    <s v="HR_A"/>
    <s v="GNR_ST_WOOD_CND_E-50"/>
    <x v="18"/>
    <x v="0"/>
    <x v="0"/>
    <x v="0"/>
    <x v="0"/>
    <n v="9.0999999999999998E-2"/>
  </r>
  <r>
    <x v="0"/>
    <x v="0"/>
    <x v="0"/>
    <s v="CROATIA"/>
    <x v="36"/>
    <s v="HR_A"/>
    <s v="GNR_ST_WOOD_CND_E-50"/>
    <x v="18"/>
    <x v="0"/>
    <x v="0"/>
    <x v="1"/>
    <x v="0"/>
    <n v="-9.0999999999999998E-2"/>
  </r>
  <r>
    <x v="0"/>
    <x v="0"/>
    <x v="0"/>
    <s v="CROATIA"/>
    <x v="36"/>
    <s v="HR00_A"/>
    <s v="GNR_PV_SUN"/>
    <x v="8"/>
    <x v="0"/>
    <x v="9"/>
    <x v="0"/>
    <x v="0"/>
    <n v="5.2999999999999999E-2"/>
  </r>
  <r>
    <x v="0"/>
    <x v="0"/>
    <x v="0"/>
    <s v="CROATIA"/>
    <x v="36"/>
    <s v="HR00_A"/>
    <s v="GNR_PV_SUN"/>
    <x v="8"/>
    <x v="0"/>
    <x v="9"/>
    <x v="1"/>
    <x v="0"/>
    <n v="-5.2999999999999992E-2"/>
  </r>
  <r>
    <x v="0"/>
    <x v="0"/>
    <x v="0"/>
    <s v="CROATIA"/>
    <x v="36"/>
    <s v="HR00_A"/>
    <s v="GNR_WT_WIND_ONS_RG1"/>
    <x v="3"/>
    <x v="0"/>
    <x v="5"/>
    <x v="0"/>
    <x v="0"/>
    <n v="0.22169999999999998"/>
  </r>
  <r>
    <x v="0"/>
    <x v="0"/>
    <x v="0"/>
    <s v="CROATIA"/>
    <x v="36"/>
    <s v="HR00_A"/>
    <s v="GNR_WT_WIND_ONS_RG1"/>
    <x v="3"/>
    <x v="0"/>
    <x v="5"/>
    <x v="1"/>
    <x v="0"/>
    <n v="-0.22170000000000006"/>
  </r>
  <r>
    <x v="0"/>
    <x v="0"/>
    <x v="0"/>
    <s v="CROATIA"/>
    <x v="36"/>
    <s v="HR00_A"/>
    <s v="GNR_WT_WIND_ONS_RG2"/>
    <x v="3"/>
    <x v="0"/>
    <x v="5"/>
    <x v="0"/>
    <x v="0"/>
    <n v="0.48035000000000005"/>
  </r>
  <r>
    <x v="0"/>
    <x v="0"/>
    <x v="0"/>
    <s v="CROATIA"/>
    <x v="36"/>
    <s v="HR00_A"/>
    <s v="GNR_WT_WIND_ONS_RG2"/>
    <x v="3"/>
    <x v="0"/>
    <x v="5"/>
    <x v="1"/>
    <x v="0"/>
    <n v="-0.48034999999999994"/>
  </r>
  <r>
    <x v="0"/>
    <x v="0"/>
    <x v="0"/>
    <s v="CROATIA"/>
    <x v="36"/>
    <s v="HR00_A"/>
    <s v="GNR_WT_WIND_ONS_RG3"/>
    <x v="3"/>
    <x v="0"/>
    <x v="5"/>
    <x v="0"/>
    <x v="0"/>
    <n v="3.6950000000000004E-2"/>
  </r>
  <r>
    <x v="0"/>
    <x v="0"/>
    <x v="0"/>
    <s v="CROATIA"/>
    <x v="36"/>
    <s v="HR00_A"/>
    <s v="GNR_WT_WIND_ONS_RG3"/>
    <x v="3"/>
    <x v="0"/>
    <x v="5"/>
    <x v="1"/>
    <x v="0"/>
    <n v="-3.6949999999999997E-2"/>
  </r>
  <r>
    <x v="0"/>
    <x v="0"/>
    <x v="0"/>
    <s v="CROATIA"/>
    <x v="36"/>
    <s v="HR00_A"/>
    <s v="GNR_WT_ONS-2050"/>
    <x v="3"/>
    <x v="0"/>
    <x v="5"/>
    <x v="2"/>
    <x v="0"/>
    <n v="6.8999999999999995"/>
  </r>
  <r>
    <x v="0"/>
    <x v="0"/>
    <x v="0"/>
    <s v="ROMANIA"/>
    <x v="37"/>
    <s v="RO_A"/>
    <s v="GNR_CC_NGAS_CND_E-56"/>
    <x v="0"/>
    <x v="0"/>
    <x v="0"/>
    <x v="0"/>
    <x v="0"/>
    <n v="2.6659999999999999"/>
  </r>
  <r>
    <x v="0"/>
    <x v="0"/>
    <x v="0"/>
    <s v="ROMANIA"/>
    <x v="37"/>
    <s v="RO_A"/>
    <s v="GNR_CC_NGAS_CND_E-56"/>
    <x v="0"/>
    <x v="0"/>
    <x v="0"/>
    <x v="1"/>
    <x v="0"/>
    <n v="-2.6660000000000008"/>
  </r>
  <r>
    <x v="0"/>
    <x v="0"/>
    <x v="0"/>
    <s v="ROMANIA"/>
    <x v="37"/>
    <s v="RO_A"/>
    <s v="GNR_RES_WTR_NOPMP"/>
    <x v="1"/>
    <x v="0"/>
    <x v="1"/>
    <x v="0"/>
    <x v="0"/>
    <n v="3.39"/>
  </r>
  <r>
    <x v="0"/>
    <x v="0"/>
    <x v="0"/>
    <s v="ROMANIA"/>
    <x v="37"/>
    <s v="RO_A"/>
    <s v="GNR_ROR_WTR"/>
    <x v="1"/>
    <x v="0"/>
    <x v="2"/>
    <x v="0"/>
    <x v="0"/>
    <n v="2.75"/>
  </r>
  <r>
    <x v="0"/>
    <x v="0"/>
    <x v="0"/>
    <s v="ROMANIA"/>
    <x v="37"/>
    <s v="RO_A"/>
    <s v="GNR_ST_COAL_CND_E-33"/>
    <x v="5"/>
    <x v="0"/>
    <x v="0"/>
    <x v="0"/>
    <x v="0"/>
    <n v="4.1029999999999998"/>
  </r>
  <r>
    <x v="0"/>
    <x v="0"/>
    <x v="0"/>
    <s v="ROMANIA"/>
    <x v="37"/>
    <s v="RO_A"/>
    <s v="GNR_ST_COAL_CND_E-33"/>
    <x v="5"/>
    <x v="0"/>
    <x v="0"/>
    <x v="1"/>
    <x v="0"/>
    <n v="-4.1030000000000006"/>
  </r>
  <r>
    <x v="0"/>
    <x v="0"/>
    <x v="0"/>
    <s v="ROMANIA"/>
    <x v="37"/>
    <s v="RO_A"/>
    <s v="GNR_ST_NUCL_CND_E-33"/>
    <x v="11"/>
    <x v="0"/>
    <x v="0"/>
    <x v="0"/>
    <x v="0"/>
    <n v="1.3"/>
  </r>
  <r>
    <x v="0"/>
    <x v="0"/>
    <x v="0"/>
    <s v="ROMANIA"/>
    <x v="37"/>
    <s v="RO_A"/>
    <s v="GNR_ST_NUCL_CND_E-33"/>
    <x v="11"/>
    <x v="0"/>
    <x v="0"/>
    <x v="1"/>
    <x v="0"/>
    <n v="-1.3"/>
  </r>
  <r>
    <x v="0"/>
    <x v="0"/>
    <x v="0"/>
    <s v="ROMANIA"/>
    <x v="37"/>
    <s v="RO_A"/>
    <s v="GNR_ST_WOOD_CND_E-50"/>
    <x v="18"/>
    <x v="0"/>
    <x v="0"/>
    <x v="0"/>
    <x v="0"/>
    <n v="0.11700000000000001"/>
  </r>
  <r>
    <x v="0"/>
    <x v="0"/>
    <x v="0"/>
    <s v="ROMANIA"/>
    <x v="37"/>
    <s v="RO_A"/>
    <s v="GNR_ST_WOOD_CND_E-50"/>
    <x v="18"/>
    <x v="0"/>
    <x v="0"/>
    <x v="1"/>
    <x v="0"/>
    <n v="-0.11699999999999997"/>
  </r>
  <r>
    <x v="0"/>
    <x v="0"/>
    <x v="0"/>
    <s v="ROMANIA"/>
    <x v="37"/>
    <s v="RO_A"/>
    <s v="GNR_ELYS_ELEC_AEC_Y-2050"/>
    <x v="2"/>
    <x v="1"/>
    <x v="3"/>
    <x v="2"/>
    <x v="0"/>
    <n v="1.6641233992840392"/>
  </r>
  <r>
    <x v="0"/>
    <x v="0"/>
    <x v="0"/>
    <s v="ROMANIA"/>
    <x v="37"/>
    <s v="RO_A"/>
    <s v="GNR_H2S_H2-CAVERN_Y-2050"/>
    <x v="6"/>
    <x v="1"/>
    <x v="7"/>
    <x v="2"/>
    <x v="0"/>
    <n v="3.3431304087385829"/>
  </r>
  <r>
    <x v="0"/>
    <x v="0"/>
    <x v="0"/>
    <s v="ROMANIA"/>
    <x v="37"/>
    <s v="RO00_A"/>
    <s v="GNR_PV_SUN"/>
    <x v="8"/>
    <x v="0"/>
    <x v="9"/>
    <x v="0"/>
    <x v="0"/>
    <n v="1.163"/>
  </r>
  <r>
    <x v="0"/>
    <x v="0"/>
    <x v="0"/>
    <s v="ROMANIA"/>
    <x v="37"/>
    <s v="RO00_A"/>
    <s v="GNR_PV_SUN"/>
    <x v="8"/>
    <x v="0"/>
    <x v="9"/>
    <x v="1"/>
    <x v="0"/>
    <n v="-1.1629999999999998"/>
  </r>
  <r>
    <x v="0"/>
    <x v="0"/>
    <x v="0"/>
    <s v="ROMANIA"/>
    <x v="37"/>
    <s v="RO00_A"/>
    <s v="GNR_WT_WIND_ONS_RG1"/>
    <x v="3"/>
    <x v="0"/>
    <x v="5"/>
    <x v="0"/>
    <x v="0"/>
    <n v="0.89160000000000006"/>
  </r>
  <r>
    <x v="0"/>
    <x v="0"/>
    <x v="0"/>
    <s v="ROMANIA"/>
    <x v="37"/>
    <s v="RO00_A"/>
    <s v="GNR_WT_WIND_ONS_RG1"/>
    <x v="3"/>
    <x v="0"/>
    <x v="5"/>
    <x v="1"/>
    <x v="0"/>
    <n v="-0.89159999999999995"/>
  </r>
  <r>
    <x v="0"/>
    <x v="0"/>
    <x v="0"/>
    <s v="ROMANIA"/>
    <x v="37"/>
    <s v="RO00_A"/>
    <s v="GNR_WT_WIND_ONS_RG2"/>
    <x v="3"/>
    <x v="0"/>
    <x v="5"/>
    <x v="0"/>
    <x v="0"/>
    <n v="1.9318"/>
  </r>
  <r>
    <x v="0"/>
    <x v="0"/>
    <x v="0"/>
    <s v="ROMANIA"/>
    <x v="37"/>
    <s v="RO00_A"/>
    <s v="GNR_WT_WIND_ONS_RG2"/>
    <x v="3"/>
    <x v="0"/>
    <x v="5"/>
    <x v="1"/>
    <x v="0"/>
    <n v="-1.9318000000000002"/>
  </r>
  <r>
    <x v="0"/>
    <x v="0"/>
    <x v="0"/>
    <s v="ROMANIA"/>
    <x v="37"/>
    <s v="RO00_A"/>
    <s v="GNR_WT_WIND_ONS_RG3"/>
    <x v="3"/>
    <x v="0"/>
    <x v="5"/>
    <x v="0"/>
    <x v="0"/>
    <n v="0.14860000000000001"/>
  </r>
  <r>
    <x v="0"/>
    <x v="0"/>
    <x v="0"/>
    <s v="ROMANIA"/>
    <x v="37"/>
    <s v="RO00_A"/>
    <s v="GNR_WT_WIND_ONS_RG3"/>
    <x v="3"/>
    <x v="0"/>
    <x v="5"/>
    <x v="1"/>
    <x v="0"/>
    <n v="-0.14860000000000004"/>
  </r>
  <r>
    <x v="0"/>
    <x v="0"/>
    <x v="0"/>
    <s v="ROMANIA"/>
    <x v="37"/>
    <s v="RO00_A"/>
    <s v="GNR_WT_ONS-2050"/>
    <x v="3"/>
    <x v="0"/>
    <x v="5"/>
    <x v="2"/>
    <x v="0"/>
    <n v="20.399999999999995"/>
  </r>
  <r>
    <x v="0"/>
    <x v="0"/>
    <x v="0"/>
    <s v="ROMANIA"/>
    <x v="37"/>
    <s v="RO00_A"/>
    <s v="GNR_PV-2050"/>
    <x v="8"/>
    <x v="0"/>
    <x v="9"/>
    <x v="2"/>
    <x v="0"/>
    <n v="6.8468490339742329"/>
  </r>
  <r>
    <x v="0"/>
    <x v="0"/>
    <x v="0"/>
    <s v="BULGARIA"/>
    <x v="38"/>
    <s v="BG_A"/>
    <s v="GNR_CC_NGAS_CND_E-56"/>
    <x v="0"/>
    <x v="0"/>
    <x v="0"/>
    <x v="0"/>
    <x v="0"/>
    <n v="1.232"/>
  </r>
  <r>
    <x v="0"/>
    <x v="0"/>
    <x v="0"/>
    <s v="BULGARIA"/>
    <x v="38"/>
    <s v="BG_A"/>
    <s v="GNR_CC_NGAS_CND_E-56"/>
    <x v="0"/>
    <x v="0"/>
    <x v="0"/>
    <x v="1"/>
    <x v="0"/>
    <n v="-1.232"/>
  </r>
  <r>
    <x v="0"/>
    <x v="0"/>
    <x v="0"/>
    <s v="BULGARIA"/>
    <x v="38"/>
    <s v="BG_A"/>
    <s v="GNR_RES_WTR_NOPMP"/>
    <x v="1"/>
    <x v="0"/>
    <x v="1"/>
    <x v="0"/>
    <x v="0"/>
    <n v="1.81"/>
  </r>
  <r>
    <x v="0"/>
    <x v="0"/>
    <x v="0"/>
    <s v="BULGARIA"/>
    <x v="38"/>
    <s v="BG_A"/>
    <s v="GNR_ROR_WTR"/>
    <x v="1"/>
    <x v="0"/>
    <x v="2"/>
    <x v="0"/>
    <x v="0"/>
    <n v="0.53700000000000003"/>
  </r>
  <r>
    <x v="0"/>
    <x v="0"/>
    <x v="0"/>
    <s v="BULGARIA"/>
    <x v="38"/>
    <s v="BG_A"/>
    <s v="GNR_ST_COAL_CND_E-33"/>
    <x v="5"/>
    <x v="0"/>
    <x v="0"/>
    <x v="0"/>
    <x v="0"/>
    <n v="4.4750000000000005"/>
  </r>
  <r>
    <x v="0"/>
    <x v="0"/>
    <x v="0"/>
    <s v="BULGARIA"/>
    <x v="38"/>
    <s v="BG_A"/>
    <s v="GNR_ST_COAL_CND_E-33"/>
    <x v="5"/>
    <x v="0"/>
    <x v="0"/>
    <x v="1"/>
    <x v="0"/>
    <n v="-4.4750000000000005"/>
  </r>
  <r>
    <x v="0"/>
    <x v="0"/>
    <x v="0"/>
    <s v="BULGARIA"/>
    <x v="38"/>
    <s v="BG_A"/>
    <s v="GNR_ST_MSW_CND_E-20"/>
    <x v="17"/>
    <x v="0"/>
    <x v="0"/>
    <x v="0"/>
    <x v="0"/>
    <n v="6.0000000000000001E-3"/>
  </r>
  <r>
    <x v="0"/>
    <x v="0"/>
    <x v="0"/>
    <s v="BULGARIA"/>
    <x v="38"/>
    <s v="BG_A"/>
    <s v="GNR_ST_MSW_CND_E-20"/>
    <x v="17"/>
    <x v="0"/>
    <x v="0"/>
    <x v="1"/>
    <x v="0"/>
    <n v="-5.9999999999999993E-3"/>
  </r>
  <r>
    <x v="0"/>
    <x v="0"/>
    <x v="0"/>
    <s v="BULGARIA"/>
    <x v="38"/>
    <s v="BG_A"/>
    <s v="GNR_ST_NUCL_CND_E-33"/>
    <x v="11"/>
    <x v="0"/>
    <x v="0"/>
    <x v="0"/>
    <x v="0"/>
    <n v="2"/>
  </r>
  <r>
    <x v="0"/>
    <x v="0"/>
    <x v="0"/>
    <s v="BULGARIA"/>
    <x v="38"/>
    <s v="BG_A"/>
    <s v="GNR_ST_NUCL_CND_E-33"/>
    <x v="11"/>
    <x v="0"/>
    <x v="0"/>
    <x v="1"/>
    <x v="0"/>
    <n v="-2"/>
  </r>
  <r>
    <x v="0"/>
    <x v="0"/>
    <x v="0"/>
    <s v="BULGARIA"/>
    <x v="38"/>
    <s v="BG_A"/>
    <s v="GNR_ST_WOOD_CND_E-50"/>
    <x v="18"/>
    <x v="0"/>
    <x v="0"/>
    <x v="0"/>
    <x v="0"/>
    <n v="7.3999999999999996E-2"/>
  </r>
  <r>
    <x v="0"/>
    <x v="0"/>
    <x v="0"/>
    <s v="BULGARIA"/>
    <x v="38"/>
    <s v="BG_A"/>
    <s v="GNR_ST_WOOD_CND_E-50"/>
    <x v="18"/>
    <x v="0"/>
    <x v="0"/>
    <x v="1"/>
    <x v="0"/>
    <n v="-7.400000000000001E-2"/>
  </r>
  <r>
    <x v="0"/>
    <x v="0"/>
    <x v="0"/>
    <s v="BULGARIA"/>
    <x v="38"/>
    <s v="BG00_A"/>
    <s v="GNR_PV_SUN"/>
    <x v="8"/>
    <x v="0"/>
    <x v="9"/>
    <x v="0"/>
    <x v="0"/>
    <n v="1.0840000000000001"/>
  </r>
  <r>
    <x v="0"/>
    <x v="0"/>
    <x v="0"/>
    <s v="BULGARIA"/>
    <x v="38"/>
    <s v="BG00_A"/>
    <s v="GNR_PV_SUN"/>
    <x v="8"/>
    <x v="0"/>
    <x v="9"/>
    <x v="1"/>
    <x v="0"/>
    <n v="-1.0840000000000003"/>
  </r>
  <r>
    <x v="0"/>
    <x v="0"/>
    <x v="0"/>
    <s v="BULGARIA"/>
    <x v="38"/>
    <s v="BG00_A"/>
    <s v="GNR_WT_WIND_ONS_RG1"/>
    <x v="3"/>
    <x v="0"/>
    <x v="5"/>
    <x v="0"/>
    <x v="0"/>
    <n v="0.21"/>
  </r>
  <r>
    <x v="0"/>
    <x v="0"/>
    <x v="0"/>
    <s v="BULGARIA"/>
    <x v="38"/>
    <s v="BG00_A"/>
    <s v="GNR_WT_WIND_ONS_RG1"/>
    <x v="3"/>
    <x v="0"/>
    <x v="5"/>
    <x v="1"/>
    <x v="0"/>
    <n v="-0.21"/>
  </r>
  <r>
    <x v="0"/>
    <x v="0"/>
    <x v="0"/>
    <s v="BULGARIA"/>
    <x v="38"/>
    <s v="BG00_A"/>
    <s v="GNR_WT_WIND_ONS_RG2"/>
    <x v="3"/>
    <x v="0"/>
    <x v="5"/>
    <x v="0"/>
    <x v="0"/>
    <n v="0.45500000000000002"/>
  </r>
  <r>
    <x v="0"/>
    <x v="0"/>
    <x v="0"/>
    <s v="BULGARIA"/>
    <x v="38"/>
    <s v="BG00_A"/>
    <s v="GNR_WT_WIND_ONS_RG2"/>
    <x v="3"/>
    <x v="0"/>
    <x v="5"/>
    <x v="1"/>
    <x v="0"/>
    <n v="-0.45500000000000002"/>
  </r>
  <r>
    <x v="0"/>
    <x v="0"/>
    <x v="0"/>
    <s v="BULGARIA"/>
    <x v="38"/>
    <s v="BG00_A"/>
    <s v="GNR_WT_WIND_ONS_RG3"/>
    <x v="3"/>
    <x v="0"/>
    <x v="5"/>
    <x v="0"/>
    <x v="0"/>
    <n v="3.5000000000000003E-2"/>
  </r>
  <r>
    <x v="0"/>
    <x v="0"/>
    <x v="0"/>
    <s v="BULGARIA"/>
    <x v="38"/>
    <s v="BG00_A"/>
    <s v="GNR_WT_WIND_ONS_RG3"/>
    <x v="3"/>
    <x v="0"/>
    <x v="5"/>
    <x v="1"/>
    <x v="0"/>
    <n v="-3.5000000000000003E-2"/>
  </r>
  <r>
    <x v="0"/>
    <x v="0"/>
    <x v="0"/>
    <s v="BULGARIA"/>
    <x v="38"/>
    <s v="BG00_A"/>
    <s v="GNR_WT_ONS-2050"/>
    <x v="3"/>
    <x v="0"/>
    <x v="5"/>
    <x v="2"/>
    <x v="0"/>
    <n v="3.4"/>
  </r>
  <r>
    <x v="0"/>
    <x v="0"/>
    <x v="0"/>
    <s v="BULGARIA"/>
    <x v="38"/>
    <s v="BG00_A"/>
    <s v="GNR_PV-2050"/>
    <x v="8"/>
    <x v="0"/>
    <x v="9"/>
    <x v="2"/>
    <x v="0"/>
    <n v="2.5891172423496251"/>
  </r>
  <r>
    <x v="0"/>
    <x v="0"/>
    <x v="0"/>
    <s v="GREECE"/>
    <x v="39"/>
    <s v="GR_A"/>
    <s v="GNR_CC_NGAS_CND_E-56"/>
    <x v="0"/>
    <x v="0"/>
    <x v="0"/>
    <x v="0"/>
    <x v="0"/>
    <n v="4.9020000000000001"/>
  </r>
  <r>
    <x v="0"/>
    <x v="0"/>
    <x v="0"/>
    <s v="GREECE"/>
    <x v="39"/>
    <s v="GR_A"/>
    <s v="GNR_CC_NGAS_CND_E-56"/>
    <x v="0"/>
    <x v="0"/>
    <x v="0"/>
    <x v="1"/>
    <x v="0"/>
    <n v="-4.902000000000001"/>
  </r>
  <r>
    <x v="0"/>
    <x v="0"/>
    <x v="0"/>
    <s v="GREECE"/>
    <x v="39"/>
    <s v="GR_A"/>
    <s v="GNR_PV_SUN"/>
    <x v="8"/>
    <x v="0"/>
    <x v="9"/>
    <x v="0"/>
    <x v="0"/>
    <n v="2.6059999999999999"/>
  </r>
  <r>
    <x v="0"/>
    <x v="0"/>
    <x v="0"/>
    <s v="GREECE"/>
    <x v="39"/>
    <s v="GR_A"/>
    <s v="GNR_PV_SUN"/>
    <x v="8"/>
    <x v="0"/>
    <x v="9"/>
    <x v="1"/>
    <x v="0"/>
    <n v="-2.6060000000000008"/>
  </r>
  <r>
    <x v="0"/>
    <x v="0"/>
    <x v="0"/>
    <s v="GREECE"/>
    <x v="39"/>
    <s v="GR_A"/>
    <s v="GNR_RES_WTR_NOPMP"/>
    <x v="1"/>
    <x v="0"/>
    <x v="1"/>
    <x v="0"/>
    <x v="0"/>
    <n v="2.403"/>
  </r>
  <r>
    <x v="0"/>
    <x v="0"/>
    <x v="0"/>
    <s v="GREECE"/>
    <x v="39"/>
    <s v="GR_A"/>
    <s v="GNR_ROR_WTR"/>
    <x v="1"/>
    <x v="0"/>
    <x v="2"/>
    <x v="0"/>
    <x v="0"/>
    <n v="0.29899999999999999"/>
  </r>
  <r>
    <x v="0"/>
    <x v="0"/>
    <x v="0"/>
    <s v="GREECE"/>
    <x v="39"/>
    <s v="GR_A"/>
    <s v="GNR_ST_COAL_CND_E-33"/>
    <x v="5"/>
    <x v="0"/>
    <x v="0"/>
    <x v="0"/>
    <x v="0"/>
    <n v="3.3620000000000001"/>
  </r>
  <r>
    <x v="0"/>
    <x v="0"/>
    <x v="0"/>
    <s v="GREECE"/>
    <x v="39"/>
    <s v="GR_A"/>
    <s v="GNR_ST_COAL_CND_E-33"/>
    <x v="5"/>
    <x v="0"/>
    <x v="0"/>
    <x v="1"/>
    <x v="0"/>
    <n v="-3.3619999999999997"/>
  </r>
  <r>
    <x v="0"/>
    <x v="0"/>
    <x v="0"/>
    <s v="GREECE"/>
    <x v="39"/>
    <s v="GR_A"/>
    <s v="GNR_ST_WOOD_CND_E-50"/>
    <x v="18"/>
    <x v="0"/>
    <x v="0"/>
    <x v="0"/>
    <x v="0"/>
    <n v="8.6000000000000007E-2"/>
  </r>
  <r>
    <x v="0"/>
    <x v="0"/>
    <x v="0"/>
    <s v="GREECE"/>
    <x v="39"/>
    <s v="GR_A"/>
    <s v="GNR_ST_WOOD_CND_E-50"/>
    <x v="18"/>
    <x v="0"/>
    <x v="0"/>
    <x v="1"/>
    <x v="0"/>
    <n v="-8.5999999999999993E-2"/>
  </r>
  <r>
    <x v="0"/>
    <x v="0"/>
    <x v="0"/>
    <s v="GREECE"/>
    <x v="39"/>
    <s v="GR_A"/>
    <s v="GNR_WT_WIND_ONS_RG1"/>
    <x v="3"/>
    <x v="0"/>
    <x v="5"/>
    <x v="0"/>
    <x v="0"/>
    <n v="0.94589999999999996"/>
  </r>
  <r>
    <x v="0"/>
    <x v="0"/>
    <x v="0"/>
    <s v="GREECE"/>
    <x v="39"/>
    <s v="GR_A"/>
    <s v="GNR_WT_WIND_ONS_RG1"/>
    <x v="3"/>
    <x v="0"/>
    <x v="5"/>
    <x v="1"/>
    <x v="0"/>
    <n v="-0.94590000000000007"/>
  </r>
  <r>
    <x v="0"/>
    <x v="0"/>
    <x v="0"/>
    <s v="GREECE"/>
    <x v="39"/>
    <s v="GR_A"/>
    <s v="GNR_WT_WIND_ONS_RG2"/>
    <x v="3"/>
    <x v="0"/>
    <x v="5"/>
    <x v="0"/>
    <x v="0"/>
    <n v="2.0494499999999998"/>
  </r>
  <r>
    <x v="0"/>
    <x v="0"/>
    <x v="0"/>
    <s v="GREECE"/>
    <x v="39"/>
    <s v="GR_A"/>
    <s v="GNR_WT_WIND_ONS_RG2"/>
    <x v="3"/>
    <x v="0"/>
    <x v="5"/>
    <x v="1"/>
    <x v="0"/>
    <n v="-2.0494499999999998"/>
  </r>
  <r>
    <x v="0"/>
    <x v="0"/>
    <x v="0"/>
    <s v="GREECE"/>
    <x v="39"/>
    <s v="GR_A"/>
    <s v="GNR_WT_WIND_ONS_RG3"/>
    <x v="3"/>
    <x v="0"/>
    <x v="5"/>
    <x v="0"/>
    <x v="0"/>
    <n v="0.15765000000000001"/>
  </r>
  <r>
    <x v="0"/>
    <x v="0"/>
    <x v="0"/>
    <s v="GREECE"/>
    <x v="39"/>
    <s v="GR_A"/>
    <s v="GNR_WT_WIND_ONS_RG3"/>
    <x v="3"/>
    <x v="0"/>
    <x v="5"/>
    <x v="1"/>
    <x v="0"/>
    <n v="-0.15764999999999998"/>
  </r>
  <r>
    <x v="0"/>
    <x v="0"/>
    <x v="0"/>
    <s v="GREECE"/>
    <x v="39"/>
    <s v="GR_A"/>
    <s v="GNR_H2S_H2-CAVERN_Y-2050"/>
    <x v="6"/>
    <x v="1"/>
    <x v="7"/>
    <x v="2"/>
    <x v="0"/>
    <n v="26.711811606032501"/>
  </r>
  <r>
    <x v="0"/>
    <x v="0"/>
    <x v="0"/>
    <s v="GREECE"/>
    <x v="39"/>
    <s v="GR00_A"/>
    <s v="GNR_PV-2050"/>
    <x v="8"/>
    <x v="0"/>
    <x v="9"/>
    <x v="2"/>
    <x v="0"/>
    <n v="5.3813728442216124"/>
  </r>
  <r>
    <x v="0"/>
    <x v="0"/>
    <x v="0"/>
    <s v="GREECE"/>
    <x v="40"/>
    <s v="GR03_A"/>
    <s v="GNR_WT_ONS-2050"/>
    <x v="3"/>
    <x v="0"/>
    <x v="5"/>
    <x v="2"/>
    <x v="0"/>
    <n v="11.525203252032499"/>
  </r>
  <r>
    <x v="0"/>
    <x v="0"/>
    <x v="0"/>
    <s v="IRELAND"/>
    <x v="41"/>
    <s v="IE_A"/>
    <s v="GNR_CC_NGAS_CND_E-56"/>
    <x v="0"/>
    <x v="0"/>
    <x v="0"/>
    <x v="0"/>
    <x v="0"/>
    <n v="4.2649999999999997"/>
  </r>
  <r>
    <x v="0"/>
    <x v="0"/>
    <x v="0"/>
    <s v="IRELAND"/>
    <x v="41"/>
    <s v="IE_A"/>
    <s v="GNR_CC_NGAS_CND_E-56"/>
    <x v="0"/>
    <x v="0"/>
    <x v="0"/>
    <x v="1"/>
    <x v="0"/>
    <n v="-4.2649999999999997"/>
  </r>
  <r>
    <x v="0"/>
    <x v="0"/>
    <x v="0"/>
    <s v="IRELAND"/>
    <x v="41"/>
    <s v="IE_A"/>
    <s v="GNR_ROR_WTR"/>
    <x v="1"/>
    <x v="0"/>
    <x v="2"/>
    <x v="0"/>
    <x v="0"/>
    <n v="0.216"/>
  </r>
  <r>
    <x v="0"/>
    <x v="0"/>
    <x v="0"/>
    <s v="IRELAND"/>
    <x v="41"/>
    <s v="IE_A"/>
    <s v="GNR_ST_COAL_CND_E-33"/>
    <x v="5"/>
    <x v="0"/>
    <x v="0"/>
    <x v="0"/>
    <x v="0"/>
    <n v="1.1990000000000001"/>
  </r>
  <r>
    <x v="0"/>
    <x v="0"/>
    <x v="0"/>
    <s v="IRELAND"/>
    <x v="41"/>
    <s v="IE_A"/>
    <s v="GNR_ST_COAL_CND_E-33"/>
    <x v="5"/>
    <x v="0"/>
    <x v="0"/>
    <x v="1"/>
    <x v="0"/>
    <n v="-1.1990000000000001"/>
  </r>
  <r>
    <x v="0"/>
    <x v="0"/>
    <x v="0"/>
    <s v="IRELAND"/>
    <x v="41"/>
    <s v="IE_A"/>
    <s v="GNR_ST_FUELOIL_CND_E-35"/>
    <x v="10"/>
    <x v="0"/>
    <x v="0"/>
    <x v="0"/>
    <x v="0"/>
    <n v="1.272"/>
  </r>
  <r>
    <x v="0"/>
    <x v="0"/>
    <x v="0"/>
    <s v="IRELAND"/>
    <x v="41"/>
    <s v="IE_A"/>
    <s v="GNR_ST_FUELOIL_CND_E-35"/>
    <x v="10"/>
    <x v="0"/>
    <x v="0"/>
    <x v="1"/>
    <x v="0"/>
    <n v="-1.272"/>
  </r>
  <r>
    <x v="0"/>
    <x v="0"/>
    <x v="0"/>
    <s v="IRELAND"/>
    <x v="41"/>
    <s v="IE_A"/>
    <s v="GNR_ELYS_ELEC_AEC_Y-2050"/>
    <x v="2"/>
    <x v="1"/>
    <x v="3"/>
    <x v="2"/>
    <x v="0"/>
    <n v="5.6974881304512364"/>
  </r>
  <r>
    <x v="0"/>
    <x v="0"/>
    <x v="0"/>
    <s v="IRELAND"/>
    <x v="41"/>
    <s v="IE00_A"/>
    <s v="GNR_WT_WIND_ONS_RG1"/>
    <x v="3"/>
    <x v="0"/>
    <x v="5"/>
    <x v="0"/>
    <x v="0"/>
    <n v="0.5757000000000001"/>
  </r>
  <r>
    <x v="0"/>
    <x v="0"/>
    <x v="0"/>
    <s v="IRELAND"/>
    <x v="41"/>
    <s v="IE00_A"/>
    <s v="GNR_WT_WIND_ONS_RG1"/>
    <x v="3"/>
    <x v="0"/>
    <x v="5"/>
    <x v="1"/>
    <x v="0"/>
    <n v="-0.57569999999999999"/>
  </r>
  <r>
    <x v="0"/>
    <x v="0"/>
    <x v="0"/>
    <s v="IRELAND"/>
    <x v="41"/>
    <s v="IE00_A"/>
    <s v="GNR_WT_WIND_ONS_RG2"/>
    <x v="3"/>
    <x v="0"/>
    <x v="5"/>
    <x v="0"/>
    <x v="0"/>
    <n v="1.24735"/>
  </r>
  <r>
    <x v="0"/>
    <x v="0"/>
    <x v="0"/>
    <s v="IRELAND"/>
    <x v="41"/>
    <s v="IE00_A"/>
    <s v="GNR_WT_WIND_ONS_RG2"/>
    <x v="3"/>
    <x v="0"/>
    <x v="5"/>
    <x v="1"/>
    <x v="0"/>
    <n v="-1.24735"/>
  </r>
  <r>
    <x v="0"/>
    <x v="0"/>
    <x v="0"/>
    <s v="IRELAND"/>
    <x v="41"/>
    <s v="IE00_A"/>
    <s v="GNR_WT_WIND_ONS_RG3"/>
    <x v="3"/>
    <x v="0"/>
    <x v="5"/>
    <x v="0"/>
    <x v="0"/>
    <n v="9.5950000000000008E-2"/>
  </r>
  <r>
    <x v="0"/>
    <x v="0"/>
    <x v="0"/>
    <s v="IRELAND"/>
    <x v="41"/>
    <s v="IE00_A"/>
    <s v="GNR_WT_WIND_ONS_RG3"/>
    <x v="3"/>
    <x v="0"/>
    <x v="5"/>
    <x v="1"/>
    <x v="0"/>
    <n v="-9.5950000000000008E-2"/>
  </r>
  <r>
    <x v="0"/>
    <x v="0"/>
    <x v="0"/>
    <s v="IRELAND"/>
    <x v="41"/>
    <s v="IE00_A"/>
    <s v="GNR_WT_ONS-2050"/>
    <x v="3"/>
    <x v="0"/>
    <x v="5"/>
    <x v="2"/>
    <x v="0"/>
    <n v="13.725389467207547"/>
  </r>
  <r>
    <x v="0"/>
    <x v="0"/>
    <x v="0"/>
    <s v="LUXEMBOURG"/>
    <x v="42"/>
    <s v="LU_A"/>
    <s v="GNR_CC_NGAS_CND_E-56"/>
    <x v="0"/>
    <x v="0"/>
    <x v="0"/>
    <x v="0"/>
    <x v="0"/>
    <n v="8.1000000000000003E-2"/>
  </r>
  <r>
    <x v="0"/>
    <x v="0"/>
    <x v="0"/>
    <s v="LUXEMBOURG"/>
    <x v="42"/>
    <s v="LU_A"/>
    <s v="GNR_CC_NGAS_CND_E-56"/>
    <x v="0"/>
    <x v="0"/>
    <x v="0"/>
    <x v="1"/>
    <x v="0"/>
    <n v="-8.1000000000000003E-2"/>
  </r>
  <r>
    <x v="0"/>
    <x v="0"/>
    <x v="0"/>
    <s v="LUXEMBOURG"/>
    <x v="42"/>
    <s v="LU_A"/>
    <s v="GNR_RES_WTR_NOPMP"/>
    <x v="1"/>
    <x v="0"/>
    <x v="1"/>
    <x v="0"/>
    <x v="0"/>
    <n v="1.0999999999999999E-2"/>
  </r>
  <r>
    <x v="0"/>
    <x v="0"/>
    <x v="0"/>
    <s v="LUXEMBOURG"/>
    <x v="42"/>
    <s v="LU_A"/>
    <s v="GNR_ROR_WTR"/>
    <x v="1"/>
    <x v="0"/>
    <x v="2"/>
    <x v="0"/>
    <x v="0"/>
    <n v="2.5000000000000001E-2"/>
  </r>
  <r>
    <x v="0"/>
    <x v="0"/>
    <x v="0"/>
    <s v="LUXEMBOURG"/>
    <x v="42"/>
    <s v="LU_A"/>
    <s v="GNR_ST_MSW_CND_E-20"/>
    <x v="17"/>
    <x v="0"/>
    <x v="0"/>
    <x v="0"/>
    <x v="0"/>
    <n v="2.1000000000000001E-2"/>
  </r>
  <r>
    <x v="0"/>
    <x v="0"/>
    <x v="0"/>
    <s v="LUXEMBOURG"/>
    <x v="42"/>
    <s v="LU_A"/>
    <s v="GNR_ST_MSW_CND_E-20"/>
    <x v="17"/>
    <x v="0"/>
    <x v="0"/>
    <x v="1"/>
    <x v="0"/>
    <n v="-2.1000000000000005E-2"/>
  </r>
  <r>
    <x v="0"/>
    <x v="0"/>
    <x v="0"/>
    <s v="LUXEMBOURG"/>
    <x v="42"/>
    <s v="LU_A"/>
    <s v="GNR_ST_WOOD_CND_E-50"/>
    <x v="18"/>
    <x v="0"/>
    <x v="0"/>
    <x v="0"/>
    <x v="0"/>
    <n v="4.7E-2"/>
  </r>
  <r>
    <x v="0"/>
    <x v="0"/>
    <x v="0"/>
    <s v="LUXEMBOURG"/>
    <x v="42"/>
    <s v="LU_A"/>
    <s v="GNR_ST_WOOD_CND_E-50"/>
    <x v="18"/>
    <x v="0"/>
    <x v="0"/>
    <x v="1"/>
    <x v="0"/>
    <n v="-4.7000000000000007E-2"/>
  </r>
  <r>
    <x v="0"/>
    <x v="0"/>
    <x v="0"/>
    <s v="LUXEMBOURG"/>
    <x v="42"/>
    <s v="LU00_A"/>
    <s v="GNR_PV_SUN"/>
    <x v="8"/>
    <x v="0"/>
    <x v="9"/>
    <x v="0"/>
    <x v="0"/>
    <n v="0.17"/>
  </r>
  <r>
    <x v="0"/>
    <x v="0"/>
    <x v="0"/>
    <s v="LUXEMBOURG"/>
    <x v="42"/>
    <s v="LU00_A"/>
    <s v="GNR_PV_SUN"/>
    <x v="8"/>
    <x v="0"/>
    <x v="9"/>
    <x v="1"/>
    <x v="0"/>
    <n v="-0.17"/>
  </r>
  <r>
    <x v="0"/>
    <x v="0"/>
    <x v="0"/>
    <s v="LUXEMBOURG"/>
    <x v="42"/>
    <s v="LU00_A"/>
    <s v="GNR_WT_WIND_ONS_RG1"/>
    <x v="3"/>
    <x v="0"/>
    <x v="5"/>
    <x v="0"/>
    <x v="0"/>
    <n v="4.6200000000000005E-2"/>
  </r>
  <r>
    <x v="0"/>
    <x v="0"/>
    <x v="0"/>
    <s v="LUXEMBOURG"/>
    <x v="42"/>
    <s v="LU00_A"/>
    <s v="GNR_WT_WIND_ONS_RG1"/>
    <x v="3"/>
    <x v="0"/>
    <x v="5"/>
    <x v="1"/>
    <x v="0"/>
    <n v="-4.6200000000000019E-2"/>
  </r>
  <r>
    <x v="0"/>
    <x v="0"/>
    <x v="0"/>
    <s v="LUXEMBOURG"/>
    <x v="42"/>
    <s v="LU00_A"/>
    <s v="GNR_WT_WIND_ONS_RG2"/>
    <x v="3"/>
    <x v="0"/>
    <x v="5"/>
    <x v="0"/>
    <x v="0"/>
    <n v="0.10009999999999999"/>
  </r>
  <r>
    <x v="0"/>
    <x v="0"/>
    <x v="0"/>
    <s v="LUXEMBOURG"/>
    <x v="42"/>
    <s v="LU00_A"/>
    <s v="GNR_WT_WIND_ONS_RG2"/>
    <x v="3"/>
    <x v="0"/>
    <x v="5"/>
    <x v="1"/>
    <x v="0"/>
    <n v="-0.10009999999999998"/>
  </r>
  <r>
    <x v="0"/>
    <x v="0"/>
    <x v="0"/>
    <s v="LUXEMBOURG"/>
    <x v="42"/>
    <s v="LU00_A"/>
    <s v="GNR_WT_WIND_ONS_RG3"/>
    <x v="3"/>
    <x v="0"/>
    <x v="5"/>
    <x v="0"/>
    <x v="0"/>
    <n v="7.7000000000000002E-3"/>
  </r>
  <r>
    <x v="0"/>
    <x v="0"/>
    <x v="0"/>
    <s v="LUXEMBOURG"/>
    <x v="42"/>
    <s v="LU00_A"/>
    <s v="GNR_WT_WIND_ONS_RG3"/>
    <x v="3"/>
    <x v="0"/>
    <x v="5"/>
    <x v="1"/>
    <x v="0"/>
    <n v="-7.6999999999999994E-3"/>
  </r>
  <r>
    <x v="0"/>
    <x v="0"/>
    <x v="0"/>
    <s v="LUXEMBOURG"/>
    <x v="42"/>
    <s v="LU00_A"/>
    <s v="GNR_WT_ONS-2050"/>
    <x v="3"/>
    <x v="0"/>
    <x v="5"/>
    <x v="2"/>
    <x v="0"/>
    <n v="0.66116066755188685"/>
  </r>
  <r>
    <x v="0"/>
    <x v="0"/>
    <x v="0"/>
    <s v="LUXEMBOURG"/>
    <x v="42"/>
    <s v="LU00_A"/>
    <s v="GNR_PV-2050"/>
    <x v="8"/>
    <x v="0"/>
    <x v="9"/>
    <x v="2"/>
    <x v="0"/>
    <n v="1"/>
  </r>
  <r>
    <x v="0"/>
    <x v="0"/>
    <x v="0"/>
    <s v="ALBANIA"/>
    <x v="43"/>
    <s v="AL_A"/>
    <s v="GNR_RES_WTR_NOPMP"/>
    <x v="1"/>
    <x v="0"/>
    <x v="1"/>
    <x v="0"/>
    <x v="0"/>
    <n v="1.6759999999999999"/>
  </r>
  <r>
    <x v="0"/>
    <x v="0"/>
    <x v="0"/>
    <s v="ALBANIA"/>
    <x v="43"/>
    <s v="AL_A"/>
    <s v="GNR_ROR_WTR"/>
    <x v="1"/>
    <x v="0"/>
    <x v="2"/>
    <x v="0"/>
    <x v="0"/>
    <n v="0.52700000000000002"/>
  </r>
  <r>
    <x v="0"/>
    <x v="0"/>
    <x v="0"/>
    <s v="ALBANIA"/>
    <x v="43"/>
    <s v="AL_A"/>
    <s v="GNR_ST_FUELOIL_CND_E-35"/>
    <x v="10"/>
    <x v="0"/>
    <x v="0"/>
    <x v="0"/>
    <x v="0"/>
    <n v="9.7000000000000003E-2"/>
  </r>
  <r>
    <x v="0"/>
    <x v="0"/>
    <x v="0"/>
    <s v="ALBANIA"/>
    <x v="43"/>
    <s v="AL_A"/>
    <s v="GNR_ST_FUELOIL_CND_E-35"/>
    <x v="10"/>
    <x v="0"/>
    <x v="0"/>
    <x v="1"/>
    <x v="0"/>
    <n v="-9.6999999999999989E-2"/>
  </r>
  <r>
    <x v="0"/>
    <x v="0"/>
    <x v="0"/>
    <s v="ALBANIA"/>
    <x v="43"/>
    <s v="AL00_A"/>
    <s v="GNR_WT_ONS-2050"/>
    <x v="3"/>
    <x v="0"/>
    <x v="5"/>
    <x v="2"/>
    <x v="0"/>
    <n v="2"/>
  </r>
  <r>
    <x v="0"/>
    <x v="0"/>
    <x v="0"/>
    <s v="MONTENEGRO"/>
    <x v="44"/>
    <s v="ME_A"/>
    <s v="GNR_RES_WTR_NOPMP"/>
    <x v="1"/>
    <x v="0"/>
    <x v="1"/>
    <x v="0"/>
    <x v="0"/>
    <n v="0.34200000000000003"/>
  </r>
  <r>
    <x v="0"/>
    <x v="0"/>
    <x v="0"/>
    <s v="MONTENEGRO"/>
    <x v="44"/>
    <s v="ME_A"/>
    <s v="GNR_ROR_WTR"/>
    <x v="1"/>
    <x v="0"/>
    <x v="2"/>
    <x v="0"/>
    <x v="0"/>
    <n v="0.307"/>
  </r>
  <r>
    <x v="0"/>
    <x v="0"/>
    <x v="0"/>
    <s v="MONTENEGRO"/>
    <x v="44"/>
    <s v="ME_A"/>
    <s v="GNR_ST_COAL_CND_E-33"/>
    <x v="5"/>
    <x v="0"/>
    <x v="0"/>
    <x v="0"/>
    <x v="0"/>
    <n v="0.21"/>
  </r>
  <r>
    <x v="0"/>
    <x v="0"/>
    <x v="0"/>
    <s v="MONTENEGRO"/>
    <x v="44"/>
    <s v="ME_A"/>
    <s v="GNR_ST_COAL_CND_E-33"/>
    <x v="5"/>
    <x v="0"/>
    <x v="0"/>
    <x v="1"/>
    <x v="0"/>
    <n v="-0.21"/>
  </r>
  <r>
    <x v="0"/>
    <x v="0"/>
    <x v="0"/>
    <s v="MONTENEGRO"/>
    <x v="44"/>
    <s v="ME00_A"/>
    <s v="GNR_WT_WIND_ONS_RG1"/>
    <x v="3"/>
    <x v="0"/>
    <x v="5"/>
    <x v="0"/>
    <x v="0"/>
    <n v="3.5400000000000001E-2"/>
  </r>
  <r>
    <x v="0"/>
    <x v="0"/>
    <x v="0"/>
    <s v="MONTENEGRO"/>
    <x v="44"/>
    <s v="ME00_A"/>
    <s v="GNR_WT_WIND_ONS_RG1"/>
    <x v="3"/>
    <x v="0"/>
    <x v="5"/>
    <x v="1"/>
    <x v="0"/>
    <n v="-3.5400000000000008E-2"/>
  </r>
  <r>
    <x v="0"/>
    <x v="0"/>
    <x v="0"/>
    <s v="MONTENEGRO"/>
    <x v="44"/>
    <s v="ME00_A"/>
    <s v="GNR_WT_WIND_ONS_RG2"/>
    <x v="3"/>
    <x v="0"/>
    <x v="5"/>
    <x v="0"/>
    <x v="0"/>
    <n v="7.6700000000000004E-2"/>
  </r>
  <r>
    <x v="0"/>
    <x v="0"/>
    <x v="0"/>
    <s v="MONTENEGRO"/>
    <x v="44"/>
    <s v="ME00_A"/>
    <s v="GNR_WT_WIND_ONS_RG2"/>
    <x v="3"/>
    <x v="0"/>
    <x v="5"/>
    <x v="1"/>
    <x v="0"/>
    <n v="-7.669999999999999E-2"/>
  </r>
  <r>
    <x v="0"/>
    <x v="0"/>
    <x v="0"/>
    <s v="MONTENEGRO"/>
    <x v="44"/>
    <s v="ME00_A"/>
    <s v="GNR_WT_WIND_ONS_RG3"/>
    <x v="3"/>
    <x v="0"/>
    <x v="5"/>
    <x v="0"/>
    <x v="0"/>
    <n v="5.9000000000000007E-3"/>
  </r>
  <r>
    <x v="0"/>
    <x v="0"/>
    <x v="0"/>
    <s v="MONTENEGRO"/>
    <x v="44"/>
    <s v="ME00_A"/>
    <s v="GNR_WT_WIND_ONS_RG3"/>
    <x v="3"/>
    <x v="0"/>
    <x v="5"/>
    <x v="1"/>
    <x v="0"/>
    <n v="-5.9000000000000007E-3"/>
  </r>
  <r>
    <x v="0"/>
    <x v="0"/>
    <x v="0"/>
    <s v="MONTENEGRO"/>
    <x v="44"/>
    <s v="ME00_A"/>
    <s v="GNR_WT_ONS-2050"/>
    <x v="3"/>
    <x v="0"/>
    <x v="5"/>
    <x v="2"/>
    <x v="0"/>
    <n v="0.39999999999999997"/>
  </r>
  <r>
    <x v="0"/>
    <x v="0"/>
    <x v="0"/>
    <s v="NORTH_MACEDONIA"/>
    <x v="45"/>
    <s v="MK_A"/>
    <s v="GNR_CC_NGAS_CND_E-56"/>
    <x v="0"/>
    <x v="0"/>
    <x v="0"/>
    <x v="0"/>
    <x v="0"/>
    <n v="0.251"/>
  </r>
  <r>
    <x v="0"/>
    <x v="0"/>
    <x v="0"/>
    <s v="NORTH_MACEDONIA"/>
    <x v="45"/>
    <s v="MK_A"/>
    <s v="GNR_CC_NGAS_CND_E-56"/>
    <x v="0"/>
    <x v="0"/>
    <x v="0"/>
    <x v="1"/>
    <x v="0"/>
    <n v="-0.25100000000000011"/>
  </r>
  <r>
    <x v="0"/>
    <x v="0"/>
    <x v="0"/>
    <s v="NORTH_MACEDONIA"/>
    <x v="45"/>
    <s v="MK_A"/>
    <s v="GNR_ROR_WTR"/>
    <x v="1"/>
    <x v="0"/>
    <x v="2"/>
    <x v="0"/>
    <x v="0"/>
    <n v="0.50600000000000001"/>
  </r>
  <r>
    <x v="0"/>
    <x v="0"/>
    <x v="0"/>
    <s v="NORTH_MACEDONIA"/>
    <x v="45"/>
    <s v="MK_A"/>
    <s v="GNR_ST_COAL_CND_E-33"/>
    <x v="5"/>
    <x v="0"/>
    <x v="0"/>
    <x v="0"/>
    <x v="0"/>
    <n v="0.82400000000000007"/>
  </r>
  <r>
    <x v="0"/>
    <x v="0"/>
    <x v="0"/>
    <s v="NORTH_MACEDONIA"/>
    <x v="45"/>
    <s v="MK_A"/>
    <s v="GNR_ST_COAL_CND_E-33"/>
    <x v="5"/>
    <x v="0"/>
    <x v="0"/>
    <x v="1"/>
    <x v="0"/>
    <n v="-0.82400000000000018"/>
  </r>
  <r>
    <x v="0"/>
    <x v="0"/>
    <x v="0"/>
    <s v="NORTH_MACEDONIA"/>
    <x v="45"/>
    <s v="MK00_A"/>
    <s v="GNR_WT_WIND_ONS_RG1"/>
    <x v="3"/>
    <x v="0"/>
    <x v="5"/>
    <x v="0"/>
    <x v="0"/>
    <n v="1.0500000000000001E-2"/>
  </r>
  <r>
    <x v="0"/>
    <x v="0"/>
    <x v="0"/>
    <s v="NORTH_MACEDONIA"/>
    <x v="45"/>
    <s v="MK00_A"/>
    <s v="GNR_WT_WIND_ONS_RG1"/>
    <x v="3"/>
    <x v="0"/>
    <x v="5"/>
    <x v="1"/>
    <x v="0"/>
    <n v="-1.0500000000000001E-2"/>
  </r>
  <r>
    <x v="0"/>
    <x v="0"/>
    <x v="0"/>
    <s v="NORTH_MACEDONIA"/>
    <x v="45"/>
    <s v="MK00_A"/>
    <s v="GNR_WT_WIND_ONS_RG2"/>
    <x v="3"/>
    <x v="0"/>
    <x v="5"/>
    <x v="0"/>
    <x v="0"/>
    <n v="2.2749999999999999E-2"/>
  </r>
  <r>
    <x v="0"/>
    <x v="0"/>
    <x v="0"/>
    <s v="NORTH_MACEDONIA"/>
    <x v="45"/>
    <s v="MK00_A"/>
    <s v="GNR_WT_WIND_ONS_RG2"/>
    <x v="3"/>
    <x v="0"/>
    <x v="5"/>
    <x v="1"/>
    <x v="0"/>
    <n v="-2.2749999999999996E-2"/>
  </r>
  <r>
    <x v="0"/>
    <x v="0"/>
    <x v="0"/>
    <s v="NORTH_MACEDONIA"/>
    <x v="45"/>
    <s v="MK00_A"/>
    <s v="GNR_WT_WIND_ONS_RG3"/>
    <x v="3"/>
    <x v="0"/>
    <x v="5"/>
    <x v="0"/>
    <x v="0"/>
    <n v="1.75E-3"/>
  </r>
  <r>
    <x v="0"/>
    <x v="0"/>
    <x v="0"/>
    <s v="NORTH_MACEDONIA"/>
    <x v="45"/>
    <s v="MK00_A"/>
    <s v="GNR_WT_WIND_ONS_RG3"/>
    <x v="3"/>
    <x v="0"/>
    <x v="5"/>
    <x v="1"/>
    <x v="0"/>
    <n v="-1.7499999999999998E-3"/>
  </r>
  <r>
    <x v="0"/>
    <x v="0"/>
    <x v="0"/>
    <s v="NORTH_MACEDONIA"/>
    <x v="45"/>
    <s v="MK00_A"/>
    <s v="GNR_PV-2050"/>
    <x v="8"/>
    <x v="0"/>
    <x v="9"/>
    <x v="2"/>
    <x v="0"/>
    <n v="0.25789280557239869"/>
  </r>
  <r>
    <x v="0"/>
    <x v="0"/>
    <x v="0"/>
    <s v="BOSNIA_AND_HERZEGOVINA"/>
    <x v="46"/>
    <s v="BA_A"/>
    <s v="GNR_ES_WTR_PMP"/>
    <x v="2"/>
    <x v="0"/>
    <x v="13"/>
    <x v="0"/>
    <x v="0"/>
    <n v="4.6808510638297871E-2"/>
  </r>
  <r>
    <x v="0"/>
    <x v="0"/>
    <x v="0"/>
    <s v="BOSNIA_AND_HERZEGOVINA"/>
    <x v="46"/>
    <s v="BA_A"/>
    <s v="GNR_RES_WTR_NOPMP"/>
    <x v="1"/>
    <x v="0"/>
    <x v="1"/>
    <x v="0"/>
    <x v="0"/>
    <n v="0.70699999999999996"/>
  </r>
  <r>
    <x v="0"/>
    <x v="0"/>
    <x v="0"/>
    <s v="BOSNIA_AND_HERZEGOVINA"/>
    <x v="46"/>
    <s v="BA_A"/>
    <s v="GNR_ROR_WTR"/>
    <x v="1"/>
    <x v="0"/>
    <x v="2"/>
    <x v="0"/>
    <x v="0"/>
    <n v="1.083"/>
  </r>
  <r>
    <x v="0"/>
    <x v="0"/>
    <x v="0"/>
    <s v="BOSNIA_AND_HERZEGOVINA"/>
    <x v="46"/>
    <s v="BA_A"/>
    <s v="GNR_ST_COAL_CND_E-33"/>
    <x v="5"/>
    <x v="0"/>
    <x v="0"/>
    <x v="0"/>
    <x v="0"/>
    <n v="1.875"/>
  </r>
  <r>
    <x v="0"/>
    <x v="0"/>
    <x v="0"/>
    <s v="BOSNIA_AND_HERZEGOVINA"/>
    <x v="46"/>
    <s v="BA_A"/>
    <s v="GNR_ST_COAL_CND_E-33"/>
    <x v="5"/>
    <x v="0"/>
    <x v="0"/>
    <x v="1"/>
    <x v="0"/>
    <n v="-1.875"/>
  </r>
  <r>
    <x v="0"/>
    <x v="0"/>
    <x v="0"/>
    <s v="BOSNIA_AND_HERZEGOVINA"/>
    <x v="46"/>
    <s v="BA00_A"/>
    <s v="GNR_WT_WIND_ONS_RG1"/>
    <x v="3"/>
    <x v="0"/>
    <x v="5"/>
    <x v="0"/>
    <x v="0"/>
    <n v="2.6100000000000002E-2"/>
  </r>
  <r>
    <x v="0"/>
    <x v="0"/>
    <x v="0"/>
    <s v="BOSNIA_AND_HERZEGOVINA"/>
    <x v="46"/>
    <s v="BA00_A"/>
    <s v="GNR_WT_WIND_ONS_RG1"/>
    <x v="3"/>
    <x v="0"/>
    <x v="5"/>
    <x v="1"/>
    <x v="0"/>
    <n v="-2.6100000000000002E-2"/>
  </r>
  <r>
    <x v="0"/>
    <x v="0"/>
    <x v="0"/>
    <s v="BOSNIA_AND_HERZEGOVINA"/>
    <x v="46"/>
    <s v="BA00_A"/>
    <s v="GNR_WT_WIND_ONS_RG2"/>
    <x v="3"/>
    <x v="0"/>
    <x v="5"/>
    <x v="0"/>
    <x v="0"/>
    <n v="5.6549999999999996E-2"/>
  </r>
  <r>
    <x v="0"/>
    <x v="0"/>
    <x v="0"/>
    <s v="BOSNIA_AND_HERZEGOVINA"/>
    <x v="46"/>
    <s v="BA00_A"/>
    <s v="GNR_WT_WIND_ONS_RG2"/>
    <x v="3"/>
    <x v="0"/>
    <x v="5"/>
    <x v="1"/>
    <x v="0"/>
    <n v="-5.6549999999999996E-2"/>
  </r>
  <r>
    <x v="0"/>
    <x v="0"/>
    <x v="0"/>
    <s v="BOSNIA_AND_HERZEGOVINA"/>
    <x v="46"/>
    <s v="BA00_A"/>
    <s v="GNR_WT_WIND_ONS_RG3"/>
    <x v="3"/>
    <x v="0"/>
    <x v="5"/>
    <x v="0"/>
    <x v="0"/>
    <n v="4.3499999999999997E-3"/>
  </r>
  <r>
    <x v="0"/>
    <x v="0"/>
    <x v="0"/>
    <s v="BOSNIA_AND_HERZEGOVINA"/>
    <x v="46"/>
    <s v="BA00_A"/>
    <s v="GNR_WT_WIND_ONS_RG3"/>
    <x v="3"/>
    <x v="0"/>
    <x v="5"/>
    <x v="1"/>
    <x v="0"/>
    <n v="-4.3499999999999997E-3"/>
  </r>
  <r>
    <x v="0"/>
    <x v="0"/>
    <x v="0"/>
    <s v="SERBIA"/>
    <x v="47"/>
    <s v="RS_A"/>
    <s v="GNR_CC_NGAS_CND_E-56"/>
    <x v="0"/>
    <x v="0"/>
    <x v="0"/>
    <x v="0"/>
    <x v="0"/>
    <n v="0.28600000000000003"/>
  </r>
  <r>
    <x v="0"/>
    <x v="0"/>
    <x v="0"/>
    <s v="SERBIA"/>
    <x v="47"/>
    <s v="RS_A"/>
    <s v="GNR_CC_NGAS_CND_E-56"/>
    <x v="0"/>
    <x v="0"/>
    <x v="0"/>
    <x v="1"/>
    <x v="0"/>
    <n v="-0.28600000000000009"/>
  </r>
  <r>
    <x v="0"/>
    <x v="0"/>
    <x v="0"/>
    <s v="SERBIA"/>
    <x v="47"/>
    <s v="RS_A"/>
    <s v="GNR_RES_WTR_NOPMP"/>
    <x v="1"/>
    <x v="0"/>
    <x v="1"/>
    <x v="0"/>
    <x v="0"/>
    <n v="0.47200000000000003"/>
  </r>
  <r>
    <x v="0"/>
    <x v="0"/>
    <x v="0"/>
    <s v="SERBIA"/>
    <x v="47"/>
    <s v="RS_A"/>
    <s v="GNR_ROR_WTR"/>
    <x v="1"/>
    <x v="0"/>
    <x v="2"/>
    <x v="0"/>
    <x v="0"/>
    <n v="2.0049999999999999"/>
  </r>
  <r>
    <x v="0"/>
    <x v="0"/>
    <x v="0"/>
    <s v="SERBIA"/>
    <x v="47"/>
    <s v="RS_A"/>
    <s v="GNR_ST_COAL_CND_E-33"/>
    <x v="5"/>
    <x v="0"/>
    <x v="0"/>
    <x v="0"/>
    <x v="0"/>
    <n v="5.2830000000000004"/>
  </r>
  <r>
    <x v="0"/>
    <x v="0"/>
    <x v="0"/>
    <s v="SERBIA"/>
    <x v="47"/>
    <s v="RS_A"/>
    <s v="GNR_ST_COAL_CND_E-33"/>
    <x v="5"/>
    <x v="0"/>
    <x v="0"/>
    <x v="1"/>
    <x v="0"/>
    <n v="-5.2829999999999986"/>
  </r>
  <r>
    <x v="0"/>
    <x v="0"/>
    <x v="0"/>
    <s v="SERBIA"/>
    <x v="47"/>
    <s v="RS_A"/>
    <s v="GNR_ST_WOOD_CND_E-50"/>
    <x v="18"/>
    <x v="0"/>
    <x v="0"/>
    <x v="0"/>
    <x v="0"/>
    <n v="8.0000000000000002E-3"/>
  </r>
  <r>
    <x v="0"/>
    <x v="0"/>
    <x v="0"/>
    <s v="SERBIA"/>
    <x v="47"/>
    <s v="RS_A"/>
    <s v="GNR_ST_WOOD_CND_E-50"/>
    <x v="18"/>
    <x v="0"/>
    <x v="0"/>
    <x v="1"/>
    <x v="0"/>
    <n v="-8.0000000000000036E-3"/>
  </r>
  <r>
    <x v="0"/>
    <x v="0"/>
    <x v="0"/>
    <s v="SERBIA"/>
    <x v="47"/>
    <s v="RS00_A"/>
    <s v="GNR_PV_SUN"/>
    <x v="8"/>
    <x v="0"/>
    <x v="9"/>
    <x v="0"/>
    <x v="0"/>
    <n v="4.0000000000000001E-3"/>
  </r>
  <r>
    <x v="0"/>
    <x v="0"/>
    <x v="0"/>
    <s v="SERBIA"/>
    <x v="47"/>
    <s v="RS00_A"/>
    <s v="GNR_PV_SUN"/>
    <x v="8"/>
    <x v="0"/>
    <x v="9"/>
    <x v="1"/>
    <x v="0"/>
    <n v="-4.0000000000000018E-3"/>
  </r>
  <r>
    <x v="0"/>
    <x v="0"/>
    <x v="0"/>
    <s v="SERBIA"/>
    <x v="47"/>
    <s v="RS00_A"/>
    <s v="GNR_WT_WIND_ONS_RG1"/>
    <x v="3"/>
    <x v="0"/>
    <x v="5"/>
    <x v="0"/>
    <x v="0"/>
    <n v="0.1191"/>
  </r>
  <r>
    <x v="0"/>
    <x v="0"/>
    <x v="0"/>
    <s v="SERBIA"/>
    <x v="47"/>
    <s v="RS00_A"/>
    <s v="GNR_WT_WIND_ONS_RG1"/>
    <x v="3"/>
    <x v="0"/>
    <x v="5"/>
    <x v="1"/>
    <x v="0"/>
    <n v="-0.1191"/>
  </r>
  <r>
    <x v="0"/>
    <x v="0"/>
    <x v="0"/>
    <s v="SERBIA"/>
    <x v="47"/>
    <s v="RS00_A"/>
    <s v="GNR_WT_WIND_ONS_RG2"/>
    <x v="3"/>
    <x v="0"/>
    <x v="5"/>
    <x v="0"/>
    <x v="0"/>
    <n v="0.25805"/>
  </r>
  <r>
    <x v="0"/>
    <x v="0"/>
    <x v="0"/>
    <s v="SERBIA"/>
    <x v="47"/>
    <s v="RS00_A"/>
    <s v="GNR_WT_WIND_ONS_RG2"/>
    <x v="3"/>
    <x v="0"/>
    <x v="5"/>
    <x v="1"/>
    <x v="0"/>
    <n v="-0.25805"/>
  </r>
  <r>
    <x v="0"/>
    <x v="0"/>
    <x v="0"/>
    <s v="SERBIA"/>
    <x v="47"/>
    <s v="RS00_A"/>
    <s v="GNR_WT_WIND_ONS_RG3"/>
    <x v="3"/>
    <x v="0"/>
    <x v="5"/>
    <x v="0"/>
    <x v="0"/>
    <n v="1.9850000000000003E-2"/>
  </r>
  <r>
    <x v="0"/>
    <x v="0"/>
    <x v="0"/>
    <s v="SERBIA"/>
    <x v="47"/>
    <s v="RS00_A"/>
    <s v="GNR_WT_WIND_ONS_RG3"/>
    <x v="3"/>
    <x v="0"/>
    <x v="5"/>
    <x v="1"/>
    <x v="0"/>
    <n v="-1.985E-2"/>
  </r>
  <r>
    <x v="0"/>
    <x v="0"/>
    <x v="0"/>
    <s v="SERBIA"/>
    <x v="47"/>
    <s v="RS00_A"/>
    <s v="GNR_WT_ONS-2050"/>
    <x v="3"/>
    <x v="0"/>
    <x v="5"/>
    <x v="2"/>
    <x v="0"/>
    <n v="0.4"/>
  </r>
  <r>
    <x v="0"/>
    <x v="0"/>
    <x v="0"/>
    <s v="TURKEY"/>
    <x v="48"/>
    <s v="TR_A"/>
    <s v="GNR_CC_NGAS_CND_E-56"/>
    <x v="0"/>
    <x v="0"/>
    <x v="0"/>
    <x v="0"/>
    <x v="0"/>
    <n v="25.75"/>
  </r>
  <r>
    <x v="0"/>
    <x v="0"/>
    <x v="0"/>
    <s v="TURKEY"/>
    <x v="48"/>
    <s v="TR_A"/>
    <s v="GNR_CC_NGAS_CND_E-56"/>
    <x v="0"/>
    <x v="0"/>
    <x v="0"/>
    <x v="1"/>
    <x v="0"/>
    <n v="-25.75"/>
  </r>
  <r>
    <x v="0"/>
    <x v="0"/>
    <x v="0"/>
    <s v="TURKEY"/>
    <x v="48"/>
    <s v="TR_A"/>
    <s v="GNR_GEO_HEAT_EO"/>
    <x v="15"/>
    <x v="0"/>
    <x v="0"/>
    <x v="0"/>
    <x v="0"/>
    <n v="1.7"/>
  </r>
  <r>
    <x v="0"/>
    <x v="0"/>
    <x v="0"/>
    <s v="TURKEY"/>
    <x v="48"/>
    <s v="TR_A"/>
    <s v="GNR_GEO_HEAT_EO"/>
    <x v="15"/>
    <x v="0"/>
    <x v="0"/>
    <x v="1"/>
    <x v="0"/>
    <n v="-1.7"/>
  </r>
  <r>
    <x v="0"/>
    <x v="0"/>
    <x v="0"/>
    <s v="TURKEY"/>
    <x v="48"/>
    <s v="TR_A"/>
    <s v="GNR_RES_WTR_NOPMP"/>
    <x v="1"/>
    <x v="0"/>
    <x v="1"/>
    <x v="0"/>
    <x v="0"/>
    <n v="31.5"/>
  </r>
  <r>
    <x v="0"/>
    <x v="0"/>
    <x v="0"/>
    <s v="TURKEY"/>
    <x v="48"/>
    <s v="TR_A"/>
    <s v="GNR_ST_COAL_CND_E-33"/>
    <x v="5"/>
    <x v="0"/>
    <x v="0"/>
    <x v="0"/>
    <x v="0"/>
    <n v="20"/>
  </r>
  <r>
    <x v="0"/>
    <x v="0"/>
    <x v="0"/>
    <s v="TURKEY"/>
    <x v="48"/>
    <s v="TR_A"/>
    <s v="GNR_ST_COAL_CND_E-33"/>
    <x v="5"/>
    <x v="0"/>
    <x v="0"/>
    <x v="1"/>
    <x v="0"/>
    <n v="-20"/>
  </r>
  <r>
    <x v="0"/>
    <x v="0"/>
    <x v="0"/>
    <s v="TURKEY"/>
    <x v="48"/>
    <s v="TR_A"/>
    <s v="GNR_ST_WOOD_CND_E-50"/>
    <x v="18"/>
    <x v="0"/>
    <x v="0"/>
    <x v="0"/>
    <x v="0"/>
    <n v="1.7"/>
  </r>
  <r>
    <x v="0"/>
    <x v="0"/>
    <x v="0"/>
    <s v="TURKEY"/>
    <x v="48"/>
    <s v="TR_A"/>
    <s v="GNR_ST_WOOD_CND_E-50"/>
    <x v="18"/>
    <x v="0"/>
    <x v="0"/>
    <x v="1"/>
    <x v="0"/>
    <n v="-1.7"/>
  </r>
  <r>
    <x v="0"/>
    <x v="0"/>
    <x v="0"/>
    <s v="TURKEY"/>
    <x v="48"/>
    <s v="TR_A"/>
    <s v="GNR_ELYS_ELEC_AEC_Y-2050"/>
    <x v="2"/>
    <x v="1"/>
    <x v="3"/>
    <x v="2"/>
    <x v="0"/>
    <n v="35.953486002481782"/>
  </r>
  <r>
    <x v="0"/>
    <x v="0"/>
    <x v="0"/>
    <s v="TURKEY"/>
    <x v="48"/>
    <s v="TR00_A"/>
    <s v="GNR_PV_SUN"/>
    <x v="8"/>
    <x v="0"/>
    <x v="9"/>
    <x v="0"/>
    <x v="0"/>
    <n v="8"/>
  </r>
  <r>
    <x v="0"/>
    <x v="0"/>
    <x v="0"/>
    <s v="TURKEY"/>
    <x v="48"/>
    <s v="TR00_A"/>
    <s v="GNR_PV_SUN"/>
    <x v="8"/>
    <x v="0"/>
    <x v="9"/>
    <x v="1"/>
    <x v="0"/>
    <n v="-8"/>
  </r>
  <r>
    <x v="0"/>
    <x v="0"/>
    <x v="0"/>
    <s v="TURKEY"/>
    <x v="48"/>
    <s v="TR00_A"/>
    <s v="GNR_WT_WIND_ONS"/>
    <x v="3"/>
    <x v="0"/>
    <x v="5"/>
    <x v="0"/>
    <x v="0"/>
    <n v="11"/>
  </r>
  <r>
    <x v="0"/>
    <x v="0"/>
    <x v="0"/>
    <s v="TURKEY"/>
    <x v="48"/>
    <s v="TR00_A"/>
    <s v="GNR_WT_WIND_ONS"/>
    <x v="3"/>
    <x v="0"/>
    <x v="5"/>
    <x v="1"/>
    <x v="0"/>
    <n v="-11"/>
  </r>
  <r>
    <x v="0"/>
    <x v="0"/>
    <x v="0"/>
    <s v="TURKEY"/>
    <x v="48"/>
    <s v="TR00_A"/>
    <s v="GNR_WT_WIND_ONS_RG1"/>
    <x v="3"/>
    <x v="0"/>
    <x v="5"/>
    <x v="0"/>
    <x v="0"/>
    <n v="3.3000000000000003"/>
  </r>
  <r>
    <x v="0"/>
    <x v="0"/>
    <x v="0"/>
    <s v="TURKEY"/>
    <x v="48"/>
    <s v="TR00_A"/>
    <s v="GNR_WT_WIND_ONS_RG1"/>
    <x v="3"/>
    <x v="0"/>
    <x v="5"/>
    <x v="1"/>
    <x v="0"/>
    <n v="-3.3000000000000003"/>
  </r>
  <r>
    <x v="0"/>
    <x v="0"/>
    <x v="0"/>
    <s v="TURKEY"/>
    <x v="48"/>
    <s v="TR00_A"/>
    <s v="GNR_WT_WIND_ONS_RG2"/>
    <x v="3"/>
    <x v="0"/>
    <x v="5"/>
    <x v="0"/>
    <x v="0"/>
    <n v="7.15"/>
  </r>
  <r>
    <x v="0"/>
    <x v="0"/>
    <x v="0"/>
    <s v="TURKEY"/>
    <x v="48"/>
    <s v="TR00_A"/>
    <s v="GNR_WT_WIND_ONS_RG2"/>
    <x v="3"/>
    <x v="0"/>
    <x v="5"/>
    <x v="1"/>
    <x v="0"/>
    <n v="-7.15"/>
  </r>
  <r>
    <x v="0"/>
    <x v="0"/>
    <x v="0"/>
    <s v="TURKEY"/>
    <x v="48"/>
    <s v="TR00_A"/>
    <s v="GNR_WT_WIND_ONS_RG3"/>
    <x v="3"/>
    <x v="0"/>
    <x v="5"/>
    <x v="0"/>
    <x v="0"/>
    <n v="0.55000000000000004"/>
  </r>
  <r>
    <x v="0"/>
    <x v="0"/>
    <x v="0"/>
    <s v="TURKEY"/>
    <x v="48"/>
    <s v="TR00_A"/>
    <s v="GNR_WT_WIND_ONS_RG3"/>
    <x v="3"/>
    <x v="0"/>
    <x v="5"/>
    <x v="1"/>
    <x v="0"/>
    <n v="-0.55000000000000004"/>
  </r>
  <r>
    <x v="0"/>
    <x v="0"/>
    <x v="0"/>
    <s v="TURKEY"/>
    <x v="48"/>
    <s v="TR00_A"/>
    <s v="GNR_WT_ONS-2050"/>
    <x v="3"/>
    <x v="0"/>
    <x v="5"/>
    <x v="2"/>
    <x v="0"/>
    <n v="46.697946576423988"/>
  </r>
  <r>
    <x v="0"/>
    <x v="0"/>
    <x v="0"/>
    <s v="TURKEY"/>
    <x v="48"/>
    <s v="TR00_A"/>
    <s v="GNR_PV-2050"/>
    <x v="8"/>
    <x v="0"/>
    <x v="9"/>
    <x v="2"/>
    <x v="0"/>
    <n v="111.50753679446321"/>
  </r>
  <r>
    <x v="0"/>
    <x v="0"/>
    <x v="0"/>
    <s v="MALTA"/>
    <x v="49"/>
    <s v="MT_A"/>
    <s v="GNR_CC_FUELOIL_CND_E-38"/>
    <x v="10"/>
    <x v="0"/>
    <x v="0"/>
    <x v="0"/>
    <x v="0"/>
    <n v="0.11"/>
  </r>
  <r>
    <x v="0"/>
    <x v="0"/>
    <x v="0"/>
    <s v="MALTA"/>
    <x v="49"/>
    <s v="MT_A"/>
    <s v="GNR_CC_FUELOIL_CND_E-38"/>
    <x v="10"/>
    <x v="0"/>
    <x v="0"/>
    <x v="1"/>
    <x v="0"/>
    <n v="-0.11"/>
  </r>
  <r>
    <x v="0"/>
    <x v="0"/>
    <x v="0"/>
    <s v="MALTA"/>
    <x v="49"/>
    <s v="MT_A"/>
    <s v="GNR_CC_NGAS_CND_E-56"/>
    <x v="0"/>
    <x v="0"/>
    <x v="0"/>
    <x v="0"/>
    <x v="0"/>
    <n v="0.215"/>
  </r>
  <r>
    <x v="0"/>
    <x v="0"/>
    <x v="0"/>
    <s v="MALTA"/>
    <x v="49"/>
    <s v="MT_A"/>
    <s v="GNR_CC_NGAS_CND_E-56"/>
    <x v="0"/>
    <x v="0"/>
    <x v="0"/>
    <x v="1"/>
    <x v="0"/>
    <n v="-0.215"/>
  </r>
  <r>
    <x v="0"/>
    <x v="0"/>
    <x v="0"/>
    <s v="MALTA"/>
    <x v="49"/>
    <s v="MT_A"/>
    <s v="GNR_CC_NGAS_CND_E-63_LS-100-MW_Y-2050"/>
    <x v="0"/>
    <x v="0"/>
    <x v="0"/>
    <x v="2"/>
    <x v="0"/>
    <n v="2.4741469717965835E-2"/>
  </r>
  <r>
    <x v="0"/>
    <x v="0"/>
    <x v="0"/>
    <s v="MALTA"/>
    <x v="49"/>
    <s v="MT_A"/>
    <s v="GNR_GT_FUELOIL_CND_E-36"/>
    <x v="10"/>
    <x v="0"/>
    <x v="0"/>
    <x v="0"/>
    <x v="0"/>
    <n v="0.11"/>
  </r>
  <r>
    <x v="0"/>
    <x v="0"/>
    <x v="0"/>
    <s v="MALTA"/>
    <x v="49"/>
    <s v="MT_A"/>
    <s v="GNR_GT_FUELOIL_CND_E-36"/>
    <x v="10"/>
    <x v="0"/>
    <x v="0"/>
    <x v="1"/>
    <x v="0"/>
    <n v="-0.11"/>
  </r>
  <r>
    <x v="0"/>
    <x v="0"/>
    <x v="0"/>
    <s v="MALTA"/>
    <x v="49"/>
    <s v="MT_A"/>
    <s v="GNR_ST_MSW_CND_E-25_LS-220-MW-FEED_Y-2050"/>
    <x v="17"/>
    <x v="0"/>
    <x v="0"/>
    <x v="2"/>
    <x v="0"/>
    <n v="5.7797407607460966E-3"/>
  </r>
  <r>
    <x v="0"/>
    <x v="0"/>
    <x v="0"/>
    <s v="MALTA"/>
    <x v="49"/>
    <s v="MT_A"/>
    <s v="GNR_ELYS_ELEC_AEC_Y-2050"/>
    <x v="2"/>
    <x v="1"/>
    <x v="3"/>
    <x v="2"/>
    <x v="0"/>
    <n v="7.6172869268929341E-2"/>
  </r>
  <r>
    <x v="0"/>
    <x v="0"/>
    <x v="0"/>
    <s v="MALTA"/>
    <x v="49"/>
    <s v="MT_A"/>
    <s v="GNR_FC_H2_SOFCC_Y-2050"/>
    <x v="6"/>
    <x v="0"/>
    <x v="12"/>
    <x v="2"/>
    <x v="0"/>
    <n v="5.1161462409174664E-2"/>
  </r>
  <r>
    <x v="0"/>
    <x v="0"/>
    <x v="0"/>
    <s v="MALTA"/>
    <x v="49"/>
    <s v="MT_A"/>
    <s v="GNR_H2S_H2-TNKC_Y-2050"/>
    <x v="6"/>
    <x v="1"/>
    <x v="7"/>
    <x v="2"/>
    <x v="0"/>
    <n v="8.4846141725961406"/>
  </r>
  <r>
    <x v="0"/>
    <x v="0"/>
    <x v="0"/>
    <s v="MALTA"/>
    <x v="49"/>
    <s v="MT00_A"/>
    <s v="GNR_PV_SUN"/>
    <x v="8"/>
    <x v="0"/>
    <x v="9"/>
    <x v="0"/>
    <x v="0"/>
    <n v="0.36799999999999999"/>
  </r>
  <r>
    <x v="0"/>
    <x v="0"/>
    <x v="0"/>
    <s v="MALTA"/>
    <x v="49"/>
    <s v="MT00_A"/>
    <s v="GNR_PV_SUN"/>
    <x v="8"/>
    <x v="0"/>
    <x v="9"/>
    <x v="1"/>
    <x v="0"/>
    <n v="-0.36799999999999988"/>
  </r>
  <r>
    <x v="0"/>
    <x v="0"/>
    <x v="0"/>
    <s v="MALTA"/>
    <x v="49"/>
    <s v="MT00_A"/>
    <s v="GNR_PV-2050"/>
    <x v="8"/>
    <x v="0"/>
    <x v="9"/>
    <x v="2"/>
    <x v="0"/>
    <n v="0.77251502985766307"/>
  </r>
  <r>
    <x v="0"/>
    <x v="0"/>
    <x v="0"/>
    <s v="CYPRUS"/>
    <x v="50"/>
    <s v="CY_A"/>
    <s v="GNR_CC_FUELOIL_CND_E-38"/>
    <x v="10"/>
    <x v="0"/>
    <x v="0"/>
    <x v="0"/>
    <x v="0"/>
    <n v="0.44"/>
  </r>
  <r>
    <x v="0"/>
    <x v="0"/>
    <x v="0"/>
    <s v="CYPRUS"/>
    <x v="50"/>
    <s v="CY_A"/>
    <s v="GNR_CC_FUELOIL_CND_E-38"/>
    <x v="10"/>
    <x v="0"/>
    <x v="0"/>
    <x v="1"/>
    <x v="0"/>
    <n v="-0.44"/>
  </r>
  <r>
    <x v="0"/>
    <x v="0"/>
    <x v="0"/>
    <s v="CYPRUS"/>
    <x v="50"/>
    <s v="CY_A"/>
    <s v="GNR_GT_FUELOIL_CND_E-36"/>
    <x v="10"/>
    <x v="0"/>
    <x v="0"/>
    <x v="0"/>
    <x v="0"/>
    <n v="0.15"/>
  </r>
  <r>
    <x v="0"/>
    <x v="0"/>
    <x v="0"/>
    <s v="CYPRUS"/>
    <x v="50"/>
    <s v="CY_A"/>
    <s v="GNR_GT_FUELOIL_CND_E-36"/>
    <x v="10"/>
    <x v="0"/>
    <x v="0"/>
    <x v="1"/>
    <x v="0"/>
    <n v="-0.15"/>
  </r>
  <r>
    <x v="0"/>
    <x v="0"/>
    <x v="0"/>
    <s v="CYPRUS"/>
    <x v="50"/>
    <s v="CY_A"/>
    <s v="GNR_GT_NGAS_CND_E-38"/>
    <x v="0"/>
    <x v="0"/>
    <x v="0"/>
    <x v="0"/>
    <x v="0"/>
    <n v="3.5000000000000003E-2"/>
  </r>
  <r>
    <x v="0"/>
    <x v="0"/>
    <x v="0"/>
    <s v="CYPRUS"/>
    <x v="50"/>
    <s v="CY_A"/>
    <s v="GNR_GT_NGAS_CND_E-38"/>
    <x v="0"/>
    <x v="0"/>
    <x v="0"/>
    <x v="1"/>
    <x v="0"/>
    <n v="-3.5000000000000003E-2"/>
  </r>
  <r>
    <x v="0"/>
    <x v="0"/>
    <x v="0"/>
    <s v="CYPRUS"/>
    <x v="50"/>
    <s v="CY_A"/>
    <s v="GNR_ST_FUELOIL_CND_E-36"/>
    <x v="10"/>
    <x v="0"/>
    <x v="0"/>
    <x v="0"/>
    <x v="0"/>
    <n v="0.85"/>
  </r>
  <r>
    <x v="0"/>
    <x v="0"/>
    <x v="0"/>
    <s v="CYPRUS"/>
    <x v="50"/>
    <s v="CY_A"/>
    <s v="GNR_ST_FUELOIL_CND_E-36"/>
    <x v="10"/>
    <x v="0"/>
    <x v="0"/>
    <x v="1"/>
    <x v="0"/>
    <n v="-0.85"/>
  </r>
  <r>
    <x v="0"/>
    <x v="0"/>
    <x v="0"/>
    <s v="CYPRUS"/>
    <x v="50"/>
    <s v="CY_A"/>
    <s v="GNR_ST_WOOD_CND_E-50"/>
    <x v="18"/>
    <x v="0"/>
    <x v="0"/>
    <x v="0"/>
    <x v="0"/>
    <n v="1.7000000000000001E-2"/>
  </r>
  <r>
    <x v="0"/>
    <x v="0"/>
    <x v="0"/>
    <s v="CYPRUS"/>
    <x v="50"/>
    <s v="CY_A"/>
    <s v="GNR_ST_WOOD_CND_E-50"/>
    <x v="18"/>
    <x v="0"/>
    <x v="0"/>
    <x v="1"/>
    <x v="0"/>
    <n v="-1.6999999999999998E-2"/>
  </r>
  <r>
    <x v="0"/>
    <x v="0"/>
    <x v="0"/>
    <s v="CYPRUS"/>
    <x v="50"/>
    <s v="CY00_A"/>
    <s v="GNR_PV_SUN"/>
    <x v="8"/>
    <x v="0"/>
    <x v="9"/>
    <x v="0"/>
    <x v="0"/>
    <n v="0.26700000000000002"/>
  </r>
  <r>
    <x v="0"/>
    <x v="0"/>
    <x v="0"/>
    <s v="CYPRUS"/>
    <x v="50"/>
    <s v="CY00_A"/>
    <s v="GNR_PV_SUN"/>
    <x v="8"/>
    <x v="0"/>
    <x v="9"/>
    <x v="1"/>
    <x v="0"/>
    <n v="-0.26699999999999996"/>
  </r>
  <r>
    <x v="0"/>
    <x v="0"/>
    <x v="0"/>
    <s v="CYPRUS"/>
    <x v="50"/>
    <s v="CY00_A"/>
    <s v="GNR_WT_WIND_ONS"/>
    <x v="3"/>
    <x v="0"/>
    <x v="5"/>
    <x v="0"/>
    <x v="0"/>
    <n v="0.3"/>
  </r>
  <r>
    <x v="0"/>
    <x v="0"/>
    <x v="0"/>
    <s v="CYPRUS"/>
    <x v="50"/>
    <s v="CY00_A"/>
    <s v="GNR_WT_WIND_ONS"/>
    <x v="3"/>
    <x v="0"/>
    <x v="5"/>
    <x v="1"/>
    <x v="0"/>
    <n v="-0.3"/>
  </r>
  <r>
    <x v="0"/>
    <x v="0"/>
    <x v="0"/>
    <s v="CYPRUS"/>
    <x v="50"/>
    <s v="CY00_A"/>
    <s v="GNR_WT_WIND_ONS_RG1"/>
    <x v="3"/>
    <x v="0"/>
    <x v="5"/>
    <x v="0"/>
    <x v="0"/>
    <n v="0.09"/>
  </r>
  <r>
    <x v="0"/>
    <x v="0"/>
    <x v="0"/>
    <s v="CYPRUS"/>
    <x v="50"/>
    <s v="CY00_A"/>
    <s v="GNR_WT_WIND_ONS_RG1"/>
    <x v="3"/>
    <x v="0"/>
    <x v="5"/>
    <x v="1"/>
    <x v="0"/>
    <n v="-0.09"/>
  </r>
  <r>
    <x v="0"/>
    <x v="0"/>
    <x v="0"/>
    <s v="CYPRUS"/>
    <x v="50"/>
    <s v="CY00_A"/>
    <s v="GNR_WT_WIND_ONS_RG2"/>
    <x v="3"/>
    <x v="0"/>
    <x v="5"/>
    <x v="0"/>
    <x v="0"/>
    <n v="0.19500000000000001"/>
  </r>
  <r>
    <x v="0"/>
    <x v="0"/>
    <x v="0"/>
    <s v="CYPRUS"/>
    <x v="50"/>
    <s v="CY00_A"/>
    <s v="GNR_WT_WIND_ONS_RG2"/>
    <x v="3"/>
    <x v="0"/>
    <x v="5"/>
    <x v="1"/>
    <x v="0"/>
    <n v="-0.19500000000000001"/>
  </r>
  <r>
    <x v="0"/>
    <x v="0"/>
    <x v="0"/>
    <s v="CYPRUS"/>
    <x v="50"/>
    <s v="CY00_A"/>
    <s v="GNR_WT_WIND_ONS_RG3"/>
    <x v="3"/>
    <x v="0"/>
    <x v="5"/>
    <x v="0"/>
    <x v="0"/>
    <n v="1.4999999999999999E-2"/>
  </r>
  <r>
    <x v="0"/>
    <x v="0"/>
    <x v="0"/>
    <s v="CYPRUS"/>
    <x v="50"/>
    <s v="CY00_A"/>
    <s v="GNR_WT_WIND_ONS_RG3"/>
    <x v="3"/>
    <x v="0"/>
    <x v="5"/>
    <x v="1"/>
    <x v="0"/>
    <n v="-1.4999999999999999E-2"/>
  </r>
  <r>
    <x v="0"/>
    <x v="0"/>
    <x v="0"/>
    <s v="CYPRUS"/>
    <x v="50"/>
    <s v="CY00_A"/>
    <s v="GNR_PV-2050"/>
    <x v="8"/>
    <x v="0"/>
    <x v="9"/>
    <x v="2"/>
    <x v="0"/>
    <n v="1.471511002119802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x v="0"/>
    <x v="0"/>
    <x v="0"/>
    <x v="0"/>
    <x v="0"/>
    <x v="0"/>
    <x v="0"/>
    <x v="0"/>
    <x v="0"/>
    <x v="0"/>
    <x v="0"/>
  </r>
  <r>
    <x v="0"/>
    <x v="0"/>
    <x v="0"/>
    <x v="0"/>
    <x v="1"/>
    <x v="1"/>
    <x v="0"/>
    <x v="0"/>
    <x v="0"/>
    <x v="0"/>
    <x v="1"/>
  </r>
  <r>
    <x v="0"/>
    <x v="0"/>
    <x v="0"/>
    <x v="0"/>
    <x v="2"/>
    <x v="2"/>
    <x v="0"/>
    <x v="0"/>
    <x v="0"/>
    <x v="0"/>
    <x v="0"/>
  </r>
  <r>
    <x v="0"/>
    <x v="0"/>
    <x v="0"/>
    <x v="0"/>
    <x v="3"/>
    <x v="3"/>
    <x v="0"/>
    <x v="0"/>
    <x v="0"/>
    <x v="0"/>
    <x v="2"/>
  </r>
  <r>
    <x v="0"/>
    <x v="0"/>
    <x v="0"/>
    <x v="0"/>
    <x v="4"/>
    <x v="4"/>
    <x v="0"/>
    <x v="0"/>
    <x v="0"/>
    <x v="0"/>
    <x v="0"/>
  </r>
  <r>
    <x v="0"/>
    <x v="0"/>
    <x v="0"/>
    <x v="1"/>
    <x v="5"/>
    <x v="5"/>
    <x v="0"/>
    <x v="0"/>
    <x v="0"/>
    <x v="0"/>
    <x v="3"/>
  </r>
  <r>
    <x v="0"/>
    <x v="0"/>
    <x v="0"/>
    <x v="2"/>
    <x v="6"/>
    <x v="6"/>
    <x v="0"/>
    <x v="0"/>
    <x v="0"/>
    <x v="0"/>
    <x v="4"/>
  </r>
  <r>
    <x v="0"/>
    <x v="0"/>
    <x v="0"/>
    <x v="3"/>
    <x v="7"/>
    <x v="7"/>
    <x v="0"/>
    <x v="0"/>
    <x v="0"/>
    <x v="0"/>
    <x v="5"/>
  </r>
  <r>
    <x v="0"/>
    <x v="0"/>
    <x v="0"/>
    <x v="4"/>
    <x v="8"/>
    <x v="8"/>
    <x v="1"/>
    <x v="0"/>
    <x v="0"/>
    <x v="0"/>
    <x v="6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1">
  <r>
    <x v="0"/>
    <x v="0"/>
    <x v="0"/>
    <x v="0"/>
    <s v="NO3"/>
    <x v="0"/>
    <x v="0"/>
    <n v="23.391560711871932"/>
  </r>
  <r>
    <x v="0"/>
    <x v="0"/>
    <x v="0"/>
    <x v="0"/>
    <s v="NO3"/>
    <x v="1"/>
    <x v="0"/>
    <n v="1.2232121037337513"/>
  </r>
  <r>
    <x v="0"/>
    <x v="0"/>
    <x v="0"/>
    <x v="0"/>
    <s v="NO3"/>
    <x v="2"/>
    <x v="0"/>
    <n v="0.23355289030621235"/>
  </r>
  <r>
    <x v="0"/>
    <x v="0"/>
    <x v="0"/>
    <x v="0"/>
    <s v="NO3"/>
    <x v="3"/>
    <x v="0"/>
    <n v="3.9149101968913125"/>
  </r>
  <r>
    <x v="0"/>
    <x v="0"/>
    <x v="0"/>
    <x v="0"/>
    <s v="NO4"/>
    <x v="0"/>
    <x v="0"/>
    <n v="16.774104522047079"/>
  </r>
  <r>
    <x v="0"/>
    <x v="0"/>
    <x v="0"/>
    <x v="0"/>
    <s v="NO4"/>
    <x v="1"/>
    <x v="0"/>
    <n v="0.87716625382116498"/>
  </r>
  <r>
    <x v="0"/>
    <x v="0"/>
    <x v="0"/>
    <x v="0"/>
    <s v="NO4"/>
    <x v="2"/>
    <x v="0"/>
    <n v="7.0398199094703309E-2"/>
  </r>
  <r>
    <x v="0"/>
    <x v="0"/>
    <x v="0"/>
    <x v="0"/>
    <s v="NO4"/>
    <x v="3"/>
    <x v="0"/>
    <n v="20.128730014883303"/>
  </r>
  <r>
    <x v="0"/>
    <x v="0"/>
    <x v="0"/>
    <x v="0"/>
    <s v="NOS"/>
    <x v="0"/>
    <x v="0"/>
    <n v="77.543334766080989"/>
  </r>
  <r>
    <x v="0"/>
    <x v="0"/>
    <x v="0"/>
    <x v="0"/>
    <s v="NOS"/>
    <x v="1"/>
    <x v="0"/>
    <n v="4.0549620832921169"/>
  </r>
  <r>
    <x v="0"/>
    <x v="0"/>
    <x v="0"/>
    <x v="0"/>
    <s v="NOS"/>
    <x v="2"/>
    <x v="0"/>
    <n v="0.50714477806919389"/>
  </r>
  <r>
    <x v="0"/>
    <x v="0"/>
    <x v="0"/>
    <x v="1"/>
    <s v="DK1"/>
    <x v="0"/>
    <x v="0"/>
    <n v="29.446147506214366"/>
  </r>
  <r>
    <x v="0"/>
    <x v="0"/>
    <x v="0"/>
    <x v="1"/>
    <s v="DK1"/>
    <x v="1"/>
    <x v="0"/>
    <n v="1.2606523890657"/>
  </r>
  <r>
    <x v="0"/>
    <x v="0"/>
    <x v="0"/>
    <x v="1"/>
    <s v="DK1"/>
    <x v="2"/>
    <x v="0"/>
    <n v="0.20427098534628294"/>
  </r>
  <r>
    <x v="0"/>
    <x v="0"/>
    <x v="0"/>
    <x v="1"/>
    <s v="DK1"/>
    <x v="3"/>
    <x v="0"/>
    <n v="6.1049016827709162"/>
  </r>
  <r>
    <x v="0"/>
    <x v="0"/>
    <x v="0"/>
    <x v="1"/>
    <s v="DK2"/>
    <x v="0"/>
    <x v="0"/>
    <n v="12.363185827119057"/>
  </r>
  <r>
    <x v="0"/>
    <x v="0"/>
    <x v="0"/>
    <x v="1"/>
    <s v="DK2"/>
    <x v="1"/>
    <x v="0"/>
    <n v="0.52929435832417959"/>
  </r>
  <r>
    <x v="0"/>
    <x v="0"/>
    <x v="0"/>
    <x v="1"/>
    <s v="DK2"/>
    <x v="2"/>
    <x v="0"/>
    <n v="2.9468500777086619E-2"/>
  </r>
  <r>
    <x v="0"/>
    <x v="0"/>
    <x v="0"/>
    <x v="1"/>
    <s v="DK2"/>
    <x v="3"/>
    <x v="0"/>
    <n v="4.507624998144399"/>
  </r>
  <r>
    <x v="0"/>
    <x v="0"/>
    <x v="0"/>
    <x v="2"/>
    <s v="FIN"/>
    <x v="0"/>
    <x v="0"/>
    <n v="81.985999999999962"/>
  </r>
  <r>
    <x v="0"/>
    <x v="0"/>
    <x v="0"/>
    <x v="2"/>
    <s v="FIN"/>
    <x v="1"/>
    <x v="0"/>
    <n v="1.7841912716151054"/>
  </r>
  <r>
    <x v="0"/>
    <x v="0"/>
    <x v="0"/>
    <x v="2"/>
    <s v="FIN"/>
    <x v="2"/>
    <x v="0"/>
    <n v="0.68651132376881285"/>
  </r>
  <r>
    <x v="0"/>
    <x v="0"/>
    <x v="0"/>
    <x v="2"/>
    <s v="FIN"/>
    <x v="3"/>
    <x v="0"/>
    <n v="1.4460748662765921"/>
  </r>
  <r>
    <x v="0"/>
    <x v="0"/>
    <x v="0"/>
    <x v="3"/>
    <s v="DE"/>
    <x v="0"/>
    <x v="0"/>
    <n v="491.45399999999967"/>
  </r>
  <r>
    <x v="0"/>
    <x v="0"/>
    <x v="0"/>
    <x v="3"/>
    <s v="DE"/>
    <x v="1"/>
    <x v="0"/>
    <n v="24.934489521586155"/>
  </r>
  <r>
    <x v="0"/>
    <x v="0"/>
    <x v="0"/>
    <x v="3"/>
    <s v="DE"/>
    <x v="2"/>
    <x v="0"/>
    <n v="6.1712622701228534"/>
  </r>
  <r>
    <x v="0"/>
    <x v="0"/>
    <x v="0"/>
    <x v="3"/>
    <s v="DE"/>
    <x v="3"/>
    <x v="0"/>
    <n v="20.226964996297692"/>
  </r>
  <r>
    <x v="0"/>
    <x v="0"/>
    <x v="0"/>
    <x v="4"/>
    <s v="NL"/>
    <x v="0"/>
    <x v="0"/>
    <n v="101.96399999999996"/>
  </r>
  <r>
    <x v="0"/>
    <x v="0"/>
    <x v="0"/>
    <x v="4"/>
    <s v="NL"/>
    <x v="1"/>
    <x v="0"/>
    <n v="3.1219706083860674"/>
  </r>
  <r>
    <x v="0"/>
    <x v="0"/>
    <x v="0"/>
    <x v="4"/>
    <s v="NL"/>
    <x v="2"/>
    <x v="0"/>
    <n v="0.36730089202868466"/>
  </r>
  <r>
    <x v="0"/>
    <x v="0"/>
    <x v="0"/>
    <x v="4"/>
    <s v="NL"/>
    <x v="3"/>
    <x v="0"/>
    <n v="16.369501885181702"/>
  </r>
  <r>
    <x v="0"/>
    <x v="0"/>
    <x v="0"/>
    <x v="5"/>
    <s v="SE1"/>
    <x v="0"/>
    <x v="0"/>
    <n v="8.5405778592774642"/>
  </r>
  <r>
    <x v="0"/>
    <x v="0"/>
    <x v="0"/>
    <x v="5"/>
    <s v="SE1"/>
    <x v="1"/>
    <x v="0"/>
    <n v="0.50983687490725549"/>
  </r>
  <r>
    <x v="0"/>
    <x v="0"/>
    <x v="0"/>
    <x v="5"/>
    <s v="SE1"/>
    <x v="2"/>
    <x v="0"/>
    <n v="0.17133045756036777"/>
  </r>
  <r>
    <x v="0"/>
    <x v="0"/>
    <x v="0"/>
    <x v="5"/>
    <s v="SE1"/>
    <x v="3"/>
    <x v="0"/>
    <n v="2.805534871068637"/>
  </r>
  <r>
    <x v="0"/>
    <x v="0"/>
    <x v="0"/>
    <x v="5"/>
    <s v="SE2"/>
    <x v="0"/>
    <x v="0"/>
    <n v="15.432478671284168"/>
  </r>
  <r>
    <x v="0"/>
    <x v="0"/>
    <x v="0"/>
    <x v="5"/>
    <s v="SE2"/>
    <x v="1"/>
    <x v="0"/>
    <n v="0.92125460682891436"/>
  </r>
  <r>
    <x v="0"/>
    <x v="0"/>
    <x v="0"/>
    <x v="5"/>
    <s v="SE2"/>
    <x v="2"/>
    <x v="0"/>
    <n v="0.19032126613744668"/>
  </r>
  <r>
    <x v="0"/>
    <x v="0"/>
    <x v="0"/>
    <x v="5"/>
    <s v="SE2"/>
    <x v="3"/>
    <x v="0"/>
    <n v="10.67632501909906"/>
  </r>
  <r>
    <x v="0"/>
    <x v="0"/>
    <x v="0"/>
    <x v="5"/>
    <s v="SE3"/>
    <x v="0"/>
    <x v="0"/>
    <n v="78.897334872361768"/>
  </r>
  <r>
    <x v="0"/>
    <x v="0"/>
    <x v="0"/>
    <x v="5"/>
    <s v="SE3"/>
    <x v="1"/>
    <x v="0"/>
    <n v="4.7098418060952136"/>
  </r>
  <r>
    <x v="0"/>
    <x v="0"/>
    <x v="0"/>
    <x v="5"/>
    <s v="SE3"/>
    <x v="2"/>
    <x v="0"/>
    <n v="1.8951236450433562"/>
  </r>
  <r>
    <x v="0"/>
    <x v="0"/>
    <x v="0"/>
    <x v="5"/>
    <s v="SE3"/>
    <x v="3"/>
    <x v="0"/>
    <n v="19.261455167751123"/>
  </r>
  <r>
    <x v="0"/>
    <x v="0"/>
    <x v="0"/>
    <x v="5"/>
    <s v="SE4"/>
    <x v="0"/>
    <x v="0"/>
    <n v="23.04916415263218"/>
  </r>
  <r>
    <x v="0"/>
    <x v="0"/>
    <x v="0"/>
    <x v="5"/>
    <s v="SE4"/>
    <x v="1"/>
    <x v="0"/>
    <n v="1.3759389603874519"/>
  </r>
  <r>
    <x v="0"/>
    <x v="0"/>
    <x v="0"/>
    <x v="5"/>
    <s v="SE4"/>
    <x v="2"/>
    <x v="0"/>
    <n v="0.39558966059434247"/>
  </r>
  <r>
    <x v="0"/>
    <x v="0"/>
    <x v="0"/>
    <x v="5"/>
    <s v="SE4"/>
    <x v="3"/>
    <x v="0"/>
    <n v="6.2715581580777799"/>
  </r>
  <r>
    <x v="0"/>
    <x v="0"/>
    <x v="0"/>
    <x v="6"/>
    <s v="UK00"/>
    <x v="0"/>
    <x v="0"/>
    <n v="290.56330773333309"/>
  </r>
  <r>
    <x v="0"/>
    <x v="0"/>
    <x v="0"/>
    <x v="6"/>
    <s v="UK00"/>
    <x v="1"/>
    <x v="0"/>
    <n v="15.292805670175435"/>
  </r>
  <r>
    <x v="0"/>
    <x v="0"/>
    <x v="0"/>
    <x v="6"/>
    <s v="UK00"/>
    <x v="2"/>
    <x v="0"/>
    <n v="1.1063434793472173"/>
  </r>
  <r>
    <x v="0"/>
    <x v="0"/>
    <x v="0"/>
    <x v="6"/>
    <s v="UK00"/>
    <x v="3"/>
    <x v="0"/>
    <n v="232.42057729538999"/>
  </r>
  <r>
    <x v="0"/>
    <x v="0"/>
    <x v="0"/>
    <x v="6"/>
    <s v="UKNI"/>
    <x v="0"/>
    <x v="0"/>
    <n v="5.6880255999999996"/>
  </r>
  <r>
    <x v="0"/>
    <x v="0"/>
    <x v="0"/>
    <x v="6"/>
    <s v="UKNI"/>
    <x v="1"/>
    <x v="0"/>
    <n v="0.29936976842105284"/>
  </r>
  <r>
    <x v="0"/>
    <x v="0"/>
    <x v="0"/>
    <x v="6"/>
    <s v="UKNI"/>
    <x v="2"/>
    <x v="0"/>
    <n v="0.16124277949425697"/>
  </r>
  <r>
    <x v="0"/>
    <x v="0"/>
    <x v="0"/>
    <x v="6"/>
    <s v="UKNI"/>
    <x v="3"/>
    <x v="0"/>
    <n v="2.9814282032100729E-2"/>
  </r>
  <r>
    <x v="0"/>
    <x v="0"/>
    <x v="0"/>
    <x v="7"/>
    <s v="EE"/>
    <x v="0"/>
    <x v="0"/>
    <n v="7.4595555555555562"/>
  </r>
  <r>
    <x v="0"/>
    <x v="0"/>
    <x v="0"/>
    <x v="7"/>
    <s v="EE"/>
    <x v="1"/>
    <x v="0"/>
    <n v="0.39260818713450291"/>
  </r>
  <r>
    <x v="0"/>
    <x v="0"/>
    <x v="0"/>
    <x v="7"/>
    <s v="EE"/>
    <x v="2"/>
    <x v="0"/>
    <n v="0.14794666680915478"/>
  </r>
  <r>
    <x v="0"/>
    <x v="0"/>
    <x v="0"/>
    <x v="8"/>
    <s v="LV"/>
    <x v="0"/>
    <x v="0"/>
    <n v="6.1549999999999958"/>
  </r>
  <r>
    <x v="0"/>
    <x v="0"/>
    <x v="0"/>
    <x v="8"/>
    <s v="LV"/>
    <x v="1"/>
    <x v="0"/>
    <n v="0.32394736842105226"/>
  </r>
  <r>
    <x v="0"/>
    <x v="0"/>
    <x v="0"/>
    <x v="8"/>
    <s v="LV"/>
    <x v="2"/>
    <x v="0"/>
    <n v="7.673766683838816E-2"/>
  </r>
  <r>
    <x v="0"/>
    <x v="0"/>
    <x v="0"/>
    <x v="9"/>
    <s v="LT"/>
    <x v="0"/>
    <x v="0"/>
    <n v="9.4520000000000017"/>
  </r>
  <r>
    <x v="0"/>
    <x v="0"/>
    <x v="0"/>
    <x v="9"/>
    <s v="LT"/>
    <x v="1"/>
    <x v="0"/>
    <n v="0.49747368421052629"/>
  </r>
  <r>
    <x v="0"/>
    <x v="0"/>
    <x v="0"/>
    <x v="9"/>
    <s v="LT"/>
    <x v="2"/>
    <x v="0"/>
    <n v="4.5179387576333122E-2"/>
  </r>
  <r>
    <x v="0"/>
    <x v="0"/>
    <x v="0"/>
    <x v="9"/>
    <s v="LT"/>
    <x v="3"/>
    <x v="0"/>
    <n v="52.599389420855388"/>
  </r>
  <r>
    <x v="0"/>
    <x v="0"/>
    <x v="0"/>
    <x v="10"/>
    <s v="PL"/>
    <x v="0"/>
    <x v="0"/>
    <n v="136.67411111111107"/>
  </r>
  <r>
    <x v="0"/>
    <x v="0"/>
    <x v="0"/>
    <x v="10"/>
    <s v="PL"/>
    <x v="1"/>
    <x v="0"/>
    <n v="7.225272855259087"/>
  </r>
  <r>
    <x v="0"/>
    <x v="0"/>
    <x v="0"/>
    <x v="10"/>
    <s v="PL"/>
    <x v="2"/>
    <x v="0"/>
    <n v="0.70657024824005377"/>
  </r>
  <r>
    <x v="0"/>
    <x v="0"/>
    <x v="0"/>
    <x v="10"/>
    <s v="PL"/>
    <x v="3"/>
    <x v="0"/>
    <n v="359.04008170899192"/>
  </r>
  <r>
    <x v="0"/>
    <x v="0"/>
    <x v="0"/>
    <x v="11"/>
    <s v="BE"/>
    <x v="0"/>
    <x v="0"/>
    <n v="75.553333333333327"/>
  </r>
  <r>
    <x v="0"/>
    <x v="0"/>
    <x v="0"/>
    <x v="11"/>
    <s v="BE"/>
    <x v="1"/>
    <x v="0"/>
    <n v="3.9764912280701759"/>
  </r>
  <r>
    <x v="0"/>
    <x v="0"/>
    <x v="0"/>
    <x v="11"/>
    <s v="BE"/>
    <x v="2"/>
    <x v="0"/>
    <n v="1.3911137960908408"/>
  </r>
  <r>
    <x v="0"/>
    <x v="0"/>
    <x v="0"/>
    <x v="12"/>
    <s v="FR00"/>
    <x v="0"/>
    <x v="0"/>
    <n v="422.78444999999994"/>
  </r>
  <r>
    <x v="0"/>
    <x v="0"/>
    <x v="0"/>
    <x v="12"/>
    <s v="FR00"/>
    <x v="1"/>
    <x v="0"/>
    <n v="22.342248008834613"/>
  </r>
  <r>
    <x v="0"/>
    <x v="0"/>
    <x v="0"/>
    <x v="12"/>
    <s v="FR00"/>
    <x v="2"/>
    <x v="0"/>
    <n v="2.6655615149548839"/>
  </r>
  <r>
    <x v="0"/>
    <x v="0"/>
    <x v="0"/>
    <x v="12"/>
    <s v="FR00"/>
    <x v="3"/>
    <x v="0"/>
    <n v="249.13524698203187"/>
  </r>
  <r>
    <x v="0"/>
    <x v="0"/>
    <x v="0"/>
    <x v="12"/>
    <s v="FR15"/>
    <x v="0"/>
    <x v="0"/>
    <n v="4.2705499999999992"/>
  </r>
  <r>
    <x v="0"/>
    <x v="0"/>
    <x v="0"/>
    <x v="12"/>
    <s v="FR15"/>
    <x v="1"/>
    <x v="0"/>
    <n v="0.22476578947368417"/>
  </r>
  <r>
    <x v="0"/>
    <x v="0"/>
    <x v="0"/>
    <x v="12"/>
    <s v="FR15"/>
    <x v="2"/>
    <x v="0"/>
    <n v="2.029642771986712E-2"/>
  </r>
  <r>
    <x v="0"/>
    <x v="0"/>
    <x v="0"/>
    <x v="12"/>
    <s v="FR15"/>
    <x v="3"/>
    <x v="0"/>
    <n v="2.2254885287992114"/>
  </r>
  <r>
    <x v="0"/>
    <x v="0"/>
    <x v="0"/>
    <x v="13"/>
    <s v="ITCA"/>
    <x v="0"/>
    <x v="0"/>
    <n v="5.7899964187344217"/>
  </r>
  <r>
    <x v="0"/>
    <x v="0"/>
    <x v="0"/>
    <x v="13"/>
    <s v="ITCA"/>
    <x v="1"/>
    <x v="0"/>
    <n v="0.30473665361760133"/>
  </r>
  <r>
    <x v="0"/>
    <x v="0"/>
    <x v="0"/>
    <x v="13"/>
    <s v="ITCA"/>
    <x v="2"/>
    <x v="0"/>
    <n v="0.42958884613586634"/>
  </r>
  <r>
    <x v="0"/>
    <x v="0"/>
    <x v="0"/>
    <x v="13"/>
    <s v="ITCA"/>
    <x v="3"/>
    <x v="0"/>
    <n v="1.1752133703561214"/>
  </r>
  <r>
    <x v="0"/>
    <x v="0"/>
    <x v="0"/>
    <x v="13"/>
    <s v="ITCN"/>
    <x v="0"/>
    <x v="0"/>
    <n v="26.200973414135508"/>
  </r>
  <r>
    <x v="0"/>
    <x v="0"/>
    <x v="0"/>
    <x v="13"/>
    <s v="ITCN"/>
    <x v="1"/>
    <x v="0"/>
    <n v="1.3789986007439747"/>
  </r>
  <r>
    <x v="0"/>
    <x v="0"/>
    <x v="0"/>
    <x v="13"/>
    <s v="ITCN"/>
    <x v="2"/>
    <x v="0"/>
    <n v="0.92594723179445648"/>
  </r>
  <r>
    <x v="0"/>
    <x v="0"/>
    <x v="0"/>
    <x v="13"/>
    <s v="ITCN"/>
    <x v="3"/>
    <x v="0"/>
    <n v="0.93995413321004584"/>
  </r>
  <r>
    <x v="0"/>
    <x v="0"/>
    <x v="0"/>
    <x v="13"/>
    <s v="ITCO"/>
    <x v="2"/>
    <x v="0"/>
    <n v="5.3021011704181692E-2"/>
  </r>
  <r>
    <x v="0"/>
    <x v="0"/>
    <x v="0"/>
    <x v="13"/>
    <s v="ITCS"/>
    <x v="0"/>
    <x v="0"/>
    <n v="48.904563450139378"/>
  </r>
  <r>
    <x v="0"/>
    <x v="0"/>
    <x v="0"/>
    <x v="13"/>
    <s v="ITCS"/>
    <x v="1"/>
    <x v="0"/>
    <n v="2.5739243921125987"/>
  </r>
  <r>
    <x v="0"/>
    <x v="0"/>
    <x v="0"/>
    <x v="13"/>
    <s v="ITCS"/>
    <x v="2"/>
    <x v="0"/>
    <n v="1.156527731646096"/>
  </r>
  <r>
    <x v="0"/>
    <x v="0"/>
    <x v="0"/>
    <x v="13"/>
    <s v="ITCS"/>
    <x v="3"/>
    <x v="0"/>
    <n v="2.222280468846185"/>
  </r>
  <r>
    <x v="0"/>
    <x v="0"/>
    <x v="0"/>
    <x v="13"/>
    <s v="ITN1"/>
    <x v="0"/>
    <x v="0"/>
    <n v="159.18001633167373"/>
  </r>
  <r>
    <x v="0"/>
    <x v="0"/>
    <x v="0"/>
    <x v="13"/>
    <s v="ITN1"/>
    <x v="1"/>
    <x v="0"/>
    <n v="8.3778955964038815"/>
  </r>
  <r>
    <x v="0"/>
    <x v="0"/>
    <x v="0"/>
    <x v="13"/>
    <s v="ITN1"/>
    <x v="2"/>
    <x v="0"/>
    <n v="3.5660284181306259"/>
  </r>
  <r>
    <x v="0"/>
    <x v="0"/>
    <x v="0"/>
    <x v="13"/>
    <s v="ITN1"/>
    <x v="3"/>
    <x v="0"/>
    <n v="12.770165565601582"/>
  </r>
  <r>
    <x v="0"/>
    <x v="0"/>
    <x v="0"/>
    <x v="13"/>
    <s v="ITS1"/>
    <x v="0"/>
    <x v="0"/>
    <n v="21.905336505734663"/>
  </r>
  <r>
    <x v="0"/>
    <x v="0"/>
    <x v="0"/>
    <x v="13"/>
    <s v="ITS1"/>
    <x v="1"/>
    <x v="0"/>
    <n v="1.152912447670245"/>
  </r>
  <r>
    <x v="0"/>
    <x v="0"/>
    <x v="0"/>
    <x v="13"/>
    <s v="ITS1"/>
    <x v="2"/>
    <x v="0"/>
    <n v="0.57814328423318928"/>
  </r>
  <r>
    <x v="0"/>
    <x v="0"/>
    <x v="0"/>
    <x v="13"/>
    <s v="ITS1"/>
    <x v="3"/>
    <x v="0"/>
    <n v="83.128063947838157"/>
  </r>
  <r>
    <x v="0"/>
    <x v="0"/>
    <x v="0"/>
    <x v="13"/>
    <s v="ITSA"/>
    <x v="0"/>
    <x v="0"/>
    <n v="8.7200490303251783"/>
  </r>
  <r>
    <x v="0"/>
    <x v="0"/>
    <x v="0"/>
    <x v="13"/>
    <s v="ITSA"/>
    <x v="1"/>
    <x v="0"/>
    <n v="0.45894994896448305"/>
  </r>
  <r>
    <x v="0"/>
    <x v="0"/>
    <x v="0"/>
    <x v="13"/>
    <s v="ITSA"/>
    <x v="2"/>
    <x v="0"/>
    <n v="7.5333805003199916E-2"/>
  </r>
  <r>
    <x v="0"/>
    <x v="0"/>
    <x v="0"/>
    <x v="13"/>
    <s v="ITSI"/>
    <x v="0"/>
    <x v="0"/>
    <n v="18.554042953090381"/>
  </r>
  <r>
    <x v="0"/>
    <x v="0"/>
    <x v="0"/>
    <x v="13"/>
    <s v="ITSI"/>
    <x v="1"/>
    <x v="0"/>
    <n v="0.97652857647844049"/>
  </r>
  <r>
    <x v="0"/>
    <x v="0"/>
    <x v="0"/>
    <x v="13"/>
    <s v="ITSI"/>
    <x v="2"/>
    <x v="0"/>
    <n v="0.31823386928969605"/>
  </r>
  <r>
    <x v="0"/>
    <x v="0"/>
    <x v="0"/>
    <x v="13"/>
    <s v="ITSI"/>
    <x v="3"/>
    <x v="0"/>
    <n v="31.646043748101267"/>
  </r>
  <r>
    <x v="0"/>
    <x v="0"/>
    <x v="0"/>
    <x v="14"/>
    <s v="CH"/>
    <x v="0"/>
    <x v="0"/>
    <n v="44.813024175833334"/>
  </r>
  <r>
    <x v="0"/>
    <x v="0"/>
    <x v="0"/>
    <x v="14"/>
    <s v="CH"/>
    <x v="1"/>
    <x v="0"/>
    <n v="2.358580219780702"/>
  </r>
  <r>
    <x v="0"/>
    <x v="0"/>
    <x v="0"/>
    <x v="14"/>
    <s v="CH"/>
    <x v="2"/>
    <x v="0"/>
    <n v="0.67336736450686063"/>
  </r>
  <r>
    <x v="0"/>
    <x v="0"/>
    <x v="0"/>
    <x v="14"/>
    <s v="CH"/>
    <x v="3"/>
    <x v="0"/>
    <n v="50.395416241988244"/>
  </r>
  <r>
    <x v="0"/>
    <x v="0"/>
    <x v="0"/>
    <x v="15"/>
    <s v="AT"/>
    <x v="0"/>
    <x v="0"/>
    <n v="66.001900648666663"/>
  </r>
  <r>
    <x v="0"/>
    <x v="0"/>
    <x v="0"/>
    <x v="15"/>
    <s v="AT"/>
    <x v="1"/>
    <x v="0"/>
    <n v="3.4737842446666667"/>
  </r>
  <r>
    <x v="0"/>
    <x v="0"/>
    <x v="0"/>
    <x v="15"/>
    <s v="AT"/>
    <x v="2"/>
    <x v="0"/>
    <n v="0.63627496235589742"/>
  </r>
  <r>
    <x v="0"/>
    <x v="0"/>
    <x v="0"/>
    <x v="15"/>
    <s v="AT"/>
    <x v="3"/>
    <x v="0"/>
    <n v="4.4413746392749358"/>
  </r>
  <r>
    <x v="0"/>
    <x v="0"/>
    <x v="0"/>
    <x v="16"/>
    <s v="CZ"/>
    <x v="0"/>
    <x v="0"/>
    <n v="60.061507758333342"/>
  </r>
  <r>
    <x v="0"/>
    <x v="0"/>
    <x v="0"/>
    <x v="16"/>
    <s v="CZ"/>
    <x v="1"/>
    <x v="0"/>
    <n v="3.1611319872807027"/>
  </r>
  <r>
    <x v="0"/>
    <x v="0"/>
    <x v="0"/>
    <x v="16"/>
    <s v="CZ"/>
    <x v="2"/>
    <x v="0"/>
    <n v="0.78861215685949504"/>
  </r>
  <r>
    <x v="0"/>
    <x v="0"/>
    <x v="0"/>
    <x v="16"/>
    <s v="CZ"/>
    <x v="3"/>
    <x v="0"/>
    <n v="11.412993077099145"/>
  </r>
  <r>
    <x v="0"/>
    <x v="0"/>
    <x v="0"/>
    <x v="17"/>
    <s v="ES"/>
    <x v="0"/>
    <x v="0"/>
    <n v="229.83865505533342"/>
  </r>
  <r>
    <x v="0"/>
    <x v="0"/>
    <x v="0"/>
    <x v="17"/>
    <s v="ES"/>
    <x v="1"/>
    <x v="0"/>
    <n v="12.096771318701753"/>
  </r>
  <r>
    <x v="0"/>
    <x v="0"/>
    <x v="0"/>
    <x v="17"/>
    <s v="ES"/>
    <x v="2"/>
    <x v="0"/>
    <n v="1.4744106994439075"/>
  </r>
  <r>
    <x v="0"/>
    <x v="0"/>
    <x v="0"/>
    <x v="17"/>
    <s v="ES"/>
    <x v="3"/>
    <x v="0"/>
    <n v="417.87657415188778"/>
  </r>
  <r>
    <x v="0"/>
    <x v="0"/>
    <x v="0"/>
    <x v="18"/>
    <s v="PT"/>
    <x v="0"/>
    <x v="0"/>
    <n v="45.872124254833373"/>
  </r>
  <r>
    <x v="0"/>
    <x v="0"/>
    <x v="0"/>
    <x v="18"/>
    <s v="PT"/>
    <x v="4"/>
    <x v="0"/>
    <n v="4.1559942857142824E-2"/>
  </r>
  <r>
    <x v="0"/>
    <x v="0"/>
    <x v="0"/>
    <x v="18"/>
    <s v="PT"/>
    <x v="1"/>
    <x v="0"/>
    <n v="2.4143223292017542"/>
  </r>
  <r>
    <x v="0"/>
    <x v="0"/>
    <x v="0"/>
    <x v="18"/>
    <s v="PT"/>
    <x v="2"/>
    <x v="0"/>
    <n v="0.46162063221145194"/>
  </r>
  <r>
    <x v="0"/>
    <x v="0"/>
    <x v="0"/>
    <x v="18"/>
    <s v="PT"/>
    <x v="3"/>
    <x v="0"/>
    <n v="20.630503355730578"/>
  </r>
  <r>
    <x v="0"/>
    <x v="0"/>
    <x v="0"/>
    <x v="19"/>
    <s v="SK"/>
    <x v="0"/>
    <x v="0"/>
    <n v="23.741276002666062"/>
  </r>
  <r>
    <x v="0"/>
    <x v="0"/>
    <x v="0"/>
    <x v="19"/>
    <s v="SK"/>
    <x v="4"/>
    <x v="0"/>
    <n v="1.6119964285714286E-2"/>
  </r>
  <r>
    <x v="0"/>
    <x v="0"/>
    <x v="0"/>
    <x v="19"/>
    <s v="SK"/>
    <x v="1"/>
    <x v="0"/>
    <n v="1.249540842245582"/>
  </r>
  <r>
    <x v="0"/>
    <x v="0"/>
    <x v="0"/>
    <x v="19"/>
    <s v="SK"/>
    <x v="2"/>
    <x v="0"/>
    <n v="0.41321021281864728"/>
  </r>
  <r>
    <x v="0"/>
    <x v="0"/>
    <x v="0"/>
    <x v="20"/>
    <s v="HU"/>
    <x v="0"/>
    <x v="0"/>
    <n v="35.316197490280082"/>
  </r>
  <r>
    <x v="0"/>
    <x v="0"/>
    <x v="0"/>
    <x v="20"/>
    <s v="HU"/>
    <x v="1"/>
    <x v="0"/>
    <n v="1.85874723633053"/>
  </r>
  <r>
    <x v="0"/>
    <x v="0"/>
    <x v="0"/>
    <x v="20"/>
    <s v="HU"/>
    <x v="2"/>
    <x v="0"/>
    <n v="1.1436615169345681"/>
  </r>
  <r>
    <x v="0"/>
    <x v="0"/>
    <x v="0"/>
    <x v="21"/>
    <s v="SI"/>
    <x v="0"/>
    <x v="0"/>
    <n v="11.972383832478997"/>
  </r>
  <r>
    <x v="0"/>
    <x v="0"/>
    <x v="0"/>
    <x v="21"/>
    <s v="SI"/>
    <x v="1"/>
    <x v="0"/>
    <n v="0.63012546486731569"/>
  </r>
  <r>
    <x v="0"/>
    <x v="0"/>
    <x v="0"/>
    <x v="21"/>
    <s v="SI"/>
    <x v="2"/>
    <x v="0"/>
    <n v="0.40009879858313196"/>
  </r>
  <r>
    <x v="0"/>
    <x v="0"/>
    <x v="0"/>
    <x v="22"/>
    <s v="HR"/>
    <x v="0"/>
    <x v="0"/>
    <n v="15.084308667687434"/>
  </r>
  <r>
    <x v="0"/>
    <x v="0"/>
    <x v="0"/>
    <x v="22"/>
    <s v="HR"/>
    <x v="4"/>
    <x v="0"/>
    <n v="4.94509821428571E-3"/>
  </r>
  <r>
    <x v="0"/>
    <x v="0"/>
    <x v="0"/>
    <x v="22"/>
    <s v="HR"/>
    <x v="1"/>
    <x v="0"/>
    <n v="0.79391098250986514"/>
  </r>
  <r>
    <x v="0"/>
    <x v="0"/>
    <x v="0"/>
    <x v="22"/>
    <s v="HR"/>
    <x v="2"/>
    <x v="0"/>
    <n v="9.2589729501691545E-2"/>
  </r>
  <r>
    <x v="0"/>
    <x v="0"/>
    <x v="0"/>
    <x v="23"/>
    <s v="RO"/>
    <x v="0"/>
    <x v="0"/>
    <n v="43.309804512278227"/>
  </r>
  <r>
    <x v="0"/>
    <x v="0"/>
    <x v="0"/>
    <x v="23"/>
    <s v="RO"/>
    <x v="1"/>
    <x v="0"/>
    <n v="2.2794633953830652"/>
  </r>
  <r>
    <x v="0"/>
    <x v="0"/>
    <x v="0"/>
    <x v="23"/>
    <s v="RO"/>
    <x v="2"/>
    <x v="0"/>
    <n v="9.6171780563891113E-2"/>
  </r>
  <r>
    <x v="0"/>
    <x v="0"/>
    <x v="0"/>
    <x v="23"/>
    <s v="RO"/>
    <x v="3"/>
    <x v="0"/>
    <n v="11.579490124365057"/>
  </r>
  <r>
    <x v="0"/>
    <x v="0"/>
    <x v="0"/>
    <x v="24"/>
    <s v="BG"/>
    <x v="0"/>
    <x v="0"/>
    <n v="28.64091424331296"/>
  </r>
  <r>
    <x v="0"/>
    <x v="0"/>
    <x v="0"/>
    <x v="24"/>
    <s v="BG"/>
    <x v="1"/>
    <x v="0"/>
    <n v="1.5074165391217347"/>
  </r>
  <r>
    <x v="0"/>
    <x v="0"/>
    <x v="0"/>
    <x v="24"/>
    <s v="BG"/>
    <x v="2"/>
    <x v="0"/>
    <n v="0.13023532576454117"/>
  </r>
  <r>
    <x v="0"/>
    <x v="0"/>
    <x v="0"/>
    <x v="25"/>
    <s v="GR00"/>
    <x v="0"/>
    <x v="0"/>
    <n v="50.086303639638572"/>
  </r>
  <r>
    <x v="0"/>
    <x v="0"/>
    <x v="0"/>
    <x v="25"/>
    <s v="GR00"/>
    <x v="1"/>
    <x v="0"/>
    <n v="2.6361212441915032"/>
  </r>
  <r>
    <x v="0"/>
    <x v="0"/>
    <x v="0"/>
    <x v="25"/>
    <s v="GR00"/>
    <x v="2"/>
    <x v="0"/>
    <n v="1.1667481988639741"/>
  </r>
  <r>
    <x v="0"/>
    <x v="0"/>
    <x v="0"/>
    <x v="25"/>
    <s v="GR03"/>
    <x v="0"/>
    <x v="0"/>
    <n v="2.8702449326162092"/>
  </r>
  <r>
    <x v="0"/>
    <x v="0"/>
    <x v="0"/>
    <x v="25"/>
    <s v="GR03"/>
    <x v="1"/>
    <x v="0"/>
    <n v="0.15106552276927412"/>
  </r>
  <r>
    <x v="0"/>
    <x v="0"/>
    <x v="0"/>
    <x v="25"/>
    <s v="GR03"/>
    <x v="2"/>
    <x v="0"/>
    <n v="9.7066727150795104E-2"/>
  </r>
  <r>
    <x v="0"/>
    <x v="0"/>
    <x v="0"/>
    <x v="26"/>
    <s v="IE"/>
    <x v="0"/>
    <x v="0"/>
    <n v="25.243556511712587"/>
  </r>
  <r>
    <x v="0"/>
    <x v="0"/>
    <x v="0"/>
    <x v="26"/>
    <s v="IE"/>
    <x v="1"/>
    <x v="0"/>
    <n v="1.3286082374585582"/>
  </r>
  <r>
    <x v="0"/>
    <x v="0"/>
    <x v="0"/>
    <x v="26"/>
    <s v="IE"/>
    <x v="2"/>
    <x v="0"/>
    <n v="0.27289740383919114"/>
  </r>
  <r>
    <x v="0"/>
    <x v="0"/>
    <x v="0"/>
    <x v="26"/>
    <s v="IE"/>
    <x v="3"/>
    <x v="0"/>
    <n v="32.946763466436266"/>
  </r>
  <r>
    <x v="0"/>
    <x v="0"/>
    <x v="0"/>
    <x v="27"/>
    <s v="LU"/>
    <x v="0"/>
    <x v="0"/>
    <n v="5.7347020584336255"/>
  </r>
  <r>
    <x v="0"/>
    <x v="0"/>
    <x v="0"/>
    <x v="27"/>
    <s v="LU"/>
    <x v="1"/>
    <x v="0"/>
    <n v="0.30182642412808558"/>
  </r>
  <r>
    <x v="0"/>
    <x v="0"/>
    <x v="0"/>
    <x v="27"/>
    <s v="LU"/>
    <x v="2"/>
    <x v="0"/>
    <n v="0.24016770695622705"/>
  </r>
  <r>
    <x v="0"/>
    <x v="0"/>
    <x v="0"/>
    <x v="28"/>
    <s v="AL"/>
    <x v="0"/>
    <x v="0"/>
    <n v="5.4398385840401797"/>
  </r>
  <r>
    <x v="0"/>
    <x v="0"/>
    <x v="0"/>
    <x v="28"/>
    <s v="AL"/>
    <x v="1"/>
    <x v="0"/>
    <n v="0.28630729389685156"/>
  </r>
  <r>
    <x v="0"/>
    <x v="0"/>
    <x v="0"/>
    <x v="28"/>
    <s v="AL"/>
    <x v="2"/>
    <x v="0"/>
    <n v="0.10871521701795669"/>
  </r>
  <r>
    <x v="0"/>
    <x v="0"/>
    <x v="0"/>
    <x v="29"/>
    <s v="ME"/>
    <x v="0"/>
    <x v="0"/>
    <n v="2.5495003441857205"/>
  </r>
  <r>
    <x v="0"/>
    <x v="0"/>
    <x v="0"/>
    <x v="29"/>
    <s v="ME"/>
    <x v="1"/>
    <x v="0"/>
    <n v="0.13418422864135374"/>
  </r>
  <r>
    <x v="0"/>
    <x v="0"/>
    <x v="0"/>
    <x v="29"/>
    <s v="ME"/>
    <x v="2"/>
    <x v="0"/>
    <n v="0.2154263476932623"/>
  </r>
  <r>
    <x v="0"/>
    <x v="0"/>
    <x v="0"/>
    <x v="30"/>
    <s v="MK"/>
    <x v="0"/>
    <x v="0"/>
    <n v="6.0036315715348794"/>
  </r>
  <r>
    <x v="0"/>
    <x v="0"/>
    <x v="0"/>
    <x v="30"/>
    <s v="MK"/>
    <x v="1"/>
    <x v="0"/>
    <n v="0.31598060902815167"/>
  </r>
  <r>
    <x v="0"/>
    <x v="0"/>
    <x v="0"/>
    <x v="30"/>
    <s v="MK"/>
    <x v="2"/>
    <x v="0"/>
    <n v="3.7762151664669008E-2"/>
  </r>
  <r>
    <x v="0"/>
    <x v="0"/>
    <x v="0"/>
    <x v="31"/>
    <s v="BA"/>
    <x v="0"/>
    <x v="0"/>
    <n v="10.743097871658186"/>
  </r>
  <r>
    <x v="0"/>
    <x v="0"/>
    <x v="0"/>
    <x v="31"/>
    <s v="BA"/>
    <x v="4"/>
    <x v="0"/>
    <n v="6.1945714285714278E-3"/>
  </r>
  <r>
    <x v="0"/>
    <x v="0"/>
    <x v="0"/>
    <x v="31"/>
    <s v="BA"/>
    <x v="1"/>
    <x v="0"/>
    <n v="0.56542620377148312"/>
  </r>
  <r>
    <x v="0"/>
    <x v="0"/>
    <x v="0"/>
    <x v="31"/>
    <s v="BA"/>
    <x v="2"/>
    <x v="0"/>
    <n v="0.16544561987017009"/>
  </r>
  <r>
    <x v="0"/>
    <x v="0"/>
    <x v="0"/>
    <x v="32"/>
    <s v="RS"/>
    <x v="0"/>
    <x v="0"/>
    <n v="27.396098745140037"/>
  </r>
  <r>
    <x v="0"/>
    <x v="0"/>
    <x v="0"/>
    <x v="32"/>
    <s v="RS"/>
    <x v="1"/>
    <x v="0"/>
    <n v="1.4418999339547387"/>
  </r>
  <r>
    <x v="0"/>
    <x v="0"/>
    <x v="0"/>
    <x v="32"/>
    <s v="RS"/>
    <x v="2"/>
    <x v="0"/>
    <n v="0.64700819378103358"/>
  </r>
  <r>
    <x v="0"/>
    <x v="0"/>
    <x v="0"/>
    <x v="32"/>
    <s v="RS"/>
    <x v="3"/>
    <x v="0"/>
    <n v="-5.5957111866349564E-17"/>
  </r>
  <r>
    <x v="0"/>
    <x v="0"/>
    <x v="0"/>
    <x v="33"/>
    <s v="TR"/>
    <x v="0"/>
    <x v="0"/>
    <n v="211.82616655015298"/>
  </r>
  <r>
    <x v="0"/>
    <x v="0"/>
    <x v="0"/>
    <x v="33"/>
    <s v="TR"/>
    <x v="1"/>
    <x v="0"/>
    <n v="11.148745607902788"/>
  </r>
  <r>
    <x v="0"/>
    <x v="0"/>
    <x v="0"/>
    <x v="33"/>
    <s v="TR"/>
    <x v="2"/>
    <x v="0"/>
    <n v="6.0090628656064314E-2"/>
  </r>
  <r>
    <x v="0"/>
    <x v="0"/>
    <x v="0"/>
    <x v="33"/>
    <s v="TR"/>
    <x v="3"/>
    <x v="0"/>
    <n v="206.85182820650823"/>
  </r>
  <r>
    <x v="0"/>
    <x v="0"/>
    <x v="0"/>
    <x v="34"/>
    <s v="MT"/>
    <x v="0"/>
    <x v="0"/>
    <n v="2.0415683641149491"/>
  </r>
  <r>
    <x v="0"/>
    <x v="0"/>
    <x v="0"/>
    <x v="34"/>
    <s v="MT"/>
    <x v="1"/>
    <x v="0"/>
    <n v="0.10745096653236573"/>
  </r>
  <r>
    <x v="0"/>
    <x v="0"/>
    <x v="0"/>
    <x v="34"/>
    <s v="MT"/>
    <x v="2"/>
    <x v="0"/>
    <n v="5.8119736486898103E-2"/>
  </r>
  <r>
    <x v="0"/>
    <x v="0"/>
    <x v="0"/>
    <x v="34"/>
    <s v="MT"/>
    <x v="3"/>
    <x v="0"/>
    <n v="0.29829719323316761"/>
  </r>
  <r>
    <x v="0"/>
    <x v="0"/>
    <x v="0"/>
    <x v="35"/>
    <s v="CY"/>
    <x v="0"/>
    <x v="0"/>
    <n v="4.3149624340587307"/>
  </r>
  <r>
    <x v="0"/>
    <x v="0"/>
    <x v="0"/>
    <x v="35"/>
    <s v="CY"/>
    <x v="1"/>
    <x v="0"/>
    <n v="0.22710328600309107"/>
  </r>
  <r>
    <x v="0"/>
    <x v="0"/>
    <x v="0"/>
    <x v="35"/>
    <s v="CY"/>
    <x v="2"/>
    <x v="0"/>
    <n v="0.2055458036572569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7B88C9-B7ED-4D54-8FEC-6E118C10D2F0}" name="PivotTable1" cacheId="6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0" fieldListSortAscending="1">
  <location ref="P6:V13" firstHeaderRow="1" firstDataRow="2" firstDataCol="1" rowPageCount="3" colPageCount="1"/>
  <pivotFields count="13">
    <pivotField axis="axisRow" showAll="0">
      <items count="30">
        <item m="1" x="28"/>
        <item m="1" x="27"/>
        <item m="1" x="26"/>
        <item m="1" x="25"/>
        <item m="1" x="24"/>
        <item m="1" x="23"/>
        <item m="1" x="19"/>
        <item m="1" x="20"/>
        <item m="1" x="21"/>
        <item m="1" x="22"/>
        <item m="1" x="1"/>
        <item m="1" x="5"/>
        <item m="1" x="6"/>
        <item m="1" x="18"/>
        <item x="0"/>
        <item m="1" x="7"/>
        <item m="1" x="16"/>
        <item m="1" x="17"/>
        <item m="1" x="10"/>
        <item m="1" x="13"/>
        <item m="1" x="14"/>
        <item m="1" x="15"/>
        <item m="1" x="11"/>
        <item m="1" x="12"/>
        <item m="1" x="8"/>
        <item m="1" x="9"/>
        <item m="1" x="3"/>
        <item m="1" x="4"/>
        <item m="1" x="2"/>
        <item t="default"/>
      </items>
    </pivotField>
    <pivotField showAll="0"/>
    <pivotField axis="axisRow" showAll="0">
      <items count="5">
        <item m="1" x="1"/>
        <item m="1" x="2"/>
        <item m="1" x="3"/>
        <item x="0"/>
        <item t="default"/>
      </items>
    </pivotField>
    <pivotField showAll="0"/>
    <pivotField axis="axisPage" multipleItemSelectionAllowed="1" showAll="0">
      <items count="63">
        <item m="1" x="59"/>
        <item h="1" x="43"/>
        <item h="1" x="29"/>
        <item h="1" x="46"/>
        <item h="1" x="18"/>
        <item h="1" x="38"/>
        <item h="1" x="28"/>
        <item h="1" x="50"/>
        <item h="1" x="30"/>
        <item h="1" x="6"/>
        <item m="1" x="54"/>
        <item m="1" x="55"/>
        <item m="1" x="56"/>
        <item m="1" x="57"/>
        <item h="1" x="3"/>
        <item h="1" x="4"/>
        <item h="1" x="14"/>
        <item h="1" x="31"/>
        <item h="1" x="5"/>
        <item h="1" x="19"/>
        <item h="1" x="20"/>
        <item m="1" x="61"/>
        <item h="1" x="39"/>
        <item h="1" x="40"/>
        <item h="1" x="36"/>
        <item h="1" x="34"/>
        <item h="1" x="41"/>
        <item m="1" x="60"/>
        <item h="1" x="21"/>
        <item h="1" x="22"/>
        <item h="1" x="23"/>
        <item h="1" x="24"/>
        <item h="1" x="25"/>
        <item h="1" x="26"/>
        <item h="1" x="27"/>
        <item h="1" x="16"/>
        <item h="1" x="42"/>
        <item h="1" x="15"/>
        <item h="1" x="44"/>
        <item h="1" x="45"/>
        <item x="49"/>
        <item h="1" x="7"/>
        <item m="1" x="51"/>
        <item m="1" x="52"/>
        <item h="1" x="0"/>
        <item h="1" x="1"/>
        <item m="1" x="53"/>
        <item h="1" x="2"/>
        <item h="1" x="17"/>
        <item h="1" x="32"/>
        <item h="1" x="37"/>
        <item h="1" x="47"/>
        <item h="1" x="8"/>
        <item h="1" x="9"/>
        <item h="1" x="10"/>
        <item h="1" x="11"/>
        <item h="1" x="35"/>
        <item h="1" x="33"/>
        <item h="1" x="48"/>
        <item m="1" x="58"/>
        <item h="1" x="12"/>
        <item h="1" x="13"/>
        <item t="default"/>
      </items>
    </pivotField>
    <pivotField showAll="0"/>
    <pivotField showAll="0"/>
    <pivotField axis="axisPage" multipleItemSelectionAllowed="1" showAll="0">
      <items count="26">
        <item x="7"/>
        <item x="5"/>
        <item x="2"/>
        <item x="10"/>
        <item x="6"/>
        <item x="4"/>
        <item x="16"/>
        <item x="17"/>
        <item x="0"/>
        <item x="11"/>
        <item x="8"/>
        <item x="15"/>
        <item x="1"/>
        <item x="3"/>
        <item x="9"/>
        <item x="12"/>
        <item x="13"/>
        <item x="14"/>
        <item x="18"/>
        <item x="19"/>
        <item x="20"/>
        <item x="21"/>
        <item x="22"/>
        <item x="23"/>
        <item x="24"/>
        <item t="default"/>
      </items>
    </pivotField>
    <pivotField axis="axisRow" showAll="0">
      <items count="5">
        <item h="1" x="3"/>
        <item x="0"/>
        <item h="1" x="2"/>
        <item x="1"/>
        <item t="default"/>
      </items>
    </pivotField>
    <pivotField axis="axisCol" multipleItemSelectionAllowed="1" showAll="0">
      <items count="15">
        <item x="8"/>
        <item x="6"/>
        <item x="0"/>
        <item x="3"/>
        <item x="12"/>
        <item x="7"/>
        <item x="1"/>
        <item x="2"/>
        <item x="13"/>
        <item x="9"/>
        <item x="4"/>
        <item x="10"/>
        <item x="5"/>
        <item x="11"/>
        <item t="default"/>
      </items>
    </pivotField>
    <pivotField axis="axisPage" showAll="0">
      <items count="4">
        <item x="1"/>
        <item x="2"/>
        <item x="0"/>
        <item t="default"/>
      </items>
    </pivotField>
    <pivotField showAll="0"/>
    <pivotField dataField="1" showAll="0"/>
  </pivotFields>
  <rowFields count="3">
    <field x="0"/>
    <field x="8"/>
    <field x="2"/>
  </rowFields>
  <rowItems count="6">
    <i>
      <x v="14"/>
    </i>
    <i r="1">
      <x v="1"/>
    </i>
    <i r="2">
      <x v="3"/>
    </i>
    <i r="1">
      <x v="3"/>
    </i>
    <i r="2">
      <x v="3"/>
    </i>
    <i t="grand">
      <x/>
    </i>
  </rowItems>
  <colFields count="1">
    <field x="9"/>
  </colFields>
  <colItems count="6">
    <i>
      <x v="2"/>
    </i>
    <i>
      <x v="3"/>
    </i>
    <i>
      <x v="4"/>
    </i>
    <i>
      <x v="5"/>
    </i>
    <i>
      <x v="9"/>
    </i>
    <i t="grand">
      <x/>
    </i>
  </colItems>
  <pageFields count="3">
    <pageField fld="4" hier="-1"/>
    <pageField fld="7" hier="-1"/>
    <pageField fld="10" hier="-1"/>
  </pageFields>
  <dataFields count="1">
    <dataField name="Sum of Value" fld="12" baseField="0" baseItem="12"/>
  </dataFields>
  <chartFormats count="69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8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9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0"/>
          </reference>
        </references>
      </pivotArea>
    </chartFormat>
    <chartFormat chart="1" format="1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1"/>
          </reference>
        </references>
      </pivotArea>
    </chartFormat>
    <chartFormat chart="1" format="1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2"/>
          </reference>
        </references>
      </pivotArea>
    </chartFormat>
    <chartFormat chart="1" format="1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3"/>
          </reference>
        </references>
      </pivotArea>
    </chartFormat>
    <chartFormat chart="1" format="407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3"/>
          </reference>
          <reference field="9" count="1" selected="0">
            <x v="1"/>
          </reference>
        </references>
      </pivotArea>
    </chartFormat>
    <chartFormat chart="1" format="408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6"/>
          </reference>
          <reference field="9" count="1" selected="0">
            <x v="1"/>
          </reference>
        </references>
      </pivotArea>
    </chartFormat>
    <chartFormat chart="1" format="409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7"/>
          </reference>
          <reference field="9" count="1" selected="0">
            <x v="1"/>
          </reference>
        </references>
      </pivotArea>
    </chartFormat>
    <chartFormat chart="1" format="410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8"/>
          </reference>
          <reference field="9" count="1" selected="0">
            <x v="1"/>
          </reference>
        </references>
      </pivotArea>
    </chartFormat>
    <chartFormat chart="1" format="411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4"/>
          </reference>
          <reference field="9" count="1" selected="0">
            <x v="1"/>
          </reference>
        </references>
      </pivotArea>
    </chartFormat>
    <chartFormat chart="1" format="412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5"/>
          </reference>
          <reference field="9" count="1" selected="0">
            <x v="1"/>
          </reference>
        </references>
      </pivotArea>
    </chartFormat>
    <chartFormat chart="1" format="413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7"/>
          </reference>
          <reference field="9" count="1" selected="0">
            <x v="1"/>
          </reference>
        </references>
      </pivotArea>
    </chartFormat>
    <chartFormat chart="1" format="414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8"/>
          </reference>
          <reference field="9" count="1" selected="0">
            <x v="1"/>
          </reference>
        </references>
      </pivotArea>
    </chartFormat>
    <chartFormat chart="1" format="415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9"/>
          </reference>
          <reference field="9" count="1" selected="0">
            <x v="1"/>
          </reference>
        </references>
      </pivotArea>
    </chartFormat>
    <chartFormat chart="1" format="416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0"/>
          </reference>
          <reference field="9" count="1" selected="0">
            <x v="1"/>
          </reference>
        </references>
      </pivotArea>
    </chartFormat>
    <chartFormat chart="1" format="417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1"/>
          </reference>
          <reference field="9" count="1" selected="0">
            <x v="1"/>
          </reference>
        </references>
      </pivotArea>
    </chartFormat>
    <chartFormat chart="1" format="418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3"/>
          </reference>
          <reference field="9" count="1" selected="0">
            <x v="1"/>
          </reference>
        </references>
      </pivotArea>
    </chartFormat>
    <chartFormat chart="1" format="419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4"/>
          </reference>
          <reference field="9" count="1" selected="0">
            <x v="1"/>
          </reference>
        </references>
      </pivotArea>
    </chartFormat>
    <chartFormat chart="1" format="420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0"/>
          </reference>
          <reference field="9" count="1" selected="0">
            <x v="2"/>
          </reference>
        </references>
      </pivotArea>
    </chartFormat>
    <chartFormat chart="1" format="421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"/>
          </reference>
          <reference field="9" count="1" selected="0">
            <x v="2"/>
          </reference>
        </references>
      </pivotArea>
    </chartFormat>
    <chartFormat chart="1" format="422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3"/>
          </reference>
          <reference field="9" count="1" selected="0">
            <x v="2"/>
          </reference>
        </references>
      </pivotArea>
    </chartFormat>
    <chartFormat chart="1" format="423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5"/>
          </reference>
          <reference field="9" count="1" selected="0">
            <x v="2"/>
          </reference>
        </references>
      </pivotArea>
    </chartFormat>
    <chartFormat chart="1" format="424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6"/>
          </reference>
          <reference field="9" count="1" selected="0">
            <x v="2"/>
          </reference>
        </references>
      </pivotArea>
    </chartFormat>
    <chartFormat chart="1" format="425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7"/>
          </reference>
          <reference field="9" count="1" selected="0">
            <x v="2"/>
          </reference>
        </references>
      </pivotArea>
    </chartFormat>
    <chartFormat chart="1" format="426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8"/>
          </reference>
          <reference field="9" count="1" selected="0">
            <x v="2"/>
          </reference>
        </references>
      </pivotArea>
    </chartFormat>
    <chartFormat chart="1" format="427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9"/>
          </reference>
          <reference field="9" count="1" selected="0">
            <x v="2"/>
          </reference>
        </references>
      </pivotArea>
    </chartFormat>
    <chartFormat chart="1" format="428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1"/>
          </reference>
          <reference field="9" count="1" selected="0">
            <x v="2"/>
          </reference>
        </references>
      </pivotArea>
    </chartFormat>
    <chartFormat chart="1" format="429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4"/>
          </reference>
          <reference field="9" count="1" selected="0">
            <x v="2"/>
          </reference>
        </references>
      </pivotArea>
    </chartFormat>
    <chartFormat chart="1" format="430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5"/>
          </reference>
          <reference field="9" count="1" selected="0">
            <x v="2"/>
          </reference>
        </references>
      </pivotArea>
    </chartFormat>
    <chartFormat chart="1" format="431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18"/>
          </reference>
          <reference field="9" count="1" selected="0">
            <x v="2"/>
          </reference>
        </references>
      </pivotArea>
    </chartFormat>
    <chartFormat chart="1" format="432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1"/>
          </reference>
          <reference field="9" count="1" selected="0">
            <x v="2"/>
          </reference>
        </references>
      </pivotArea>
    </chartFormat>
    <chartFormat chart="1" format="433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2"/>
          </reference>
          <reference field="9" count="1" selected="0">
            <x v="2"/>
          </reference>
        </references>
      </pivotArea>
    </chartFormat>
    <chartFormat chart="1" format="434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3"/>
          </reference>
          <reference field="9" count="1" selected="0">
            <x v="2"/>
          </reference>
        </references>
      </pivotArea>
    </chartFormat>
    <chartFormat chart="1" format="435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24"/>
          </reference>
          <reference field="9" count="1" selected="0">
            <x v="2"/>
          </reference>
        </references>
      </pivotArea>
    </chartFormat>
    <chartFormat chart="1" format="436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0"/>
          </reference>
          <reference field="9" count="1" selected="0">
            <x v="1"/>
          </reference>
        </references>
      </pivotArea>
    </chartFormat>
    <chartFormat chart="1" format="1216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2"/>
          </reference>
          <reference field="10" count="1" selected="0">
            <x v="2"/>
          </reference>
        </references>
      </pivotArea>
    </chartFormat>
    <chartFormat chart="1" format="1217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2"/>
          </reference>
          <reference field="10" count="1" selected="0">
            <x v="0"/>
          </reference>
        </references>
      </pivotArea>
    </chartFormat>
    <chartFormat chart="1" format="1218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2"/>
          </reference>
          <reference field="10" count="1" selected="0">
            <x v="1"/>
          </reference>
        </references>
      </pivotArea>
    </chartFormat>
    <chartFormat chart="1" format="1219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3"/>
          </reference>
          <reference field="10" count="1" selected="0">
            <x v="0"/>
          </reference>
        </references>
      </pivotArea>
    </chartFormat>
    <chartFormat chart="1" format="1220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3"/>
          </reference>
          <reference field="10" count="1" selected="0">
            <x v="1"/>
          </reference>
        </references>
      </pivotArea>
    </chartFormat>
    <chartFormat chart="1" format="1221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3"/>
          </reference>
          <reference field="10" count="1" selected="0">
            <x v="2"/>
          </reference>
        </references>
      </pivotArea>
    </chartFormat>
    <chartFormat chart="1" format="1222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4"/>
          </reference>
          <reference field="10" count="1" selected="0">
            <x v="1"/>
          </reference>
        </references>
      </pivotArea>
    </chartFormat>
    <chartFormat chart="1" format="1223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5"/>
          </reference>
          <reference field="10" count="1" selected="0">
            <x v="1"/>
          </reference>
        </references>
      </pivotArea>
    </chartFormat>
    <chartFormat chart="1" format="1224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6"/>
          </reference>
          <reference field="10" count="1" selected="0">
            <x v="2"/>
          </reference>
        </references>
      </pivotArea>
    </chartFormat>
    <chartFormat chart="1" format="1225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7"/>
          </reference>
          <reference field="10" count="1" selected="0">
            <x v="2"/>
          </reference>
        </references>
      </pivotArea>
    </chartFormat>
    <chartFormat chart="1" format="1226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8"/>
          </reference>
          <reference field="10" count="1" selected="0">
            <x v="0"/>
          </reference>
        </references>
      </pivotArea>
    </chartFormat>
    <chartFormat chart="1" format="1227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8"/>
          </reference>
          <reference field="10" count="1" selected="0">
            <x v="2"/>
          </reference>
        </references>
      </pivotArea>
    </chartFormat>
    <chartFormat chart="1" format="1228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9"/>
          </reference>
          <reference field="10" count="1" selected="0">
            <x v="0"/>
          </reference>
        </references>
      </pivotArea>
    </chartFormat>
    <chartFormat chart="1" format="1229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9"/>
          </reference>
          <reference field="10" count="1" selected="0">
            <x v="1"/>
          </reference>
        </references>
      </pivotArea>
    </chartFormat>
    <chartFormat chart="1" format="1230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9"/>
          </reference>
          <reference field="10" count="1" selected="0">
            <x v="2"/>
          </reference>
        </references>
      </pivotArea>
    </chartFormat>
    <chartFormat chart="1" format="1231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10"/>
          </reference>
          <reference field="10" count="1" selected="0">
            <x v="0"/>
          </reference>
        </references>
      </pivotArea>
    </chartFormat>
    <chartFormat chart="1" format="1232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10"/>
          </reference>
          <reference field="10" count="1" selected="0">
            <x v="1"/>
          </reference>
        </references>
      </pivotArea>
    </chartFormat>
    <chartFormat chart="1" format="1233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10"/>
          </reference>
          <reference field="10" count="1" selected="0">
            <x v="2"/>
          </reference>
        </references>
      </pivotArea>
    </chartFormat>
    <chartFormat chart="1" format="1234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11"/>
          </reference>
          <reference field="10" count="1" selected="0">
            <x v="0"/>
          </reference>
        </references>
      </pivotArea>
    </chartFormat>
    <chartFormat chart="1" format="1235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11"/>
          </reference>
          <reference field="10" count="1" selected="0">
            <x v="1"/>
          </reference>
        </references>
      </pivotArea>
    </chartFormat>
    <chartFormat chart="1" format="1236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11"/>
          </reference>
          <reference field="10" count="1" selected="0">
            <x v="2"/>
          </reference>
        </references>
      </pivotArea>
    </chartFormat>
    <chartFormat chart="1" format="1237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12"/>
          </reference>
          <reference field="10" count="1" selected="0">
            <x v="0"/>
          </reference>
        </references>
      </pivotArea>
    </chartFormat>
    <chartFormat chart="1" format="1238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12"/>
          </reference>
          <reference field="10" count="1" selected="0">
            <x v="1"/>
          </reference>
        </references>
      </pivotArea>
    </chartFormat>
    <chartFormat chart="1" format="1239" series="1">
      <pivotArea type="data" outline="0" fieldPosition="0">
        <references count="3">
          <reference field="4294967294" count="1" selected="0">
            <x v="0"/>
          </reference>
          <reference field="9" count="1" selected="0">
            <x v="12"/>
          </reference>
          <reference field="1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A2DE75-36D7-4AD3-8CC7-F55F891B05A9}" name="PivotTable4" cacheId="5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8" fieldListSortAscending="1">
  <location ref="O6:V13" firstHeaderRow="1" firstDataRow="2" firstDataCol="1" rowPageCount="3" colPageCount="1"/>
  <pivotFields count="12">
    <pivotField axis="axisRow" showAll="0">
      <items count="32">
        <item m="1" x="27"/>
        <item m="1" x="29"/>
        <item m="1" x="30"/>
        <item m="1" x="28"/>
        <item m="1" x="26"/>
        <item m="1" x="25"/>
        <item m="1" x="24"/>
        <item m="1" x="23"/>
        <item m="1" x="19"/>
        <item m="1" x="20"/>
        <item m="1" x="21"/>
        <item m="1" x="22"/>
        <item m="1" x="1"/>
        <item m="1" x="5"/>
        <item m="1" x="6"/>
        <item m="1" x="18"/>
        <item x="0"/>
        <item m="1" x="7"/>
        <item m="1" x="16"/>
        <item m="1" x="17"/>
        <item m="1" x="10"/>
        <item m="1" x="13"/>
        <item m="1" x="14"/>
        <item m="1" x="15"/>
        <item m="1" x="11"/>
        <item m="1" x="12"/>
        <item m="1" x="8"/>
        <item m="1" x="9"/>
        <item m="1" x="3"/>
        <item m="1" x="4"/>
        <item m="1" x="2"/>
        <item t="default"/>
      </items>
    </pivotField>
    <pivotField axis="axisPage" showAll="0">
      <items count="6">
        <item m="1" x="1"/>
        <item m="1" x="2"/>
        <item m="1" x="3"/>
        <item x="0"/>
        <item m="1" x="4"/>
        <item t="default"/>
      </items>
    </pivotField>
    <pivotField axis="axisRow" showAll="0">
      <items count="5">
        <item h="1" m="1" x="1"/>
        <item h="1" m="1" x="2"/>
        <item h="1" m="1" x="3"/>
        <item x="0"/>
        <item t="default"/>
      </items>
    </pivotField>
    <pivotField showAll="0"/>
    <pivotField axis="axisPage" multipleItemSelectionAllowed="1" showAll="0">
      <items count="52">
        <item h="1" x="29"/>
        <item h="1" x="28"/>
        <item h="1" x="19"/>
        <item h="1" x="20"/>
        <item h="1" x="39"/>
        <item h="1" x="40"/>
        <item x="21"/>
        <item x="22"/>
        <item x="23"/>
        <item x="24"/>
        <item x="25"/>
        <item x="26"/>
        <item x="27"/>
        <item h="1" x="44"/>
        <item h="1" x="35"/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30"/>
        <item h="1" x="31"/>
        <item h="1" x="32"/>
        <item h="1" x="33"/>
        <item h="1" x="34"/>
        <item h="1" x="36"/>
        <item h="1" x="37"/>
        <item h="1" x="38"/>
        <item h="1" x="41"/>
        <item h="1" x="42"/>
        <item h="1" x="43"/>
        <item h="1" x="45"/>
        <item h="1" x="46"/>
        <item h="1" x="47"/>
        <item h="1" x="48"/>
        <item h="1" x="49"/>
        <item h="1" x="50"/>
        <item t="default"/>
      </items>
    </pivotField>
    <pivotField showAll="0"/>
    <pivotField showAll="0"/>
    <pivotField axis="axisPage" showAll="0">
      <items count="25">
        <item x="5"/>
        <item x="1"/>
        <item x="3"/>
        <item x="7"/>
        <item x="9"/>
        <item x="6"/>
        <item x="0"/>
        <item x="2"/>
        <item m="1" x="12"/>
        <item m="1" x="13"/>
        <item m="1" x="14"/>
        <item x="4"/>
        <item m="1" x="15"/>
        <item m="1" x="16"/>
        <item x="10"/>
        <item m="1" x="17"/>
        <item x="11"/>
        <item m="1" x="22"/>
        <item x="8"/>
        <item m="1" x="19"/>
        <item m="1" x="20"/>
        <item m="1" x="18"/>
        <item m="1" x="21"/>
        <item m="1" x="23"/>
        <item t="default"/>
      </items>
    </pivotField>
    <pivotField axis="axisRow" showAll="0">
      <items count="4">
        <item x="0"/>
        <item x="1"/>
        <item h="1" x="2"/>
        <item t="default"/>
      </items>
    </pivotField>
    <pivotField axis="axisCol" multipleItemSelectionAllowed="1" showAll="0">
      <items count="13">
        <item x="6"/>
        <item x="2"/>
        <item x="8"/>
        <item x="4"/>
        <item x="0"/>
        <item x="1"/>
        <item x="9"/>
        <item x="7"/>
        <item x="5"/>
        <item x="3"/>
        <item m="1" x="11"/>
        <item m="1" x="10"/>
        <item t="default"/>
      </items>
    </pivotField>
    <pivotField showAll="0"/>
    <pivotField dataField="1" showAll="0"/>
  </pivotFields>
  <rowFields count="3">
    <field x="0"/>
    <field x="8"/>
    <field x="2"/>
  </rowFields>
  <rowItems count="6">
    <i>
      <x v="16"/>
    </i>
    <i r="1">
      <x/>
    </i>
    <i r="2">
      <x v="3"/>
    </i>
    <i r="1">
      <x v="1"/>
    </i>
    <i r="2">
      <x v="3"/>
    </i>
    <i t="grand">
      <x/>
    </i>
  </rowItems>
  <colFields count="1">
    <field x="9"/>
  </colFields>
  <colItems count="7">
    <i>
      <x/>
    </i>
    <i>
      <x v="1"/>
    </i>
    <i>
      <x v="4"/>
    </i>
    <i>
      <x v="5"/>
    </i>
    <i>
      <x v="7"/>
    </i>
    <i>
      <x v="9"/>
    </i>
    <i t="grand">
      <x/>
    </i>
  </colItems>
  <pageFields count="3">
    <pageField fld="1" hier="-1"/>
    <pageField fld="7" hier="-1"/>
    <pageField fld="4" hier="-1"/>
  </pageFields>
  <dataFields count="1">
    <dataField name="Sum of Value" fld="11" baseField="0" baseItem="0"/>
  </dataFields>
  <chartFormats count="37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8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9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1" format="1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0"/>
          </reference>
        </references>
      </pivotArea>
    </chartFormat>
    <chartFormat chart="1" format="1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1"/>
          </reference>
        </references>
      </pivotArea>
    </chartFormat>
    <chartFormat chart="10" format="3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10" format="4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10" format="4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10" format="4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10" format="4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10" format="4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10" format="4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10" format="4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10" format="4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8"/>
          </reference>
        </references>
      </pivotArea>
    </chartFormat>
    <chartFormat chart="10" format="4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9"/>
          </reference>
        </references>
      </pivotArea>
    </chartFormat>
    <chartFormat chart="10" format="4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0"/>
          </reference>
        </references>
      </pivotArea>
    </chartFormat>
    <chartFormat chart="10" format="5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1"/>
          </reference>
        </references>
      </pivotArea>
    </chartFormat>
    <chartFormat chart="11" format="5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11" format="5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11" format="5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11" format="5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11" format="5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11" format="5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11" format="5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11" format="5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11" format="5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8"/>
          </reference>
        </references>
      </pivotArea>
    </chartFormat>
    <chartFormat chart="11" format="6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9"/>
          </reference>
        </references>
      </pivotArea>
    </chartFormat>
    <chartFormat chart="11" format="6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0"/>
          </reference>
        </references>
      </pivotArea>
    </chartFormat>
    <chartFormat chart="11" format="6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5AC745-9477-49AB-8F95-B31436385FC3}" name="PivotTable1" cacheId="5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2" fieldListSortAscending="1">
  <location ref="K6:U10" firstHeaderRow="1" firstDataRow="2" firstDataCol="1"/>
  <pivotFields count="8">
    <pivotField axis="axisRow" showAll="0">
      <items count="16">
        <item m="1" x="9"/>
        <item m="1" x="12"/>
        <item m="1" x="13"/>
        <item m="1" x="14"/>
        <item m="1" x="10"/>
        <item m="1" x="11"/>
        <item m="1" x="7"/>
        <item m="1" x="8"/>
        <item m="1" x="1"/>
        <item m="1" x="5"/>
        <item m="1" x="6"/>
        <item m="1" x="3"/>
        <item m="1" x="4"/>
        <item m="1" x="2"/>
        <item x="0"/>
        <item t="default"/>
      </items>
    </pivotField>
    <pivotField showAll="0"/>
    <pivotField axis="axisRow" showAll="0">
      <items count="5">
        <item m="1" x="1"/>
        <item m="1" x="2"/>
        <item m="1" x="3"/>
        <item x="0"/>
        <item t="default"/>
      </items>
    </pivotField>
    <pivotField showAll="0"/>
    <pivotField showAll="0"/>
    <pivotField axis="axisCol" showAll="0">
      <items count="10">
        <item x="0"/>
        <item x="1"/>
        <item x="7"/>
        <item x="2"/>
        <item x="8"/>
        <item x="3"/>
        <item x="6"/>
        <item x="4"/>
        <item x="5"/>
        <item t="default"/>
      </items>
    </pivotField>
    <pivotField showAll="0"/>
    <pivotField dataField="1" showAll="0"/>
  </pivotFields>
  <rowFields count="2">
    <field x="0"/>
    <field x="2"/>
  </rowFields>
  <rowItems count="3">
    <i>
      <x v="14"/>
    </i>
    <i r="1">
      <x v="3"/>
    </i>
    <i t="grand">
      <x/>
    </i>
  </rowItems>
  <colFields count="1">
    <field x="5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dataFields count="1">
    <dataField name="Sum of Value" fld="7" baseField="0" baseItem="0"/>
  </dataFields>
  <chartFormats count="1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5DB9DF-08BE-4773-A190-E25155FDF422}" name="PivotTable1" cacheId="5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 fieldListSortAscending="1">
  <location ref="K6:L619" firstHeaderRow="1" firstDataRow="1" firstDataCol="1"/>
  <pivotFields count="8">
    <pivotField axis="axisRow" showAll="0">
      <items count="7">
        <item m="1" x="4"/>
        <item m="1" x="3"/>
        <item m="1" x="5"/>
        <item x="0"/>
        <item x="1"/>
        <item x="2"/>
        <item t="default"/>
      </items>
    </pivotField>
    <pivotField showAll="0"/>
    <pivotField axis="axisRow" showAll="0">
      <items count="5">
        <item x="0"/>
        <item x="1"/>
        <item x="2"/>
        <item x="3"/>
        <item t="default"/>
      </items>
    </pivotField>
    <pivotField showAll="0"/>
    <pivotField axis="axisRow" showAll="0">
      <items count="64">
        <item x="44"/>
        <item x="5"/>
        <item x="6"/>
        <item x="0"/>
        <item x="1"/>
        <item x="2"/>
        <item x="3"/>
        <item x="4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t="default"/>
      </items>
    </pivotField>
    <pivotField showAll="0"/>
    <pivotField showAll="0"/>
    <pivotField dataField="1" showAll="0"/>
  </pivotFields>
  <rowFields count="3">
    <field x="0"/>
    <field x="2"/>
    <field x="4"/>
  </rowFields>
  <rowItems count="613">
    <i>
      <x v="3"/>
    </i>
    <i r="1">
      <x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1">
      <x v="1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1">
      <x v="2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1">
      <x v="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>
      <x v="4"/>
    </i>
    <i r="1">
      <x/>
    </i>
    <i r="2">
      <x/>
    </i>
    <i r="2">
      <x v="1"/>
    </i>
    <i r="2">
      <x v="2"/>
    </i>
    <i r="2">
      <x v="5"/>
    </i>
    <i r="2">
      <x v="6"/>
    </i>
    <i r="2">
      <x v="8"/>
    </i>
    <i r="2">
      <x v="13"/>
    </i>
    <i r="2">
      <x v="14"/>
    </i>
    <i r="2">
      <x v="15"/>
    </i>
    <i r="2">
      <x v="16"/>
    </i>
    <i r="2">
      <x v="17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2">
      <x v="49"/>
    </i>
    <i r="2">
      <x v="50"/>
    </i>
    <i r="2">
      <x v="51"/>
    </i>
    <i r="2">
      <x v="52"/>
    </i>
    <i r="2">
      <x v="53"/>
    </i>
    <i r="2">
      <x v="54"/>
    </i>
    <i r="2">
      <x v="55"/>
    </i>
    <i r="2">
      <x v="56"/>
    </i>
    <i r="2">
      <x v="57"/>
    </i>
    <i r="2">
      <x v="58"/>
    </i>
    <i r="2">
      <x v="59"/>
    </i>
    <i r="2">
      <x v="60"/>
    </i>
    <i r="2">
      <x v="61"/>
    </i>
    <i r="2">
      <x v="62"/>
    </i>
    <i r="1">
      <x v="1"/>
    </i>
    <i r="2">
      <x/>
    </i>
    <i r="2">
      <x v="1"/>
    </i>
    <i r="2">
      <x v="2"/>
    </i>
    <i r="2">
      <x v="5"/>
    </i>
    <i r="2">
      <x v="6"/>
    </i>
    <i r="2">
      <x v="8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2">
      <x v="49"/>
    </i>
    <i r="2">
      <x v="50"/>
    </i>
    <i r="2">
      <x v="51"/>
    </i>
    <i r="2">
      <x v="52"/>
    </i>
    <i r="2">
      <x v="53"/>
    </i>
    <i r="2">
      <x v="54"/>
    </i>
    <i r="2">
      <x v="55"/>
    </i>
    <i r="2">
      <x v="56"/>
    </i>
    <i r="2">
      <x v="57"/>
    </i>
    <i r="2">
      <x v="58"/>
    </i>
    <i r="2">
      <x v="59"/>
    </i>
    <i r="2">
      <x v="60"/>
    </i>
    <i r="2">
      <x v="61"/>
    </i>
    <i r="2">
      <x v="62"/>
    </i>
    <i r="1">
      <x v="2"/>
    </i>
    <i r="2">
      <x/>
    </i>
    <i r="2">
      <x v="1"/>
    </i>
    <i r="2">
      <x v="2"/>
    </i>
    <i r="2">
      <x v="5"/>
    </i>
    <i r="2">
      <x v="6"/>
    </i>
    <i r="2">
      <x v="8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2">
      <x v="49"/>
    </i>
    <i r="2">
      <x v="50"/>
    </i>
    <i r="2">
      <x v="51"/>
    </i>
    <i r="2">
      <x v="52"/>
    </i>
    <i r="2">
      <x v="53"/>
    </i>
    <i r="2">
      <x v="54"/>
    </i>
    <i r="2">
      <x v="55"/>
    </i>
    <i r="2">
      <x v="56"/>
    </i>
    <i r="2">
      <x v="57"/>
    </i>
    <i r="2">
      <x v="58"/>
    </i>
    <i r="2">
      <x v="59"/>
    </i>
    <i r="2">
      <x v="60"/>
    </i>
    <i r="2">
      <x v="61"/>
    </i>
    <i r="2">
      <x v="62"/>
    </i>
    <i r="1">
      <x v="3"/>
    </i>
    <i r="2">
      <x/>
    </i>
    <i r="2">
      <x v="1"/>
    </i>
    <i r="2">
      <x v="2"/>
    </i>
    <i r="2">
      <x v="5"/>
    </i>
    <i r="2">
      <x v="6"/>
    </i>
    <i r="2">
      <x v="8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2">
      <x v="47"/>
    </i>
    <i r="2">
      <x v="48"/>
    </i>
    <i r="2">
      <x v="49"/>
    </i>
    <i r="2">
      <x v="50"/>
    </i>
    <i r="2">
      <x v="51"/>
    </i>
    <i r="2">
      <x v="52"/>
    </i>
    <i r="2">
      <x v="53"/>
    </i>
    <i r="2">
      <x v="54"/>
    </i>
    <i r="2">
      <x v="55"/>
    </i>
    <i r="2">
      <x v="56"/>
    </i>
    <i r="2">
      <x v="57"/>
    </i>
    <i r="2">
      <x v="58"/>
    </i>
    <i r="2">
      <x v="59"/>
    </i>
    <i r="2">
      <x v="60"/>
    </i>
    <i r="2">
      <x v="61"/>
    </i>
    <i r="2">
      <x v="62"/>
    </i>
    <i>
      <x v="5"/>
    </i>
    <i r="1">
      <x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1">
      <x v="1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1">
      <x v="2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r="1">
      <x v="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r="2">
      <x v="44"/>
    </i>
    <i r="2">
      <x v="45"/>
    </i>
    <i r="2">
      <x v="46"/>
    </i>
    <i t="grand">
      <x/>
    </i>
  </rowItems>
  <colItems count="1">
    <i/>
  </colItems>
  <dataFields count="1">
    <dataField name="Average of Value" fld="7" subtotal="average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BE4F1-749D-4B55-8B51-543097B41661}" name="PivotTable2" cacheId="6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 fieldListSortAscending="1">
  <location ref="P3:Z8" firstHeaderRow="1" firstDataRow="2" firstDataCol="1"/>
  <pivotFields count="11">
    <pivotField axis="axisRow" showAll="0">
      <items count="11">
        <item m="1" x="8"/>
        <item m="1" x="9"/>
        <item m="1" x="1"/>
        <item m="1" x="7"/>
        <item m="1" x="6"/>
        <item m="1" x="5"/>
        <item m="1" x="3"/>
        <item m="1" x="4"/>
        <item m="1" x="2"/>
        <item x="0"/>
        <item t="default"/>
      </items>
    </pivotField>
    <pivotField axis="axisRow" showAll="0">
      <items count="3">
        <item x="0"/>
        <item m="1" x="1"/>
        <item t="default"/>
      </items>
    </pivotField>
    <pivotField axis="axisRow" showAll="0">
      <items count="5">
        <item m="1" x="1"/>
        <item m="1" x="2"/>
        <item m="1" x="3"/>
        <item x="0"/>
        <item t="default"/>
      </items>
    </pivotField>
    <pivotField showAll="0"/>
    <pivotField axis="axisCol" multipleItemSelectionAllowed="1" showAll="0">
      <items count="61">
        <item m="1" x="49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x="5"/>
        <item x="6"/>
        <item m="1" x="37"/>
        <item m="1" x="38"/>
        <item x="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x="8"/>
        <item m="1" x="50"/>
        <item m="1" x="51"/>
        <item m="1" x="52"/>
        <item m="1" x="53"/>
        <item m="1" x="54"/>
        <item m="1" x="55"/>
        <item m="1" x="56"/>
        <item m="1" x="57"/>
        <item x="1"/>
        <item x="2"/>
        <item x="3"/>
        <item x="4"/>
        <item m="1" x="58"/>
        <item m="1" x="59"/>
        <item x="0"/>
        <item t="default"/>
      </items>
    </pivotField>
    <pivotField showAll="0"/>
    <pivotField showAll="0"/>
    <pivotField showAll="0"/>
    <pivotField showAll="0"/>
    <pivotField showAll="0"/>
    <pivotField dataField="1" showAll="0"/>
  </pivotFields>
  <rowFields count="3">
    <field x="0"/>
    <field x="1"/>
    <field x="2"/>
  </rowFields>
  <rowItems count="4">
    <i>
      <x v="9"/>
    </i>
    <i r="1">
      <x/>
    </i>
    <i r="2">
      <x v="3"/>
    </i>
    <i t="grand">
      <x/>
    </i>
  </rowItems>
  <colFields count="1">
    <field x="4"/>
  </colFields>
  <colItems count="10">
    <i>
      <x v="29"/>
    </i>
    <i>
      <x v="30"/>
    </i>
    <i>
      <x v="33"/>
    </i>
    <i>
      <x v="44"/>
    </i>
    <i>
      <x v="53"/>
    </i>
    <i>
      <x v="54"/>
    </i>
    <i>
      <x v="55"/>
    </i>
    <i>
      <x v="56"/>
    </i>
    <i>
      <x v="59"/>
    </i>
    <i t="grand">
      <x/>
    </i>
  </colItems>
  <dataFields count="1">
    <dataField name="Sum of Value" fld="10" baseField="0" baseItem="0"/>
  </dataFields>
  <chartFormats count="62">
    <chartFormat chart="0" format="0" series="1">
      <pivotArea type="data" outline="0" fieldPosition="0">
        <references count="1">
          <reference field="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2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3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4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5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6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7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8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9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0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1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2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3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4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5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6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7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8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9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0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1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2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3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4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5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6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7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8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9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0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1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2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4"/>
          </reference>
        </references>
      </pivotArea>
    </chartFormat>
    <chartFormat chart="0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5"/>
          </reference>
        </references>
      </pivotArea>
    </chartFormat>
    <chartFormat chart="0" format="5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6"/>
          </reference>
        </references>
      </pivotArea>
    </chartFormat>
    <chartFormat chart="0" format="5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7"/>
          </reference>
        </references>
      </pivotArea>
    </chartFormat>
    <chartFormat chart="0" format="5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8"/>
          </reference>
        </references>
      </pivotArea>
    </chartFormat>
    <chartFormat chart="0" format="6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6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ACF64F-20EF-4183-AF2D-D45DD68972D3}" name="PivotTable1" cacheId="6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 fieldListSortAscending="1">
  <location ref="L8:R48" firstHeaderRow="1" firstDataRow="2" firstDataCol="1"/>
  <pivotFields count="8">
    <pivotField axis="axisRow" showAll="0">
      <items count="8">
        <item m="1" x="1"/>
        <item m="1" x="6"/>
        <item m="1" x="5"/>
        <item m="1" x="3"/>
        <item m="1" x="4"/>
        <item m="1" x="2"/>
        <item x="0"/>
        <item t="default"/>
      </items>
    </pivotField>
    <pivotField showAll="0"/>
    <pivotField axis="axisRow" showAll="0">
      <items count="5">
        <item h="1" m="1" x="1"/>
        <item h="1" m="1" x="2"/>
        <item h="1" m="1" x="3"/>
        <item x="0"/>
        <item t="default"/>
      </items>
    </pivotField>
    <pivotField axis="axisRow" showAll="0">
      <items count="37">
        <item x="1"/>
        <item x="12"/>
        <item x="3"/>
        <item x="25"/>
        <item x="13"/>
        <item x="0"/>
        <item x="6"/>
        <item x="2"/>
        <item x="4"/>
        <item x="5"/>
        <item x="7"/>
        <item x="8"/>
        <item x="9"/>
        <item x="10"/>
        <item x="11"/>
        <item x="14"/>
        <item x="15"/>
        <item x="16"/>
        <item x="17"/>
        <item x="18"/>
        <item x="19"/>
        <item x="20"/>
        <item x="21"/>
        <item x="22"/>
        <item x="23"/>
        <item x="24"/>
        <item x="26"/>
        <item x="27"/>
        <item x="28"/>
        <item x="29"/>
        <item x="30"/>
        <item x="31"/>
        <item x="32"/>
        <item x="33"/>
        <item x="34"/>
        <item x="35"/>
        <item t="default"/>
      </items>
    </pivotField>
    <pivotField showAll="0"/>
    <pivotField axis="axisCol" showAll="0">
      <items count="6">
        <item x="0"/>
        <item x="2"/>
        <item x="1"/>
        <item x="4"/>
        <item x="3"/>
        <item t="default"/>
      </items>
    </pivotField>
    <pivotField showAll="0"/>
    <pivotField dataField="1" showAll="0"/>
  </pivotFields>
  <rowFields count="3">
    <field x="0"/>
    <field x="2"/>
    <field x="3"/>
  </rowFields>
  <rowItems count="39">
    <i>
      <x v="6"/>
    </i>
    <i r="1">
      <x v="3"/>
    </i>
    <i r="2"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r="2"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r="2">
      <x v="30"/>
    </i>
    <i r="2">
      <x v="31"/>
    </i>
    <i r="2">
      <x v="32"/>
    </i>
    <i r="2">
      <x v="33"/>
    </i>
    <i r="2">
      <x v="34"/>
    </i>
    <i r="2">
      <x v="35"/>
    </i>
    <i t="grand">
      <x/>
    </i>
  </rowItems>
  <colFields count="1">
    <field x="5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um of Value" fld="7" baseField="0" baseItem="0"/>
  </dataFields>
  <chartFormats count="6">
    <chartFormat chart="3" format="1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3" format="1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3" format="1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3" format="1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3" format="1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3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6261D7E5-7E2E-4D8E-BBBD-6CB7DBD8DB1C}" autoFormatId="16" applyNumberFormats="0" applyBorderFormats="0" applyFontFormats="0" applyPatternFormats="0" applyAlignmentFormats="0" applyWidthHeightFormats="0">
  <queryTableRefresh nextId="2">
    <queryTableFields count="1">
      <queryTableField id="1" name="Paths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8" xr16:uid="{B670F9C5-47EE-4285-B011-DBAFA2FC2E9A}" autoFormatId="16" applyNumberFormats="0" applyBorderFormats="0" applyFontFormats="0" applyPatternFormats="0" applyAlignmentFormats="0" applyWidthHeightFormats="0">
  <queryTableRefresh nextId="36">
    <queryTableFields count="13">
      <queryTableField id="12" name="SC" tableColumnId="12"/>
      <queryTableField id="13" name="Iteration" tableColumnId="13"/>
      <queryTableField id="14" name="Y" tableColumnId="14"/>
      <queryTableField id="15" name="C" tableColumnId="15"/>
      <queryTableField id="16" name="R" tableColumnId="16"/>
      <queryTableField id="17" name="A" tableColumnId="17"/>
      <queryTableField id="18" name="G" tableColumnId="18"/>
      <queryTableField id="19" name="F" tableColumnId="19"/>
      <queryTableField id="20" name="Commodity" tableColumnId="20"/>
      <queryTableField id="21" name="Tech" tableColumnId="21"/>
      <queryTableField id="22" name="Var" tableColumnId="22"/>
      <queryTableField id="23" name="Unit" tableColumnId="23"/>
      <queryTableField id="11" name="Value" tableColumnId="1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2" xr16:uid="{5B6AE962-5E23-4787-8816-E2C7036F2134}" autoFormatId="16" applyNumberFormats="0" applyBorderFormats="0" applyFontFormats="0" applyPatternFormats="0" applyAlignmentFormats="0" applyWidthHeightFormats="0">
  <queryTableRefresh nextId="13">
    <queryTableFields count="12">
      <queryTableField id="1" name="SC" tableColumnId="1"/>
      <queryTableField id="2" name="Iteration" tableColumnId="2"/>
      <queryTableField id="3" name="Y" tableColumnId="3"/>
      <queryTableField id="4" name="C" tableColumnId="4"/>
      <queryTableField id="5" name="R" tableColumnId="5"/>
      <queryTableField id="6" name="A" tableColumnId="6"/>
      <queryTableField id="7" name="G" tableColumnId="7"/>
      <queryTableField id="8" name="F" tableColumnId="8"/>
      <queryTableField id="9" name="Commodity" tableColumnId="9"/>
      <queryTableField id="10" name="Tech" tableColumnId="10"/>
      <queryTableField id="11" name="Unit" tableColumnId="11"/>
      <queryTableField id="12" name="Value" tableColumnId="1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05BD0C09-5505-4D33-8949-76EB83ABE94A}" autoFormatId="16" applyNumberFormats="0" applyBorderFormats="0" applyFontFormats="0" applyPatternFormats="0" applyAlignmentFormats="0" applyWidthHeightFormats="0">
  <queryTableRefresh nextId="9">
    <queryTableFields count="8">
      <queryTableField id="1" name="SC" tableColumnId="1"/>
      <queryTableField id="2" name="Iteration" tableColumnId="2"/>
      <queryTableField id="3" name="Y" tableColumnId="3"/>
      <queryTableField id="4" name="C" tableColumnId="4"/>
      <queryTableField id="5" name="R" tableColumnId="5"/>
      <queryTableField id="6" name="Var" tableColumnId="6"/>
      <queryTableField id="7" name="Unit" tableColumnId="7"/>
      <queryTableField id="8" name="Value" tableColumnId="8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241F235D-2672-4650-B044-5825D4FE7E93}" autoFormatId="16" applyNumberFormats="0" applyBorderFormats="0" applyFontFormats="0" applyPatternFormats="0" applyAlignmentFormats="0" applyWidthHeightFormats="0">
  <queryTableRefresh nextId="21">
    <queryTableFields count="8">
      <queryTableField id="7" name="SC" tableColumnId="7"/>
      <queryTableField id="8" name="Iteration" tableColumnId="8"/>
      <queryTableField id="9" name="Y" tableColumnId="9"/>
      <queryTableField id="10" name="C" tableColumnId="10"/>
      <queryTableField id="11" name="R" tableColumnId="11"/>
      <queryTableField id="12" name="Type" tableColumnId="12"/>
      <queryTableField id="13" name="Unit" tableColumnId="13"/>
      <queryTableField id="6" name="Value" tableColumnId="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2A6E22BC-26B5-4346-8163-CD5C661F4030}" autoFormatId="16" applyNumberFormats="0" applyBorderFormats="0" applyFontFormats="0" applyPatternFormats="0" applyAlignmentFormats="0" applyWidthHeightFormats="0">
  <queryTableRefresh nextId="12">
    <queryTableFields count="11">
      <queryTableField id="1" name="SC" tableColumnId="1"/>
      <queryTableField id="2" name="Iteration" tableColumnId="2"/>
      <queryTableField id="3" name="Y" tableColumnId="3"/>
      <queryTableField id="4" name="C" tableColumnId="4"/>
      <queryTableField id="5" name="R" tableColumnId="5"/>
      <queryTableField id="6" name="A" tableColumnId="6"/>
      <queryTableField id="7" name="G" tableColumnId="7"/>
      <queryTableField id="8" name="F" tableColumnId="8"/>
      <queryTableField id="9" name="Tech" tableColumnId="9"/>
      <queryTableField id="10" name="Unit" tableColumnId="10"/>
      <queryTableField id="11" name="Value" tableColumnId="1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685AF463-0F1C-4B35-93A2-728967A303B5}" autoFormatId="16" applyNumberFormats="0" applyBorderFormats="0" applyFontFormats="0" applyPatternFormats="0" applyAlignmentFormats="0" applyWidthHeightFormats="0">
  <queryTableRefresh nextId="9">
    <queryTableFields count="8">
      <queryTableField id="1" name="SC" tableColumnId="1"/>
      <queryTableField id="2" name="Iteration" tableColumnId="2"/>
      <queryTableField id="3" name="Y" tableColumnId="3"/>
      <queryTableField id="4" name="C" tableColumnId="4"/>
      <queryTableField id="5" name="R" tableColumnId="5"/>
      <queryTableField id="6" name="Var" tableColumnId="6"/>
      <queryTableField id="7" name="Unit" tableColumnId="7"/>
      <queryTableField id="8" name="Value" tableColumnId="8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B16F1E4-CD25-4907-AEB8-D751D0D344F3}" name="Table3" displayName="Table3" ref="B5:B8" totalsRowShown="0">
  <autoFilter ref="B5:B8" xr:uid="{1B16F1E4-CD25-4907-AEB8-D751D0D344F3}"/>
  <tableColumns count="1">
    <tableColumn id="1" xr3:uid="{04C040A3-DE15-4F94-8CE3-6CBC8E89E345}" name="Path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0E4E3E1-59D1-4ABC-9F87-3C78BFD9FDDD}" name="ExcelPaths" displayName="ExcelPaths" ref="A1:A4" tableType="queryTable" totalsRowShown="0">
  <autoFilter ref="A1:A4" xr:uid="{60E4E3E1-59D1-4ABC-9F87-3C78BFD9FDDD}"/>
  <tableColumns count="1">
    <tableColumn id="1" xr3:uid="{86A2D5D6-629F-41BD-95D6-7CA6922563B1}" uniqueName="1" name="Paths" queryTableFieldId="1" dataDxfId="4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CA8806C-4BDF-41AB-B21E-D78809CC581B}" name="G_CAP_YCRAF" displayName="G_CAP_YCRAF" ref="A1:M1731" tableType="queryTable" totalsRowShown="0">
  <autoFilter ref="A1:M1731" xr:uid="{CCA8806C-4BDF-41AB-B21E-D78809CC581B}"/>
  <tableColumns count="13">
    <tableColumn id="12" xr3:uid="{A87EE95D-64E6-43B0-8E52-9976CF6CA5CA}" uniqueName="12" name="SC" queryTableFieldId="12" dataDxfId="23"/>
    <tableColumn id="13" xr3:uid="{6C598AB4-4E4C-4452-9BD3-71ADDFC4C8C7}" uniqueName="13" name="Iteration" queryTableFieldId="13"/>
    <tableColumn id="14" xr3:uid="{2357DC2D-0998-47D7-8A57-46D3C25895BB}" uniqueName="14" name="Y" queryTableFieldId="14"/>
    <tableColumn id="15" xr3:uid="{0D300431-33DE-449F-8411-5BA5238678B7}" uniqueName="15" name="C" queryTableFieldId="15" dataDxfId="22"/>
    <tableColumn id="16" xr3:uid="{B5FC5AC4-A970-44E8-BB41-0EF24A354DF6}" uniqueName="16" name="R" queryTableFieldId="16" dataDxfId="21"/>
    <tableColumn id="17" xr3:uid="{B0C78441-0175-4D0E-8735-145FD4CD0A9D}" uniqueName="17" name="A" queryTableFieldId="17" dataDxfId="20"/>
    <tableColumn id="18" xr3:uid="{3B5FE575-3E7C-486B-810C-209D48F1579F}" uniqueName="18" name="G" queryTableFieldId="18" dataDxfId="19"/>
    <tableColumn id="19" xr3:uid="{10C5B027-2913-42AA-93F5-BA53E73A2829}" uniqueName="19" name="F" queryTableFieldId="19" dataDxfId="18"/>
    <tableColumn id="20" xr3:uid="{82AEDD69-2645-4593-BE9E-B92D84E8E4A8}" uniqueName="20" name="Commodity" queryTableFieldId="20" dataDxfId="17"/>
    <tableColumn id="21" xr3:uid="{C0B7007E-6AB4-4423-B252-2D4709139BCE}" uniqueName="21" name="Tech" queryTableFieldId="21" dataDxfId="16"/>
    <tableColumn id="22" xr3:uid="{C1AD6756-CE3C-4D21-AA8B-DA067571614A}" uniqueName="22" name="Var" queryTableFieldId="22" dataDxfId="15"/>
    <tableColumn id="23" xr3:uid="{316EBCF8-D00C-4BFF-9AC8-0861DB5BE9F1}" uniqueName="23" name="Unit" queryTableFieldId="23" dataDxfId="14"/>
    <tableColumn id="11" xr3:uid="{E06A4B5B-F7BF-4E00-BC85-8DA6BD3843D8}" uniqueName="11" name="Value" queryTableFieldId="1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BB2D17-A45E-4248-BBB5-D7A5E6952AB9}" name="PRO_YCRAGF" displayName="PRO_YCRAGF" ref="A1:L440" tableType="queryTable" totalsRowShown="0">
  <autoFilter ref="A1:L440" xr:uid="{88BB2D17-A45E-4248-BBB5-D7A5E6952AB9}"/>
  <tableColumns count="12">
    <tableColumn id="1" xr3:uid="{140A7DBF-E6F7-47BA-9234-FCE7041095D7}" uniqueName="1" name="SC" queryTableFieldId="1" dataDxfId="13"/>
    <tableColumn id="2" xr3:uid="{9CF37CE7-0484-416E-88D5-8A9EE2C1CA02}" uniqueName="2" name="Iteration" queryTableFieldId="2"/>
    <tableColumn id="3" xr3:uid="{68132026-4430-48EB-B6CB-CD9D30FD7797}" uniqueName="3" name="Y" queryTableFieldId="3"/>
    <tableColumn id="4" xr3:uid="{EBC0499F-FD45-4726-82F5-488220AE281D}" uniqueName="4" name="C" queryTableFieldId="4" dataDxfId="12"/>
    <tableColumn id="5" xr3:uid="{D4011418-7A13-46B4-A5CF-9077A36B709D}" uniqueName="5" name="R" queryTableFieldId="5" dataDxfId="11"/>
    <tableColumn id="6" xr3:uid="{8A65D2DE-E04B-4790-8955-03167059A2AA}" uniqueName="6" name="A" queryTableFieldId="6" dataDxfId="10"/>
    <tableColumn id="7" xr3:uid="{8DC058C2-7D1D-43B2-A9AB-5E4729719728}" uniqueName="7" name="G" queryTableFieldId="7" dataDxfId="9"/>
    <tableColumn id="8" xr3:uid="{5A4B5E12-7101-4A59-88FE-60F3339D5C0D}" uniqueName="8" name="F" queryTableFieldId="8" dataDxfId="8"/>
    <tableColumn id="9" xr3:uid="{83DE7851-93C1-4BBA-9981-873079B4A690}" uniqueName="9" name="Commodity" queryTableFieldId="9" dataDxfId="7"/>
    <tableColumn id="10" xr3:uid="{35CD9127-C3ED-42D4-85B2-840B5405D4D8}" uniqueName="10" name="Tech" queryTableFieldId="10" dataDxfId="6"/>
    <tableColumn id="11" xr3:uid="{353DF4D7-FDEE-4117-92BE-205A17E4DF16}" uniqueName="11" name="Unit" queryTableFieldId="11" dataDxfId="5"/>
    <tableColumn id="12" xr3:uid="{4D7F644C-87AC-429D-82B3-306D17745C1F}" uniqueName="12" name="Value" queryTableFieldId="1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7F178F-8465-4916-A027-26B7DD9D98E7}" name="OBJ_YCR" displayName="OBJ_YCR" ref="A1:H357" tableType="queryTable" totalsRowShown="0">
  <autoFilter ref="A1:H357" xr:uid="{CD7F178F-8465-4916-A027-26B7DD9D98E7}"/>
  <tableColumns count="8">
    <tableColumn id="1" xr3:uid="{924C8124-AA83-4B80-995C-624ED9DC678D}" uniqueName="1" name="SC" queryTableFieldId="1" dataDxfId="4"/>
    <tableColumn id="2" xr3:uid="{9246C8B5-5C45-4E32-956A-0E0DF695AF38}" uniqueName="2" name="Iteration" queryTableFieldId="2"/>
    <tableColumn id="3" xr3:uid="{1DE7FBAE-05FB-4B0D-99CF-F62D3471D571}" uniqueName="3" name="Y" queryTableFieldId="3"/>
    <tableColumn id="4" xr3:uid="{39600DAD-0255-400E-807D-1A7D58310A63}" uniqueName="4" name="C" queryTableFieldId="4" dataDxfId="3"/>
    <tableColumn id="5" xr3:uid="{06E85795-8847-4A66-B809-7D8C405441F2}" uniqueName="5" name="R" queryTableFieldId="5" dataDxfId="2"/>
    <tableColumn id="6" xr3:uid="{AFE4840F-E1F7-49A7-BB52-1EA4F150D6B0}" uniqueName="6" name="Var" queryTableFieldId="6" dataDxfId="1"/>
    <tableColumn id="7" xr3:uid="{79F780C3-ABE4-4044-9E83-F39DF2111C93}" uniqueName="7" name="Unit" queryTableFieldId="7" dataDxfId="0"/>
    <tableColumn id="8" xr3:uid="{BF652656-EE04-4743-9A50-F741C136190C}" uniqueName="8" name="Value" queryTableFieldId="8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871C3E5-C841-402D-957B-0C86FD322F7A}" name="EL_PRICE_YCR" displayName="EL_PRICE_YCR" ref="A1:H598" tableType="queryTable" totalsRowShown="0">
  <autoFilter ref="A1:H598" xr:uid="{5871C3E5-C841-402D-957B-0C86FD322F7A}"/>
  <tableColumns count="8">
    <tableColumn id="7" xr3:uid="{9BDA21A7-E76B-44E0-9F2E-AF61F8D319EE}" uniqueName="7" name="SC" queryTableFieldId="7" dataDxfId="41"/>
    <tableColumn id="8" xr3:uid="{D2FEA4A7-A45B-4488-A287-710931BDCB4A}" uniqueName="8" name="Iteration" queryTableFieldId="8"/>
    <tableColumn id="9" xr3:uid="{7F99D287-DB36-49F4-A6A0-A649433FAA53}" uniqueName="9" name="Y" queryTableFieldId="9"/>
    <tableColumn id="10" xr3:uid="{73691001-6B96-481E-9E46-8C9BF8DF9F25}" uniqueName="10" name="C" queryTableFieldId="10" dataDxfId="40"/>
    <tableColumn id="11" xr3:uid="{62C890E1-5108-4F86-82C0-4F024B0944CE}" uniqueName="11" name="R" queryTableFieldId="11" dataDxfId="39"/>
    <tableColumn id="12" xr3:uid="{A248EEFD-56D4-40E8-B4B8-69479C69727F}" uniqueName="12" name="Type" queryTableFieldId="12" dataDxfId="38"/>
    <tableColumn id="13" xr3:uid="{271AEA7A-E306-42B3-A387-E65A4AB5CD35}" uniqueName="13" name="Unit" queryTableFieldId="13" dataDxfId="37"/>
    <tableColumn id="6" xr3:uid="{52CF6CCD-DD23-4549-8018-B4E926C8BD3A}" uniqueName="6" name="Value" queryTableFieldId="6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3573979-2DCC-416A-8662-A4951EB0033D}" name="EMI_YCRAG" displayName="EMI_YCRAG" ref="A1:K10" tableType="queryTable" totalsRowShown="0">
  <autoFilter ref="A1:K10" xr:uid="{43573979-2DCC-416A-8662-A4951EB0033D}"/>
  <tableColumns count="11">
    <tableColumn id="1" xr3:uid="{21779955-9268-4AB1-8271-CC772D829952}" uniqueName="1" name="SC" queryTableFieldId="1" dataDxfId="36"/>
    <tableColumn id="2" xr3:uid="{10A4405A-1CDF-4E11-8BF1-8D2FE45A5A7B}" uniqueName="2" name="Iteration" queryTableFieldId="2"/>
    <tableColumn id="3" xr3:uid="{B0120DEE-4585-427E-A44A-40CA09934183}" uniqueName="3" name="Y" queryTableFieldId="3"/>
    <tableColumn id="4" xr3:uid="{11B3619E-46A4-4825-9C2A-F03EC455924A}" uniqueName="4" name="C" queryTableFieldId="4" dataDxfId="35"/>
    <tableColumn id="5" xr3:uid="{5B04FE08-B956-411C-A37F-B2A247AF2843}" uniqueName="5" name="R" queryTableFieldId="5" dataDxfId="34"/>
    <tableColumn id="6" xr3:uid="{8D39DF00-2602-43AF-9C57-4243D91CDF51}" uniqueName="6" name="A" queryTableFieldId="6" dataDxfId="33"/>
    <tableColumn id="7" xr3:uid="{799A6035-1185-4E95-9EAD-7DA9E4DFA905}" uniqueName="7" name="G" queryTableFieldId="7" dataDxfId="32"/>
    <tableColumn id="8" xr3:uid="{B906439C-3D2A-4E42-8A48-76E6500D4903}" uniqueName="8" name="F" queryTableFieldId="8" dataDxfId="31"/>
    <tableColumn id="9" xr3:uid="{338A363A-82D5-4348-B50C-B0E91B98A32E}" uniqueName="9" name="Tech" queryTableFieldId="9" dataDxfId="30"/>
    <tableColumn id="10" xr3:uid="{0CAD7D16-A6AC-43CC-9F76-0D47DE189DE0}" uniqueName="10" name="Unit" queryTableFieldId="10" dataDxfId="29"/>
    <tableColumn id="11" xr3:uid="{3004FDC9-3BDA-45F0-A876-4E57939C9421}" uniqueName="11" name="Value" queryTableFieldId="11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2B62BDC-E416-4F32-A466-9C26CCF5A939}" name="EL_DEMAND_YCR" displayName="EL_DEMAND_YCR" ref="A1:H192" tableType="queryTable" totalsRowShown="0">
  <autoFilter ref="A1:H192" xr:uid="{A2B62BDC-E416-4F32-A466-9C26CCF5A939}"/>
  <tableColumns count="8">
    <tableColumn id="1" xr3:uid="{D083ECE7-4AEE-4022-8110-2668B8AB7F03}" uniqueName="1" name="SC" queryTableFieldId="1" dataDxfId="28"/>
    <tableColumn id="2" xr3:uid="{4151D341-82FB-4A3D-9BE8-B457ACB3C87C}" uniqueName="2" name="Iteration" queryTableFieldId="2"/>
    <tableColumn id="3" xr3:uid="{FA69D6BA-E0DE-45B2-86C9-5258CF1543C9}" uniqueName="3" name="Y" queryTableFieldId="3"/>
    <tableColumn id="4" xr3:uid="{618751AD-CE41-46C6-9B4B-3FA3E0B2B300}" uniqueName="4" name="C" queryTableFieldId="4" dataDxfId="27"/>
    <tableColumn id="5" xr3:uid="{84FF255F-4B56-4FE8-B108-FE2B22234F40}" uniqueName="5" name="R" queryTableFieldId="5" dataDxfId="26"/>
    <tableColumn id="6" xr3:uid="{3CC64429-0804-47C1-B0F7-8F8A9E58A54E}" uniqueName="6" name="Var" queryTableFieldId="6" dataDxfId="25"/>
    <tableColumn id="7" xr3:uid="{A349BE47-B741-4005-914D-8CF44423B45D}" uniqueName="7" name="Unit" queryTableFieldId="7" dataDxfId="24"/>
    <tableColumn id="8" xr3:uid="{DEBB0BB8-F040-4CD1-B3A1-4D5FF91EA171}" uniqueName="8" name="Value" queryTableFieldId="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www.python.org/downloads/release/python-3911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ivotTable" Target="../pivotTables/pivotTable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7B0FF-B9DF-4111-8A9D-5841D47931B9}">
  <sheetPr codeName="Sheet7">
    <tabColor theme="9" tint="0.59999389629810485"/>
  </sheetPr>
  <dimension ref="A2:K233"/>
  <sheetViews>
    <sheetView topLeftCell="A42" zoomScaleNormal="100" workbookViewId="0">
      <selection activeCell="B92" sqref="B92"/>
    </sheetView>
  </sheetViews>
  <sheetFormatPr defaultRowHeight="14.4" x14ac:dyDescent="0.3"/>
  <cols>
    <col min="1" max="16384" width="8.88671875" style="8"/>
  </cols>
  <sheetData>
    <row r="2" spans="1:11" ht="28.2" x14ac:dyDescent="0.6">
      <c r="B2" s="21" t="s">
        <v>85</v>
      </c>
    </row>
    <row r="4" spans="1:11" s="6" customFormat="1" ht="28.2" x14ac:dyDescent="0.6">
      <c r="B4" s="7" t="s">
        <v>71</v>
      </c>
    </row>
    <row r="7" spans="1:11" ht="19.2" x14ac:dyDescent="0.4">
      <c r="B7" s="23" t="s">
        <v>91</v>
      </c>
    </row>
    <row r="8" spans="1:11" ht="19.2" x14ac:dyDescent="0.4">
      <c r="B8" s="17" t="s">
        <v>74</v>
      </c>
      <c r="C8" s="17"/>
      <c r="D8" s="17"/>
      <c r="E8" s="17"/>
    </row>
    <row r="9" spans="1:11" ht="17.399999999999999" x14ac:dyDescent="0.4">
      <c r="B9" s="17" t="s">
        <v>73</v>
      </c>
      <c r="C9" s="17"/>
      <c r="D9" s="17"/>
      <c r="E9" s="17"/>
    </row>
    <row r="10" spans="1:11" ht="17.399999999999999" x14ac:dyDescent="0.4">
      <c r="B10" s="17" t="s">
        <v>92</v>
      </c>
      <c r="C10" s="17"/>
      <c r="D10" s="17"/>
      <c r="E10" s="17"/>
    </row>
    <row r="11" spans="1:11" ht="17.399999999999999" x14ac:dyDescent="0.4">
      <c r="B11" s="17" t="s">
        <v>93</v>
      </c>
      <c r="C11" s="17"/>
      <c r="D11" s="17"/>
      <c r="E11" s="17"/>
    </row>
    <row r="12" spans="1:11" ht="19.2" x14ac:dyDescent="0.4">
      <c r="B12" s="17" t="s">
        <v>75</v>
      </c>
      <c r="C12" s="17"/>
      <c r="D12" s="18" t="s">
        <v>72</v>
      </c>
      <c r="E12" s="17"/>
    </row>
    <row r="13" spans="1:11" ht="15.6" x14ac:dyDescent="0.35">
      <c r="B13" s="19"/>
      <c r="C13" s="19"/>
      <c r="D13" s="19"/>
      <c r="E13" s="19"/>
    </row>
    <row r="14" spans="1:11" x14ac:dyDescent="0.3">
      <c r="A14" s="8">
        <v>1</v>
      </c>
      <c r="B14" s="9" t="s">
        <v>87</v>
      </c>
      <c r="C14" s="10"/>
      <c r="D14" s="10"/>
      <c r="E14" s="10"/>
      <c r="F14" s="10"/>
      <c r="G14" s="10"/>
      <c r="H14" s="10"/>
      <c r="I14" s="10"/>
      <c r="J14" s="10"/>
      <c r="K14" s="11"/>
    </row>
    <row r="15" spans="1:11" x14ac:dyDescent="0.3">
      <c r="A15" s="8">
        <v>2</v>
      </c>
      <c r="B15" s="12" t="s">
        <v>80</v>
      </c>
      <c r="K15" s="13"/>
    </row>
    <row r="16" spans="1:11" x14ac:dyDescent="0.3">
      <c r="A16" s="8">
        <v>3</v>
      </c>
      <c r="B16" s="12" t="s">
        <v>81</v>
      </c>
      <c r="K16" s="13"/>
    </row>
    <row r="17" spans="1:11" x14ac:dyDescent="0.3">
      <c r="A17" s="8">
        <v>4</v>
      </c>
      <c r="B17" s="12" t="s">
        <v>76</v>
      </c>
      <c r="K17" s="13"/>
    </row>
    <row r="18" spans="1:11" x14ac:dyDescent="0.3">
      <c r="A18" s="8">
        <v>5</v>
      </c>
      <c r="B18" s="12" t="s">
        <v>77</v>
      </c>
      <c r="K18" s="13"/>
    </row>
    <row r="19" spans="1:11" x14ac:dyDescent="0.3">
      <c r="A19" s="8">
        <v>6</v>
      </c>
      <c r="B19" s="12" t="s">
        <v>106</v>
      </c>
      <c r="K19" s="13"/>
    </row>
    <row r="20" spans="1:11" x14ac:dyDescent="0.3">
      <c r="A20" s="8">
        <v>7</v>
      </c>
      <c r="B20" s="12" t="s">
        <v>658</v>
      </c>
      <c r="K20" s="13"/>
    </row>
    <row r="21" spans="1:11" x14ac:dyDescent="0.3">
      <c r="A21" s="8">
        <v>8</v>
      </c>
      <c r="B21" s="14" t="s">
        <v>659</v>
      </c>
      <c r="C21" s="15"/>
      <c r="D21" s="15"/>
      <c r="E21" s="15"/>
      <c r="F21" s="15"/>
      <c r="G21" s="15"/>
      <c r="H21" s="15"/>
      <c r="I21" s="15"/>
      <c r="J21" s="15"/>
      <c r="K21" s="16"/>
    </row>
    <row r="22" spans="1:11" ht="17.399999999999999" x14ac:dyDescent="0.4">
      <c r="B22" s="17" t="s">
        <v>78</v>
      </c>
    </row>
    <row r="23" spans="1:11" ht="17.399999999999999" x14ac:dyDescent="0.4">
      <c r="B23" s="17" t="s">
        <v>88</v>
      </c>
    </row>
    <row r="24" spans="1:11" ht="17.399999999999999" x14ac:dyDescent="0.4">
      <c r="B24" s="17" t="s">
        <v>89</v>
      </c>
    </row>
    <row r="25" spans="1:11" ht="17.399999999999999" x14ac:dyDescent="0.4">
      <c r="B25" s="17"/>
    </row>
    <row r="26" spans="1:11" x14ac:dyDescent="0.3">
      <c r="B26" s="20"/>
    </row>
    <row r="27" spans="1:11" x14ac:dyDescent="0.3">
      <c r="A27" s="8">
        <v>1</v>
      </c>
      <c r="B27" s="9" t="s">
        <v>79</v>
      </c>
      <c r="C27" s="10"/>
      <c r="D27" s="10"/>
      <c r="E27" s="10"/>
      <c r="F27" s="10"/>
      <c r="G27" s="10"/>
      <c r="H27" s="10"/>
      <c r="I27" s="10"/>
      <c r="J27" s="10"/>
      <c r="K27" s="11"/>
    </row>
    <row r="28" spans="1:11" x14ac:dyDescent="0.3">
      <c r="A28" s="8">
        <v>2</v>
      </c>
      <c r="B28" s="12" t="s">
        <v>84</v>
      </c>
      <c r="K28" s="13"/>
    </row>
    <row r="29" spans="1:11" x14ac:dyDescent="0.3">
      <c r="A29" s="8">
        <v>3</v>
      </c>
      <c r="B29" s="12" t="s">
        <v>83</v>
      </c>
      <c r="K29" s="13"/>
    </row>
    <row r="30" spans="1:11" x14ac:dyDescent="0.3">
      <c r="A30" s="8">
        <v>4</v>
      </c>
      <c r="B30" s="12" t="s">
        <v>107</v>
      </c>
      <c r="K30" s="13"/>
    </row>
    <row r="31" spans="1:11" x14ac:dyDescent="0.3">
      <c r="A31" s="8">
        <v>5</v>
      </c>
      <c r="B31" s="12" t="s">
        <v>108</v>
      </c>
      <c r="K31" s="13"/>
    </row>
    <row r="32" spans="1:11" x14ac:dyDescent="0.3">
      <c r="A32" s="8">
        <v>6</v>
      </c>
      <c r="B32" s="12" t="s">
        <v>660</v>
      </c>
      <c r="K32" s="13"/>
    </row>
    <row r="33" spans="1:11" x14ac:dyDescent="0.3">
      <c r="A33" s="8">
        <v>7</v>
      </c>
      <c r="B33" s="12" t="s">
        <v>661</v>
      </c>
      <c r="K33" s="13"/>
    </row>
    <row r="34" spans="1:11" x14ac:dyDescent="0.3">
      <c r="A34" s="8">
        <v>8</v>
      </c>
      <c r="B34" s="14" t="s">
        <v>86</v>
      </c>
      <c r="C34" s="15"/>
      <c r="D34" s="15"/>
      <c r="E34" s="15"/>
      <c r="F34" s="15"/>
      <c r="G34" s="15"/>
      <c r="H34" s="15"/>
      <c r="I34" s="15"/>
      <c r="J34" s="15"/>
      <c r="K34" s="16"/>
    </row>
    <row r="35" spans="1:11" ht="17.399999999999999" x14ac:dyDescent="0.4">
      <c r="B35" s="17" t="s">
        <v>82</v>
      </c>
    </row>
    <row r="36" spans="1:11" ht="17.399999999999999" x14ac:dyDescent="0.4">
      <c r="B36" s="17" t="s">
        <v>88</v>
      </c>
    </row>
    <row r="37" spans="1:11" ht="17.399999999999999" x14ac:dyDescent="0.4">
      <c r="B37" s="17" t="s">
        <v>90</v>
      </c>
    </row>
    <row r="38" spans="1:11" ht="17.399999999999999" x14ac:dyDescent="0.4">
      <c r="B38" s="17"/>
    </row>
    <row r="40" spans="1:11" ht="19.2" x14ac:dyDescent="0.4">
      <c r="B40" s="23" t="s">
        <v>94</v>
      </c>
    </row>
    <row r="41" spans="1:11" ht="17.399999999999999" x14ac:dyDescent="0.4">
      <c r="B41" s="17" t="s">
        <v>95</v>
      </c>
    </row>
    <row r="42" spans="1:11" ht="17.399999999999999" x14ac:dyDescent="0.4">
      <c r="B42" s="17" t="s">
        <v>96</v>
      </c>
    </row>
    <row r="44" spans="1:11" x14ac:dyDescent="0.3">
      <c r="A44" s="8">
        <v>1</v>
      </c>
      <c r="B44" s="9" t="s">
        <v>97</v>
      </c>
      <c r="C44" s="10"/>
      <c r="D44" s="10"/>
      <c r="E44" s="10"/>
      <c r="F44" s="10"/>
      <c r="G44" s="10"/>
      <c r="H44" s="10"/>
      <c r="I44" s="10"/>
      <c r="J44" s="10"/>
      <c r="K44" s="11"/>
    </row>
    <row r="45" spans="1:11" x14ac:dyDescent="0.3">
      <c r="A45" s="8">
        <v>2</v>
      </c>
      <c r="B45" s="12" t="s">
        <v>98</v>
      </c>
      <c r="K45" s="13"/>
    </row>
    <row r="46" spans="1:11" x14ac:dyDescent="0.3">
      <c r="A46" s="8">
        <v>3</v>
      </c>
      <c r="B46" s="12" t="s">
        <v>81</v>
      </c>
      <c r="K46" s="13"/>
    </row>
    <row r="47" spans="1:11" x14ac:dyDescent="0.3">
      <c r="A47" s="8">
        <v>4</v>
      </c>
      <c r="B47" s="12" t="s">
        <v>99</v>
      </c>
      <c r="K47" s="13"/>
    </row>
    <row r="48" spans="1:11" x14ac:dyDescent="0.3">
      <c r="A48" s="8">
        <v>5</v>
      </c>
      <c r="B48" s="22" t="s">
        <v>102</v>
      </c>
      <c r="C48" s="15"/>
      <c r="D48" s="15"/>
      <c r="E48" s="15"/>
      <c r="F48" s="15"/>
      <c r="G48" s="15"/>
      <c r="H48" s="15"/>
      <c r="I48" s="15"/>
      <c r="J48" s="15"/>
      <c r="K48" s="16"/>
    </row>
    <row r="49" spans="1:11" ht="17.399999999999999" x14ac:dyDescent="0.4">
      <c r="B49" s="17" t="s">
        <v>100</v>
      </c>
    </row>
    <row r="50" spans="1:11" ht="17.399999999999999" x14ac:dyDescent="0.4">
      <c r="B50" s="17" t="s">
        <v>101</v>
      </c>
    </row>
    <row r="51" spans="1:11" ht="17.399999999999999" x14ac:dyDescent="0.4">
      <c r="B51" s="17" t="s">
        <v>103</v>
      </c>
    </row>
    <row r="52" spans="1:11" ht="17.399999999999999" x14ac:dyDescent="0.4">
      <c r="B52" s="17" t="s">
        <v>104</v>
      </c>
    </row>
    <row r="53" spans="1:11" x14ac:dyDescent="0.3">
      <c r="A53" s="8">
        <v>1</v>
      </c>
      <c r="B53" s="9" t="s">
        <v>86</v>
      </c>
      <c r="C53" s="10"/>
      <c r="D53" s="10"/>
      <c r="E53" s="10"/>
      <c r="F53" s="10"/>
      <c r="G53" s="10"/>
      <c r="H53" s="10"/>
      <c r="I53" s="10"/>
      <c r="J53" s="10"/>
      <c r="K53" s="11"/>
    </row>
    <row r="54" spans="1:11" x14ac:dyDescent="0.3">
      <c r="A54" s="8">
        <v>2</v>
      </c>
      <c r="B54" s="14" t="s">
        <v>105</v>
      </c>
      <c r="C54" s="15"/>
      <c r="D54" s="15"/>
      <c r="E54" s="15"/>
      <c r="F54" s="15"/>
      <c r="G54" s="15"/>
      <c r="H54" s="15"/>
      <c r="I54" s="15"/>
      <c r="J54" s="15"/>
      <c r="K54" s="16"/>
    </row>
    <row r="57" spans="1:11" s="6" customFormat="1" ht="28.2" x14ac:dyDescent="0.6">
      <c r="B57" s="7" t="s">
        <v>109</v>
      </c>
    </row>
    <row r="60" spans="1:11" ht="19.2" x14ac:dyDescent="0.4">
      <c r="B60" s="23" t="s">
        <v>110</v>
      </c>
    </row>
    <row r="62" spans="1:11" ht="17.399999999999999" x14ac:dyDescent="0.4">
      <c r="B62" s="17" t="s">
        <v>111</v>
      </c>
    </row>
    <row r="63" spans="1:11" ht="17.399999999999999" x14ac:dyDescent="0.4">
      <c r="B63" s="17" t="s">
        <v>112</v>
      </c>
    </row>
    <row r="64" spans="1:11" ht="17.399999999999999" x14ac:dyDescent="0.4">
      <c r="B64" s="17" t="s">
        <v>122</v>
      </c>
    </row>
    <row r="65" spans="2:2" ht="17.399999999999999" x14ac:dyDescent="0.4">
      <c r="B65" s="17" t="s">
        <v>113</v>
      </c>
    </row>
    <row r="66" spans="2:2" ht="17.399999999999999" x14ac:dyDescent="0.4">
      <c r="B66" s="17" t="s">
        <v>119</v>
      </c>
    </row>
    <row r="67" spans="2:2" ht="17.399999999999999" x14ac:dyDescent="0.4">
      <c r="B67" s="17" t="s">
        <v>120</v>
      </c>
    </row>
    <row r="68" spans="2:2" ht="17.399999999999999" x14ac:dyDescent="0.4">
      <c r="B68" s="17" t="s">
        <v>121</v>
      </c>
    </row>
    <row r="70" spans="2:2" ht="17.399999999999999" x14ac:dyDescent="0.4">
      <c r="B70" s="17" t="s">
        <v>114</v>
      </c>
    </row>
    <row r="71" spans="2:2" ht="17.399999999999999" x14ac:dyDescent="0.4">
      <c r="B71" s="17" t="s">
        <v>115</v>
      </c>
    </row>
    <row r="72" spans="2:2" ht="17.399999999999999" x14ac:dyDescent="0.4">
      <c r="B72" s="17" t="s">
        <v>141</v>
      </c>
    </row>
    <row r="73" spans="2:2" ht="17.399999999999999" x14ac:dyDescent="0.4">
      <c r="B73" s="17" t="s">
        <v>142</v>
      </c>
    </row>
    <row r="76" spans="2:2" ht="19.2" x14ac:dyDescent="0.4">
      <c r="B76" s="23" t="s">
        <v>648</v>
      </c>
    </row>
    <row r="78" spans="2:2" x14ac:dyDescent="0.3">
      <c r="B78" s="8" t="s">
        <v>649</v>
      </c>
    </row>
    <row r="79" spans="2:2" x14ac:dyDescent="0.3">
      <c r="B79" s="8" t="s">
        <v>650</v>
      </c>
    </row>
    <row r="80" spans="2:2" x14ac:dyDescent="0.3">
      <c r="B80" s="8" t="s">
        <v>651</v>
      </c>
    </row>
    <row r="82" spans="2:2" x14ac:dyDescent="0.3">
      <c r="B82" s="8" t="s">
        <v>652</v>
      </c>
    </row>
    <row r="90" spans="2:2" x14ac:dyDescent="0.3">
      <c r="B90" s="8" t="s">
        <v>653</v>
      </c>
    </row>
    <row r="91" spans="2:2" x14ac:dyDescent="0.3">
      <c r="B91" s="8" t="s">
        <v>654</v>
      </c>
    </row>
    <row r="92" spans="2:2" x14ac:dyDescent="0.3">
      <c r="B92" s="8" t="s">
        <v>655</v>
      </c>
    </row>
    <row r="95" spans="2:2" ht="19.2" x14ac:dyDescent="0.4">
      <c r="B95" s="23" t="s">
        <v>647</v>
      </c>
    </row>
    <row r="97" spans="2:2" ht="17.399999999999999" x14ac:dyDescent="0.4">
      <c r="B97" s="17" t="s">
        <v>156</v>
      </c>
    </row>
    <row r="98" spans="2:2" ht="17.399999999999999" x14ac:dyDescent="0.4">
      <c r="B98" s="17" t="s">
        <v>116</v>
      </c>
    </row>
    <row r="99" spans="2:2" ht="17.399999999999999" x14ac:dyDescent="0.4">
      <c r="B99" s="17" t="s">
        <v>117</v>
      </c>
    </row>
    <row r="100" spans="2:2" ht="17.399999999999999" x14ac:dyDescent="0.4">
      <c r="B100" s="17" t="s">
        <v>124</v>
      </c>
    </row>
    <row r="101" spans="2:2" ht="17.399999999999999" x14ac:dyDescent="0.4">
      <c r="B101" s="17" t="s">
        <v>123</v>
      </c>
    </row>
    <row r="103" spans="2:2" x14ac:dyDescent="0.3">
      <c r="B103" s="33" t="s">
        <v>125</v>
      </c>
    </row>
    <row r="121" spans="2:2" x14ac:dyDescent="0.3">
      <c r="B121" s="33" t="s">
        <v>132</v>
      </c>
    </row>
    <row r="122" spans="2:2" x14ac:dyDescent="0.3">
      <c r="B122" s="12" t="s">
        <v>135</v>
      </c>
    </row>
    <row r="123" spans="2:2" x14ac:dyDescent="0.3">
      <c r="B123" s="8" t="s">
        <v>136</v>
      </c>
    </row>
    <row r="124" spans="2:2" x14ac:dyDescent="0.3">
      <c r="B124" s="8" t="s">
        <v>133</v>
      </c>
    </row>
    <row r="135" spans="2:2" x14ac:dyDescent="0.3">
      <c r="B135" s="8" t="s">
        <v>134</v>
      </c>
    </row>
    <row r="147" spans="2:2" x14ac:dyDescent="0.3">
      <c r="B147" s="33" t="s">
        <v>137</v>
      </c>
    </row>
    <row r="148" spans="2:2" x14ac:dyDescent="0.3">
      <c r="B148" s="8" t="s">
        <v>129</v>
      </c>
    </row>
    <row r="149" spans="2:2" x14ac:dyDescent="0.3">
      <c r="B149" s="8" t="s">
        <v>130</v>
      </c>
    </row>
    <row r="150" spans="2:2" x14ac:dyDescent="0.3">
      <c r="B150" s="8" t="s">
        <v>131</v>
      </c>
    </row>
    <row r="185" spans="2:2" x14ac:dyDescent="0.3">
      <c r="B185" s="33" t="s">
        <v>417</v>
      </c>
    </row>
    <row r="186" spans="2:2" x14ac:dyDescent="0.3">
      <c r="B186" s="8" t="s">
        <v>139</v>
      </c>
    </row>
    <row r="233" spans="2:2" x14ac:dyDescent="0.3">
      <c r="B233" s="33" t="s">
        <v>418</v>
      </c>
    </row>
  </sheetData>
  <hyperlinks>
    <hyperlink ref="D12" r:id="rId1" xr:uid="{7A55759C-5FAA-4FE2-9E2A-A4A9A6B331A4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CDDEE-31F9-47B9-82C5-E28AC90F7EDB}">
  <sheetPr codeName="Sheet1">
    <tabColor theme="5" tint="0.59999389629810485"/>
  </sheetPr>
  <dimension ref="B2:N89"/>
  <sheetViews>
    <sheetView tabSelected="1" zoomScale="70" zoomScaleNormal="70" workbookViewId="0">
      <selection activeCell="G15" sqref="G15"/>
    </sheetView>
  </sheetViews>
  <sheetFormatPr defaultRowHeight="14.4" x14ac:dyDescent="0.3"/>
  <cols>
    <col min="1" max="1" width="8.88671875" style="8"/>
    <col min="2" max="2" width="28.109375" style="8" customWidth="1"/>
    <col min="3" max="3" width="80.88671875" style="8" customWidth="1"/>
    <col min="4" max="4" width="13.109375" style="8" bestFit="1" customWidth="1"/>
    <col min="5" max="5" width="29.88671875" style="8" customWidth="1"/>
    <col min="6" max="6" width="46.77734375" style="8" customWidth="1"/>
    <col min="7" max="7" width="17.77734375" style="8" bestFit="1" customWidth="1"/>
    <col min="8" max="8" width="29.88671875" style="8" customWidth="1"/>
    <col min="9" max="9" width="46.77734375" style="8" customWidth="1"/>
    <col min="10" max="10" width="10.109375" style="8" bestFit="1" customWidth="1"/>
    <col min="11" max="13" width="11.77734375" style="8" bestFit="1" customWidth="1"/>
    <col min="14" max="18" width="8.88671875" style="8"/>
    <col min="19" max="19" width="13.5546875" style="8" bestFit="1" customWidth="1"/>
    <col min="20" max="20" width="16.6640625" style="8" bestFit="1" customWidth="1"/>
    <col min="21" max="21" width="23.44140625" style="8" bestFit="1" customWidth="1"/>
    <col min="22" max="22" width="22.6640625" style="8" bestFit="1" customWidth="1"/>
    <col min="23" max="23" width="10.77734375" style="8" bestFit="1" customWidth="1"/>
    <col min="24" max="26" width="8.88671875" style="8"/>
    <col min="27" max="27" width="13" style="8" bestFit="1" customWidth="1"/>
    <col min="28" max="28" width="23.6640625" style="8" bestFit="1" customWidth="1"/>
    <col min="29" max="29" width="9.5546875" style="8" bestFit="1" customWidth="1"/>
    <col min="30" max="30" width="23" style="8" bestFit="1" customWidth="1"/>
    <col min="31" max="31" width="12.77734375" style="8" bestFit="1" customWidth="1"/>
    <col min="32" max="42" width="9.6640625" style="8" bestFit="1" customWidth="1"/>
    <col min="43" max="43" width="10.6640625" style="8" bestFit="1" customWidth="1"/>
    <col min="44" max="16384" width="8.88671875" style="8"/>
  </cols>
  <sheetData>
    <row r="2" spans="2:14" ht="15.6" x14ac:dyDescent="0.3">
      <c r="B2" s="30" t="s">
        <v>144</v>
      </c>
      <c r="C2" s="30" t="s">
        <v>0</v>
      </c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</row>
    <row r="3" spans="2:14" x14ac:dyDescent="0.3">
      <c r="B3" s="8" t="s">
        <v>65</v>
      </c>
      <c r="C3" s="24" t="s">
        <v>158</v>
      </c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</row>
    <row r="4" spans="2:14" x14ac:dyDescent="0.3">
      <c r="B4" s="8" t="s">
        <v>140</v>
      </c>
      <c r="C4" s="24" t="s">
        <v>592</v>
      </c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</row>
    <row r="5" spans="2:14" x14ac:dyDescent="0.3">
      <c r="B5" s="8" t="s">
        <v>159</v>
      </c>
      <c r="C5" s="25" t="b">
        <v>0</v>
      </c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</row>
    <row r="7" spans="2:14" ht="15.6" x14ac:dyDescent="0.3">
      <c r="B7" s="30" t="s">
        <v>143</v>
      </c>
      <c r="C7" s="30" t="s">
        <v>0</v>
      </c>
      <c r="E7" s="30" t="s">
        <v>153</v>
      </c>
      <c r="F7" s="30" t="s">
        <v>0</v>
      </c>
      <c r="H7" s="30" t="s">
        <v>436</v>
      </c>
      <c r="I7" s="30" t="s">
        <v>0</v>
      </c>
    </row>
    <row r="8" spans="2:14" x14ac:dyDescent="0.3">
      <c r="B8" s="8" t="s">
        <v>145</v>
      </c>
      <c r="C8" s="24" t="s">
        <v>662</v>
      </c>
      <c r="E8" s="8" t="s">
        <v>148</v>
      </c>
      <c r="F8" s="24" t="s">
        <v>662</v>
      </c>
      <c r="H8" s="8" t="s">
        <v>438</v>
      </c>
      <c r="I8" s="25" t="s">
        <v>656</v>
      </c>
      <c r="J8" s="8" t="s">
        <v>656</v>
      </c>
      <c r="M8" s="8" t="s">
        <v>663</v>
      </c>
    </row>
    <row r="9" spans="2:14" x14ac:dyDescent="0.3">
      <c r="B9" s="8" t="s">
        <v>146</v>
      </c>
      <c r="C9" s="26">
        <v>0</v>
      </c>
      <c r="E9" s="8" t="s">
        <v>37</v>
      </c>
      <c r="F9" s="27">
        <v>0</v>
      </c>
      <c r="H9" s="8" t="s">
        <v>443</v>
      </c>
      <c r="I9" s="25" t="s">
        <v>441</v>
      </c>
    </row>
    <row r="10" spans="2:14" x14ac:dyDescent="0.3">
      <c r="B10" s="8" t="s">
        <v>147</v>
      </c>
      <c r="C10" s="24" t="s">
        <v>670</v>
      </c>
      <c r="E10" s="8" t="s">
        <v>149</v>
      </c>
      <c r="F10" s="24" t="s">
        <v>388</v>
      </c>
      <c r="H10" s="8" t="s">
        <v>148</v>
      </c>
      <c r="I10" s="25" t="s">
        <v>662</v>
      </c>
    </row>
    <row r="11" spans="2:14" x14ac:dyDescent="0.3">
      <c r="E11" s="8" t="s">
        <v>150</v>
      </c>
      <c r="F11" s="25">
        <v>2050</v>
      </c>
      <c r="H11" s="8" t="s">
        <v>37</v>
      </c>
      <c r="I11" s="25">
        <v>0</v>
      </c>
    </row>
    <row r="12" spans="2:14" x14ac:dyDescent="0.3">
      <c r="E12" s="8" t="s">
        <v>8</v>
      </c>
      <c r="F12" s="24" t="s">
        <v>437</v>
      </c>
      <c r="H12" s="8" t="s">
        <v>150</v>
      </c>
      <c r="I12" s="25">
        <v>2050</v>
      </c>
    </row>
    <row r="13" spans="2:14" x14ac:dyDescent="0.3">
      <c r="E13" s="8" t="s">
        <v>163</v>
      </c>
      <c r="F13" s="24" t="s">
        <v>164</v>
      </c>
      <c r="H13" s="8" t="s">
        <v>8</v>
      </c>
      <c r="I13" s="25" t="s">
        <v>437</v>
      </c>
    </row>
    <row r="14" spans="2:14" x14ac:dyDescent="0.3">
      <c r="E14" s="8" t="s">
        <v>161</v>
      </c>
      <c r="F14" s="24" t="s">
        <v>152</v>
      </c>
      <c r="H14" s="8" t="s">
        <v>665</v>
      </c>
      <c r="I14" s="25" t="s">
        <v>669</v>
      </c>
    </row>
    <row r="15" spans="2:14" x14ac:dyDescent="0.3">
      <c r="H15" s="8" t="s">
        <v>161</v>
      </c>
      <c r="I15" s="24" t="s">
        <v>152</v>
      </c>
    </row>
    <row r="16" spans="2:14" x14ac:dyDescent="0.3">
      <c r="B16" s="8" t="s">
        <v>38</v>
      </c>
    </row>
    <row r="17" spans="2:14" x14ac:dyDescent="0.3">
      <c r="B17" s="8" t="s">
        <v>64</v>
      </c>
    </row>
    <row r="18" spans="2:14" x14ac:dyDescent="0.3">
      <c r="F18" s="35"/>
      <c r="G18" s="38"/>
      <c r="H18" s="36"/>
    </row>
    <row r="19" spans="2:14" x14ac:dyDescent="0.3">
      <c r="C19" s="32"/>
      <c r="G19" s="37"/>
    </row>
    <row r="20" spans="2:14" ht="18" x14ac:dyDescent="0.35">
      <c r="B20" s="28" t="s">
        <v>154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</row>
    <row r="21" spans="2:14" x14ac:dyDescent="0.3">
      <c r="B21" s="29" t="s">
        <v>646</v>
      </c>
      <c r="C21" s="31" t="s">
        <v>155</v>
      </c>
    </row>
    <row r="23" spans="2:14" x14ac:dyDescent="0.3">
      <c r="B23" s="33" t="s">
        <v>424</v>
      </c>
      <c r="E23" s="33" t="s">
        <v>657</v>
      </c>
      <c r="I23" s="33" t="s">
        <v>439</v>
      </c>
    </row>
    <row r="24" spans="2:14" x14ac:dyDescent="0.3">
      <c r="B24" s="8" t="s">
        <v>425</v>
      </c>
    </row>
    <row r="44" spans="2:5" x14ac:dyDescent="0.3">
      <c r="B44" s="33" t="s">
        <v>427</v>
      </c>
      <c r="E44" s="33" t="s">
        <v>433</v>
      </c>
    </row>
    <row r="45" spans="2:5" x14ac:dyDescent="0.3">
      <c r="B45" s="8" t="s">
        <v>428</v>
      </c>
      <c r="E45" s="8" t="s">
        <v>434</v>
      </c>
    </row>
    <row r="66" spans="2:5" x14ac:dyDescent="0.3">
      <c r="B66" s="33" t="s">
        <v>429</v>
      </c>
      <c r="E66" s="33" t="s">
        <v>435</v>
      </c>
    </row>
    <row r="67" spans="2:5" x14ac:dyDescent="0.3">
      <c r="B67" s="8" t="s">
        <v>430</v>
      </c>
      <c r="E67" s="8" t="s">
        <v>419</v>
      </c>
    </row>
    <row r="88" spans="2:2" x14ac:dyDescent="0.3">
      <c r="B88" s="33" t="s">
        <v>431</v>
      </c>
    </row>
    <row r="89" spans="2:2" x14ac:dyDescent="0.3">
      <c r="B89" s="8" t="s">
        <v>432</v>
      </c>
    </row>
  </sheetData>
  <pageMargins left="0.7" right="0.7" top="0.75" bottom="0.75" header="0.3" footer="0.3"/>
  <pageSetup orientation="portrait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disablePrompts="1" count="5">
        <x14:dataValidation type="list" allowBlank="1" showInputMessage="1" showErrorMessage="1" xr:uid="{7061C85B-6BEC-4F11-9AEB-FFB485BAE5F6}">
          <x14:formula1>
            <xm:f>UsefulTables!$E$2:$E$3</xm:f>
          </x14:formula1>
          <xm:sqref>C5</xm:sqref>
        </x14:dataValidation>
        <x14:dataValidation type="list" allowBlank="1" showInputMessage="1" showErrorMessage="1" xr:uid="{2B4DE09F-1987-437F-A582-B38CAA56AC84}">
          <x14:formula1>
            <xm:f>UsefulTables!$E$6:$E$7</xm:f>
          </x14:formula1>
          <xm:sqref>F14 I15</xm:sqref>
        </x14:dataValidation>
        <x14:dataValidation type="list" allowBlank="1" showInputMessage="1" showErrorMessage="1" xr:uid="{653F79BD-FFCA-4EA1-8586-BEE1AFC2DC94}">
          <x14:formula1>
            <xm:f>UsefulTables!$H$4:$H$8</xm:f>
          </x14:formula1>
          <xm:sqref>F13</xm:sqref>
        </x14:dataValidation>
        <x14:dataValidation type="list" allowBlank="1" showInputMessage="1" showErrorMessage="1" xr:uid="{65A8CC84-E462-44BC-BED2-6F3F14A3922B}">
          <x14:formula1>
            <xm:f>UsefulTables!$K$4:$K$5</xm:f>
          </x14:formula1>
          <xm:sqref>F12 I13</xm:sqref>
        </x14:dataValidation>
        <x14:dataValidation type="list" allowBlank="1" showInputMessage="1" showErrorMessage="1" xr:uid="{2ED5A095-1224-4163-8985-A73E5679BBE4}">
          <x14:formula1>
            <xm:f>UsefulTables!$M$4:$M$6</xm:f>
          </x14:formula1>
          <xm:sqref>I14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AC487-7199-4D00-BFB5-F07B56CC3B9B}">
  <sheetPr codeName="Sheet3">
    <tabColor theme="0" tint="-0.14999847407452621"/>
  </sheetPr>
  <dimension ref="B2:B8"/>
  <sheetViews>
    <sheetView workbookViewId="0">
      <selection activeCell="B8" sqref="B8"/>
    </sheetView>
  </sheetViews>
  <sheetFormatPr defaultRowHeight="14.4" x14ac:dyDescent="0.3"/>
  <cols>
    <col min="2" max="2" width="10.33203125" customWidth="1"/>
  </cols>
  <sheetData>
    <row r="2" spans="2:2" ht="17.399999999999999" x14ac:dyDescent="0.4">
      <c r="B2" s="17" t="s">
        <v>66</v>
      </c>
    </row>
    <row r="3" spans="2:2" ht="17.399999999999999" x14ac:dyDescent="0.4">
      <c r="B3" s="17" t="s">
        <v>68</v>
      </c>
    </row>
    <row r="4" spans="2:2" ht="17.399999999999999" x14ac:dyDescent="0.4">
      <c r="B4" s="17" t="s">
        <v>118</v>
      </c>
    </row>
    <row r="5" spans="2:2" x14ac:dyDescent="0.3">
      <c r="B5" t="s">
        <v>67</v>
      </c>
    </row>
    <row r="6" spans="2:2" x14ac:dyDescent="0.3">
      <c r="B6" t="str" cm="1">
        <f t="array" aca="1" ref="B6" ca="1">CELL("filename")</f>
        <v>C:\Users\mberos\gitRepos\balmorel-postprocessing\[InteractiveResults.xlsm]Overview</v>
      </c>
    </row>
    <row r="7" spans="2:2" x14ac:dyDescent="0.3">
      <c r="B7" t="str" cm="1">
        <f t="array" aca="1" ref="B7" ca="1">SUBSTITUTE(LEFT(CELL("filename"),SEARCH("]",CELL("filename"))-1),"[","")</f>
        <v>C:\Users\mberos\gitRepos\balmorel-postprocessing\InteractiveResults.xlsm</v>
      </c>
    </row>
    <row r="8" spans="2:2" x14ac:dyDescent="0.3">
      <c r="B8" t="str" cm="1">
        <f t="array" aca="1" ref="B8" ca="1">SUBSTITUTE(CELL("filename"), RIGHT(CELL("filename"),LEN(CELL("filename"))-SEARCH("[",CELL("filename"))+2),"")</f>
        <v>C:\Users\mberos\gitRepos\balmorel-postprocessing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9D8B80-163F-4258-B149-63F2322EB21C}">
  <sheetPr codeName="Sheet4">
    <tabColor theme="0" tint="-0.14999847407452621"/>
  </sheetPr>
  <dimension ref="A1:M8"/>
  <sheetViews>
    <sheetView workbookViewId="0">
      <selection activeCell="M7" sqref="M7"/>
    </sheetView>
  </sheetViews>
  <sheetFormatPr defaultRowHeight="14.4" x14ac:dyDescent="0.3"/>
  <cols>
    <col min="1" max="1" width="77.6640625" bestFit="1" customWidth="1"/>
  </cols>
  <sheetData>
    <row r="1" spans="1:13" x14ac:dyDescent="0.3">
      <c r="A1" t="s">
        <v>67</v>
      </c>
      <c r="E1" t="s">
        <v>160</v>
      </c>
    </row>
    <row r="2" spans="1:13" x14ac:dyDescent="0.3">
      <c r="A2" t="s">
        <v>426</v>
      </c>
      <c r="E2" t="b">
        <v>1</v>
      </c>
    </row>
    <row r="3" spans="1:13" x14ac:dyDescent="0.3">
      <c r="A3" t="s">
        <v>69</v>
      </c>
      <c r="E3" t="b">
        <v>0</v>
      </c>
      <c r="H3" t="s">
        <v>163</v>
      </c>
      <c r="K3" t="s">
        <v>442</v>
      </c>
      <c r="M3" t="s">
        <v>666</v>
      </c>
    </row>
    <row r="4" spans="1:13" x14ac:dyDescent="0.3">
      <c r="A4" t="s">
        <v>70</v>
      </c>
      <c r="H4" t="s">
        <v>151</v>
      </c>
      <c r="K4" t="s">
        <v>437</v>
      </c>
      <c r="M4" t="s">
        <v>667</v>
      </c>
    </row>
    <row r="5" spans="1:13" x14ac:dyDescent="0.3">
      <c r="E5" t="s">
        <v>161</v>
      </c>
      <c r="H5" t="s">
        <v>6</v>
      </c>
      <c r="K5" t="s">
        <v>440</v>
      </c>
      <c r="M5" t="s">
        <v>668</v>
      </c>
    </row>
    <row r="6" spans="1:13" x14ac:dyDescent="0.3">
      <c r="E6" t="s">
        <v>152</v>
      </c>
      <c r="H6" t="s">
        <v>164</v>
      </c>
      <c r="M6" t="s">
        <v>669</v>
      </c>
    </row>
    <row r="7" spans="1:13" x14ac:dyDescent="0.3">
      <c r="E7" t="s">
        <v>162</v>
      </c>
      <c r="H7" t="s">
        <v>165</v>
      </c>
    </row>
    <row r="8" spans="1:13" x14ac:dyDescent="0.3">
      <c r="H8" t="s">
        <v>416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9E6571-9C48-40B2-BBFB-4B1FDA078F9B}">
  <sheetPr codeName="Sheet2">
    <tabColor theme="4" tint="0.59999389629810485"/>
  </sheetPr>
  <dimension ref="A1:X8481"/>
  <sheetViews>
    <sheetView topLeftCell="O4" workbookViewId="0">
      <selection activeCell="P30" sqref="P30"/>
    </sheetView>
  </sheetViews>
  <sheetFormatPr defaultRowHeight="14.4" x14ac:dyDescent="0.3"/>
  <cols>
    <col min="1" max="1" width="17.44140625" bestFit="1" customWidth="1"/>
    <col min="2" max="2" width="10.6640625" bestFit="1" customWidth="1"/>
    <col min="3" max="3" width="5" bestFit="1" customWidth="1"/>
    <col min="4" max="4" width="26.21875" bestFit="1" customWidth="1"/>
    <col min="5" max="5" width="5.44140625" bestFit="1" customWidth="1"/>
    <col min="6" max="6" width="17.88671875" bestFit="1" customWidth="1"/>
    <col min="7" max="7" width="45.5546875" bestFit="1" customWidth="1"/>
    <col min="8" max="8" width="14.109375" bestFit="1" customWidth="1"/>
    <col min="9" max="9" width="13.44140625" bestFit="1" customWidth="1"/>
    <col min="10" max="10" width="31.21875" bestFit="1" customWidth="1"/>
    <col min="11" max="11" width="18.88671875" bestFit="1" customWidth="1"/>
    <col min="12" max="12" width="6.77734375" bestFit="1" customWidth="1"/>
    <col min="13" max="13" width="12.6640625" bestFit="1" customWidth="1"/>
    <col min="14" max="14" width="30.5546875" bestFit="1" customWidth="1"/>
    <col min="15" max="15" width="42.109375" bestFit="1" customWidth="1"/>
    <col min="16" max="16" width="18.88671875" bestFit="1" customWidth="1"/>
    <col min="17" max="17" width="16.33203125" bestFit="1" customWidth="1"/>
    <col min="18" max="18" width="14.6640625" bestFit="1" customWidth="1"/>
    <col min="19" max="19" width="12" bestFit="1" customWidth="1"/>
    <col min="20" max="20" width="12.33203125" bestFit="1" customWidth="1"/>
    <col min="21" max="21" width="11" bestFit="1" customWidth="1"/>
    <col min="22" max="22" width="12" bestFit="1" customWidth="1"/>
    <col min="23" max="23" width="21.5546875" bestFit="1" customWidth="1"/>
    <col min="24" max="24" width="31.5546875" bestFit="1" customWidth="1"/>
    <col min="25" max="25" width="11" bestFit="1" customWidth="1"/>
    <col min="26" max="26" width="17.88671875" bestFit="1" customWidth="1"/>
    <col min="27" max="27" width="10.109375" bestFit="1" customWidth="1"/>
    <col min="28" max="29" width="12" bestFit="1" customWidth="1"/>
    <col min="30" max="30" width="14" bestFit="1" customWidth="1"/>
    <col min="31" max="31" width="17.33203125" bestFit="1" customWidth="1"/>
    <col min="32" max="32" width="21.109375" bestFit="1" customWidth="1"/>
    <col min="33" max="33" width="24.5546875" bestFit="1" customWidth="1"/>
    <col min="34" max="34" width="23" bestFit="1" customWidth="1"/>
    <col min="35" max="35" width="26.33203125" bestFit="1" customWidth="1"/>
    <col min="36" max="36" width="33" bestFit="1" customWidth="1"/>
    <col min="37" max="37" width="12.21875" bestFit="1" customWidth="1"/>
    <col min="38" max="38" width="36.33203125" bestFit="1" customWidth="1"/>
    <col min="39" max="39" width="19" bestFit="1" customWidth="1"/>
    <col min="40" max="40" width="14" bestFit="1" customWidth="1"/>
    <col min="41" max="41" width="12.21875" bestFit="1" customWidth="1"/>
    <col min="42" max="42" width="14.5546875" bestFit="1" customWidth="1"/>
    <col min="43" max="43" width="19.33203125" bestFit="1" customWidth="1"/>
    <col min="44" max="44" width="14" bestFit="1" customWidth="1"/>
    <col min="45" max="45" width="12.21875" bestFit="1" customWidth="1"/>
    <col min="46" max="46" width="22.77734375" bestFit="1" customWidth="1"/>
    <col min="47" max="47" width="19" bestFit="1" customWidth="1"/>
    <col min="48" max="48" width="14" bestFit="1" customWidth="1"/>
    <col min="49" max="49" width="12.21875" bestFit="1" customWidth="1"/>
    <col min="50" max="50" width="15" bestFit="1" customWidth="1"/>
    <col min="51" max="51" width="19" bestFit="1" customWidth="1"/>
    <col min="52" max="52" width="14" bestFit="1" customWidth="1"/>
    <col min="53" max="53" width="12.21875" bestFit="1" customWidth="1"/>
    <col min="54" max="54" width="14.44140625" bestFit="1" customWidth="1"/>
    <col min="55" max="55" width="12" bestFit="1" customWidth="1"/>
    <col min="56" max="56" width="6" bestFit="1" customWidth="1"/>
    <col min="57" max="57" width="7" bestFit="1" customWidth="1"/>
    <col min="58" max="58" width="6" bestFit="1" customWidth="1"/>
    <col min="59" max="59" width="7" bestFit="1" customWidth="1"/>
    <col min="60" max="61" width="6" bestFit="1" customWidth="1"/>
    <col min="62" max="62" width="5" bestFit="1" customWidth="1"/>
    <col min="63" max="64" width="6" bestFit="1" customWidth="1"/>
    <col min="65" max="65" width="7" bestFit="1" customWidth="1"/>
    <col min="66" max="66" width="4.6640625" bestFit="1" customWidth="1"/>
    <col min="67" max="67" width="7" bestFit="1" customWidth="1"/>
    <col min="68" max="70" width="6" bestFit="1" customWidth="1"/>
    <col min="71" max="71" width="9" bestFit="1" customWidth="1"/>
    <col min="72" max="72" width="6" bestFit="1" customWidth="1"/>
    <col min="73" max="73" width="8" bestFit="1" customWidth="1"/>
    <col min="74" max="74" width="7" bestFit="1" customWidth="1"/>
    <col min="75" max="77" width="6" bestFit="1" customWidth="1"/>
    <col min="78" max="78" width="10" bestFit="1" customWidth="1"/>
    <col min="79" max="79" width="18.44140625" bestFit="1" customWidth="1"/>
    <col min="80" max="80" width="21.109375" bestFit="1" customWidth="1"/>
    <col min="81" max="83" width="6" bestFit="1" customWidth="1"/>
    <col min="84" max="84" width="5" bestFit="1" customWidth="1"/>
    <col min="85" max="86" width="6" bestFit="1" customWidth="1"/>
    <col min="87" max="87" width="6.21875" bestFit="1" customWidth="1"/>
    <col min="88" max="88" width="6" bestFit="1" customWidth="1"/>
    <col min="89" max="89" width="7" bestFit="1" customWidth="1"/>
    <col min="90" max="96" width="6" bestFit="1" customWidth="1"/>
    <col min="97" max="97" width="4.6640625" bestFit="1" customWidth="1"/>
    <col min="98" max="101" width="12" bestFit="1" customWidth="1"/>
    <col min="102" max="102" width="6" bestFit="1" customWidth="1"/>
    <col min="103" max="103" width="5" bestFit="1" customWidth="1"/>
    <col min="104" max="105" width="6" bestFit="1" customWidth="1"/>
    <col min="106" max="106" width="12" bestFit="1" customWidth="1"/>
    <col min="107" max="107" width="6" bestFit="1" customWidth="1"/>
    <col min="108" max="108" width="12" bestFit="1" customWidth="1"/>
    <col min="109" max="109" width="6" bestFit="1" customWidth="1"/>
    <col min="110" max="110" width="5" bestFit="1" customWidth="1"/>
    <col min="111" max="111" width="24.5546875" bestFit="1" customWidth="1"/>
    <col min="112" max="112" width="23" bestFit="1" customWidth="1"/>
    <col min="113" max="119" width="6" bestFit="1" customWidth="1"/>
    <col min="120" max="122" width="8" bestFit="1" customWidth="1"/>
    <col min="123" max="123" width="7" bestFit="1" customWidth="1"/>
    <col min="124" max="124" width="8" bestFit="1" customWidth="1"/>
    <col min="125" max="125" width="9" bestFit="1" customWidth="1"/>
    <col min="126" max="126" width="6" bestFit="1" customWidth="1"/>
    <col min="127" max="127" width="5" bestFit="1" customWidth="1"/>
    <col min="128" max="128" width="7" bestFit="1" customWidth="1"/>
    <col min="129" max="130" width="6" bestFit="1" customWidth="1"/>
    <col min="131" max="131" width="5" bestFit="1" customWidth="1"/>
    <col min="132" max="132" width="6" bestFit="1" customWidth="1"/>
    <col min="133" max="134" width="7" bestFit="1" customWidth="1"/>
    <col min="135" max="139" width="6" bestFit="1" customWidth="1"/>
    <col min="140" max="144" width="12" bestFit="1" customWidth="1"/>
    <col min="145" max="146" width="6" bestFit="1" customWidth="1"/>
    <col min="147" max="147" width="5" bestFit="1" customWidth="1"/>
    <col min="148" max="148" width="6" bestFit="1" customWidth="1"/>
    <col min="149" max="149" width="7" bestFit="1" customWidth="1"/>
    <col min="150" max="150" width="12" bestFit="1" customWidth="1"/>
    <col min="151" max="151" width="9" bestFit="1" customWidth="1"/>
    <col min="152" max="152" width="12" bestFit="1" customWidth="1"/>
    <col min="153" max="153" width="6" bestFit="1" customWidth="1"/>
    <col min="154" max="154" width="5" bestFit="1" customWidth="1"/>
    <col min="155" max="155" width="6" bestFit="1" customWidth="1"/>
    <col min="156" max="156" width="26.33203125" bestFit="1" customWidth="1"/>
    <col min="157" max="157" width="33" bestFit="1" customWidth="1"/>
    <col min="158" max="164" width="12" bestFit="1" customWidth="1"/>
    <col min="165" max="165" width="8" bestFit="1" customWidth="1"/>
    <col min="166" max="168" width="12" bestFit="1" customWidth="1"/>
    <col min="169" max="169" width="11" bestFit="1" customWidth="1"/>
    <col min="170" max="171" width="12" bestFit="1" customWidth="1"/>
    <col min="172" max="172" width="5" bestFit="1" customWidth="1"/>
    <col min="173" max="176" width="12" bestFit="1" customWidth="1"/>
    <col min="177" max="177" width="5" bestFit="1" customWidth="1"/>
    <col min="178" max="178" width="36.33203125" bestFit="1" customWidth="1"/>
    <col min="179" max="179" width="11.109375" bestFit="1" customWidth="1"/>
    <col min="180" max="185" width="6" bestFit="1" customWidth="1"/>
    <col min="186" max="186" width="9" bestFit="1" customWidth="1"/>
    <col min="187" max="187" width="8" bestFit="1" customWidth="1"/>
    <col min="188" max="190" width="9" bestFit="1" customWidth="1"/>
    <col min="191" max="191" width="12" bestFit="1" customWidth="1"/>
    <col min="192" max="192" width="7" bestFit="1" customWidth="1"/>
    <col min="193" max="197" width="6" bestFit="1" customWidth="1"/>
    <col min="198" max="199" width="5" bestFit="1" customWidth="1"/>
    <col min="200" max="202" width="6" bestFit="1" customWidth="1"/>
    <col min="203" max="203" width="5" bestFit="1" customWidth="1"/>
    <col min="204" max="207" width="6" bestFit="1" customWidth="1"/>
    <col min="208" max="208" width="3.21875" bestFit="1" customWidth="1"/>
    <col min="209" max="209" width="12" bestFit="1" customWidth="1"/>
    <col min="210" max="210" width="14.5546875" bestFit="1" customWidth="1"/>
    <col min="211" max="211" width="11.5546875" bestFit="1" customWidth="1"/>
    <col min="212" max="212" width="6" bestFit="1" customWidth="1"/>
    <col min="213" max="213" width="7" bestFit="1" customWidth="1"/>
    <col min="214" max="214" width="6.5546875" bestFit="1" customWidth="1"/>
    <col min="215" max="215" width="6.88671875" bestFit="1" customWidth="1"/>
    <col min="216" max="217" width="7" bestFit="1" customWidth="1"/>
    <col min="218" max="218" width="6" bestFit="1" customWidth="1"/>
    <col min="219" max="219" width="7" bestFit="1" customWidth="1"/>
    <col min="220" max="220" width="15" bestFit="1" customWidth="1"/>
    <col min="221" max="221" width="11" bestFit="1" customWidth="1"/>
    <col min="222" max="223" width="6" bestFit="1" customWidth="1"/>
    <col min="224" max="224" width="10" bestFit="1" customWidth="1"/>
    <col min="225" max="225" width="4" bestFit="1" customWidth="1"/>
    <col min="226" max="226" width="6" bestFit="1" customWidth="1"/>
    <col min="227" max="227" width="4" bestFit="1" customWidth="1"/>
    <col min="228" max="228" width="6" bestFit="1" customWidth="1"/>
    <col min="229" max="229" width="9" bestFit="1" customWidth="1"/>
    <col min="230" max="230" width="8" bestFit="1" customWidth="1"/>
    <col min="231" max="232" width="12" bestFit="1" customWidth="1"/>
    <col min="233" max="234" width="10" bestFit="1" customWidth="1"/>
    <col min="235" max="235" width="5" bestFit="1" customWidth="1"/>
    <col min="236" max="237" width="9" bestFit="1" customWidth="1"/>
    <col min="238" max="242" width="6" bestFit="1" customWidth="1"/>
    <col min="243" max="243" width="10" bestFit="1" customWidth="1"/>
    <col min="244" max="244" width="6" bestFit="1" customWidth="1"/>
    <col min="245" max="245" width="5" bestFit="1" customWidth="1"/>
    <col min="246" max="249" width="6" bestFit="1" customWidth="1"/>
    <col min="250" max="251" width="8" bestFit="1" customWidth="1"/>
    <col min="252" max="253" width="7" bestFit="1" customWidth="1"/>
    <col min="254" max="254" width="8" bestFit="1" customWidth="1"/>
    <col min="255" max="257" width="6" bestFit="1" customWidth="1"/>
    <col min="258" max="258" width="10" bestFit="1" customWidth="1"/>
    <col min="259" max="259" width="6" bestFit="1" customWidth="1"/>
    <col min="260" max="260" width="8" bestFit="1" customWidth="1"/>
    <col min="261" max="262" width="6" bestFit="1" customWidth="1"/>
    <col min="263" max="263" width="3.21875" bestFit="1" customWidth="1"/>
    <col min="264" max="264" width="12" bestFit="1" customWidth="1"/>
    <col min="265" max="265" width="14.44140625" bestFit="1" customWidth="1"/>
    <col min="266" max="266" width="12" bestFit="1" customWidth="1"/>
    <col min="267" max="267" width="32.5546875" bestFit="1" customWidth="1"/>
    <col min="268" max="268" width="36" bestFit="1" customWidth="1"/>
    <col min="269" max="269" width="12" bestFit="1" customWidth="1"/>
    <col min="270" max="270" width="12.33203125" bestFit="1" customWidth="1"/>
    <col min="271" max="271" width="32.5546875" bestFit="1" customWidth="1"/>
    <col min="272" max="272" width="36" bestFit="1" customWidth="1"/>
    <col min="273" max="273" width="32.5546875" bestFit="1" customWidth="1"/>
    <col min="274" max="274" width="36" bestFit="1" customWidth="1"/>
    <col min="275" max="275" width="11" bestFit="1" customWidth="1"/>
    <col min="276" max="276" width="12.33203125" bestFit="1" customWidth="1"/>
    <col min="277" max="277" width="32.5546875" bestFit="1" customWidth="1"/>
    <col min="278" max="278" width="36" bestFit="1" customWidth="1"/>
    <col min="279" max="279" width="32.5546875" bestFit="1" customWidth="1"/>
    <col min="280" max="280" width="36" bestFit="1" customWidth="1"/>
    <col min="281" max="281" width="32.5546875" bestFit="1" customWidth="1"/>
    <col min="282" max="282" width="36" bestFit="1" customWidth="1"/>
    <col min="283" max="283" width="32.5546875" bestFit="1" customWidth="1"/>
    <col min="284" max="284" width="36" bestFit="1" customWidth="1"/>
    <col min="285" max="285" width="32.5546875" bestFit="1" customWidth="1"/>
    <col min="286" max="286" width="36" bestFit="1" customWidth="1"/>
    <col min="287" max="291" width="12" bestFit="1" customWidth="1"/>
    <col min="292" max="292" width="15.21875" bestFit="1" customWidth="1"/>
    <col min="293" max="293" width="12" bestFit="1" customWidth="1"/>
    <col min="294" max="294" width="15.21875" bestFit="1" customWidth="1"/>
    <col min="295" max="295" width="12" bestFit="1" customWidth="1"/>
    <col min="296" max="296" width="15.21875" bestFit="1" customWidth="1"/>
    <col min="297" max="297" width="9.5546875" bestFit="1" customWidth="1"/>
    <col min="298" max="298" width="9.6640625" bestFit="1" customWidth="1"/>
    <col min="299" max="299" width="30.88671875" bestFit="1" customWidth="1"/>
    <col min="300" max="300" width="34.33203125" bestFit="1" customWidth="1"/>
    <col min="301" max="301" width="30.88671875" bestFit="1" customWidth="1"/>
    <col min="302" max="302" width="34.33203125" bestFit="1" customWidth="1"/>
    <col min="303" max="304" width="12" bestFit="1" customWidth="1"/>
    <col min="305" max="306" width="10" bestFit="1" customWidth="1"/>
    <col min="307" max="307" width="30.88671875" bestFit="1" customWidth="1"/>
    <col min="308" max="308" width="34.33203125" bestFit="1" customWidth="1"/>
    <col min="309" max="310" width="12" bestFit="1" customWidth="1"/>
    <col min="311" max="311" width="9.5546875" bestFit="1" customWidth="1"/>
    <col min="312" max="312" width="10.21875" bestFit="1" customWidth="1"/>
    <col min="313" max="313" width="31.44140625" bestFit="1" customWidth="1"/>
    <col min="314" max="314" width="34.88671875" bestFit="1" customWidth="1"/>
    <col min="315" max="315" width="31.44140625" bestFit="1" customWidth="1"/>
    <col min="316" max="316" width="34.88671875" bestFit="1" customWidth="1"/>
    <col min="317" max="318" width="12" bestFit="1" customWidth="1"/>
    <col min="319" max="320" width="10" bestFit="1" customWidth="1"/>
    <col min="321" max="321" width="31.109375" bestFit="1" customWidth="1"/>
    <col min="322" max="322" width="34.5546875" bestFit="1" customWidth="1"/>
    <col min="323" max="323" width="31.109375" bestFit="1" customWidth="1"/>
    <col min="324" max="324" width="34.5546875" bestFit="1" customWidth="1"/>
    <col min="325" max="326" width="10" bestFit="1" customWidth="1"/>
    <col min="327" max="334" width="12" bestFit="1" customWidth="1"/>
    <col min="335" max="335" width="32" bestFit="1" customWidth="1"/>
    <col min="336" max="336" width="35.44140625" bestFit="1" customWidth="1"/>
    <col min="337" max="337" width="9.5546875" bestFit="1" customWidth="1"/>
    <col min="338" max="338" width="10" bestFit="1" customWidth="1"/>
    <col min="339" max="339" width="32" bestFit="1" customWidth="1"/>
    <col min="340" max="340" width="35.44140625" bestFit="1" customWidth="1"/>
    <col min="341" max="342" width="12" bestFit="1" customWidth="1"/>
    <col min="343" max="343" width="32" bestFit="1" customWidth="1"/>
    <col min="344" max="344" width="35.44140625" bestFit="1" customWidth="1"/>
    <col min="345" max="345" width="32" bestFit="1" customWidth="1"/>
    <col min="346" max="346" width="35.44140625" bestFit="1" customWidth="1"/>
    <col min="347" max="347" width="9.5546875" bestFit="1" customWidth="1"/>
    <col min="348" max="348" width="10" bestFit="1" customWidth="1"/>
    <col min="349" max="349" width="32" bestFit="1" customWidth="1"/>
    <col min="350" max="350" width="35.44140625" bestFit="1" customWidth="1"/>
    <col min="351" max="351" width="32" bestFit="1" customWidth="1"/>
    <col min="352" max="352" width="35.44140625" bestFit="1" customWidth="1"/>
    <col min="353" max="353" width="9.5546875" bestFit="1" customWidth="1"/>
    <col min="354" max="354" width="10" bestFit="1" customWidth="1"/>
    <col min="355" max="355" width="9.5546875" bestFit="1" customWidth="1"/>
    <col min="356" max="356" width="9.33203125" bestFit="1" customWidth="1"/>
    <col min="357" max="357" width="30.44140625" bestFit="1" customWidth="1"/>
    <col min="358" max="358" width="33.88671875" bestFit="1" customWidth="1"/>
    <col min="359" max="359" width="30.44140625" bestFit="1" customWidth="1"/>
    <col min="360" max="360" width="33.88671875" bestFit="1" customWidth="1"/>
    <col min="361" max="361" width="9.5546875" bestFit="1" customWidth="1"/>
    <col min="362" max="362" width="9.33203125" bestFit="1" customWidth="1"/>
    <col min="363" max="363" width="9.5546875" bestFit="1" customWidth="1"/>
    <col min="364" max="364" width="9.88671875" bestFit="1" customWidth="1"/>
    <col min="365" max="365" width="31" bestFit="1" customWidth="1"/>
    <col min="366" max="366" width="34.44140625" bestFit="1" customWidth="1"/>
    <col min="367" max="367" width="31" bestFit="1" customWidth="1"/>
    <col min="368" max="368" width="34.44140625" bestFit="1" customWidth="1"/>
    <col min="369" max="369" width="9.5546875" bestFit="1" customWidth="1"/>
    <col min="370" max="370" width="9.88671875" bestFit="1" customWidth="1"/>
    <col min="371" max="371" width="9.5546875" bestFit="1" customWidth="1"/>
    <col min="372" max="372" width="9.88671875" bestFit="1" customWidth="1"/>
    <col min="373" max="373" width="31" bestFit="1" customWidth="1"/>
    <col min="374" max="374" width="34.44140625" bestFit="1" customWidth="1"/>
    <col min="375" max="378" width="12" bestFit="1" customWidth="1"/>
    <col min="379" max="379" width="31.109375" bestFit="1" customWidth="1"/>
    <col min="380" max="380" width="34.5546875" bestFit="1" customWidth="1"/>
    <col min="381" max="381" width="31.109375" bestFit="1" customWidth="1"/>
    <col min="382" max="382" width="34.5546875" bestFit="1" customWidth="1"/>
    <col min="383" max="383" width="31.109375" bestFit="1" customWidth="1"/>
    <col min="384" max="384" width="34.5546875" bestFit="1" customWidth="1"/>
    <col min="385" max="389" width="12" bestFit="1" customWidth="1"/>
  </cols>
  <sheetData>
    <row r="1" spans="1:22" x14ac:dyDescent="0.3">
      <c r="A1" t="s">
        <v>1</v>
      </c>
      <c r="B1" t="s">
        <v>37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50</v>
      </c>
      <c r="L1" t="s">
        <v>10</v>
      </c>
      <c r="M1" t="s">
        <v>0</v>
      </c>
    </row>
    <row r="2" spans="1:22" x14ac:dyDescent="0.3">
      <c r="A2" s="34" t="s">
        <v>662</v>
      </c>
      <c r="B2">
        <v>-1</v>
      </c>
      <c r="C2">
        <v>2050</v>
      </c>
      <c r="D2" s="34" t="s">
        <v>167</v>
      </c>
      <c r="E2" s="34" t="s">
        <v>187</v>
      </c>
      <c r="F2" s="34" t="s">
        <v>188</v>
      </c>
      <c r="G2" s="34" t="s">
        <v>189</v>
      </c>
      <c r="H2" s="34" t="s">
        <v>40</v>
      </c>
      <c r="I2" s="34" t="s">
        <v>19</v>
      </c>
      <c r="J2" s="34" t="s">
        <v>27</v>
      </c>
      <c r="K2" s="34" t="s">
        <v>46</v>
      </c>
      <c r="L2" s="34" t="s">
        <v>47</v>
      </c>
      <c r="M2">
        <v>0.3</v>
      </c>
      <c r="P2" s="1" t="s">
        <v>4</v>
      </c>
      <c r="Q2" t="s">
        <v>388</v>
      </c>
    </row>
    <row r="3" spans="1:22" x14ac:dyDescent="0.3">
      <c r="A3" s="34" t="s">
        <v>662</v>
      </c>
      <c r="B3">
        <v>-1</v>
      </c>
      <c r="C3">
        <v>2050</v>
      </c>
      <c r="D3" s="34" t="s">
        <v>167</v>
      </c>
      <c r="E3" s="34" t="s">
        <v>187</v>
      </c>
      <c r="F3" s="34" t="s">
        <v>188</v>
      </c>
      <c r="G3" s="34" t="s">
        <v>189</v>
      </c>
      <c r="H3" s="34" t="s">
        <v>40</v>
      </c>
      <c r="I3" s="34" t="s">
        <v>19</v>
      </c>
      <c r="J3" s="34" t="s">
        <v>27</v>
      </c>
      <c r="K3" s="34" t="s">
        <v>48</v>
      </c>
      <c r="L3" s="34" t="s">
        <v>47</v>
      </c>
      <c r="M3">
        <v>-0.3</v>
      </c>
      <c r="P3" s="1" t="s">
        <v>7</v>
      </c>
      <c r="Q3" t="s">
        <v>51</v>
      </c>
    </row>
    <row r="4" spans="1:22" x14ac:dyDescent="0.3">
      <c r="A4" s="34" t="s">
        <v>662</v>
      </c>
      <c r="B4">
        <v>-1</v>
      </c>
      <c r="C4">
        <v>2050</v>
      </c>
      <c r="D4" s="34" t="s">
        <v>167</v>
      </c>
      <c r="E4" s="34" t="s">
        <v>187</v>
      </c>
      <c r="F4" s="34" t="s">
        <v>188</v>
      </c>
      <c r="G4" s="34" t="s">
        <v>170</v>
      </c>
      <c r="H4" s="34" t="s">
        <v>18</v>
      </c>
      <c r="I4" s="34" t="s">
        <v>19</v>
      </c>
      <c r="J4" s="34" t="s">
        <v>32</v>
      </c>
      <c r="K4" s="34" t="s">
        <v>46</v>
      </c>
      <c r="L4" s="34" t="s">
        <v>47</v>
      </c>
      <c r="M4">
        <v>0.22184651366034899</v>
      </c>
      <c r="P4" s="1" t="s">
        <v>50</v>
      </c>
      <c r="Q4" t="s">
        <v>51</v>
      </c>
    </row>
    <row r="5" spans="1:22" x14ac:dyDescent="0.3">
      <c r="A5" s="34" t="s">
        <v>662</v>
      </c>
      <c r="B5">
        <v>-1</v>
      </c>
      <c r="C5">
        <v>2050</v>
      </c>
      <c r="D5" s="34" t="s">
        <v>167</v>
      </c>
      <c r="E5" s="34" t="s">
        <v>187</v>
      </c>
      <c r="F5" s="34" t="s">
        <v>188</v>
      </c>
      <c r="G5" s="34" t="s">
        <v>171</v>
      </c>
      <c r="H5" s="34" t="s">
        <v>18</v>
      </c>
      <c r="I5" s="34" t="s">
        <v>19</v>
      </c>
      <c r="J5" s="34" t="s">
        <v>32</v>
      </c>
      <c r="K5" s="34" t="s">
        <v>46</v>
      </c>
      <c r="L5" s="34" t="s">
        <v>47</v>
      </c>
      <c r="M5">
        <v>0.28214651366034899</v>
      </c>
    </row>
    <row r="6" spans="1:22" x14ac:dyDescent="0.3">
      <c r="A6" s="34" t="s">
        <v>662</v>
      </c>
      <c r="B6">
        <v>-1</v>
      </c>
      <c r="C6">
        <v>2050</v>
      </c>
      <c r="D6" s="34" t="s">
        <v>167</v>
      </c>
      <c r="E6" s="34" t="s">
        <v>187</v>
      </c>
      <c r="F6" s="34" t="s">
        <v>188</v>
      </c>
      <c r="G6" s="34" t="s">
        <v>172</v>
      </c>
      <c r="H6" s="34" t="s">
        <v>18</v>
      </c>
      <c r="I6" s="34" t="s">
        <v>19</v>
      </c>
      <c r="J6" s="34" t="s">
        <v>32</v>
      </c>
      <c r="K6" s="34" t="s">
        <v>46</v>
      </c>
      <c r="L6" s="34" t="s">
        <v>47</v>
      </c>
      <c r="M6">
        <v>0.28214651366034899</v>
      </c>
      <c r="P6" s="1" t="s">
        <v>35</v>
      </c>
      <c r="Q6" s="1" t="s">
        <v>36</v>
      </c>
    </row>
    <row r="7" spans="1:22" x14ac:dyDescent="0.3">
      <c r="A7" s="34" t="s">
        <v>662</v>
      </c>
      <c r="B7">
        <v>-1</v>
      </c>
      <c r="C7">
        <v>2050</v>
      </c>
      <c r="D7" s="34" t="s">
        <v>167</v>
      </c>
      <c r="E7" s="34" t="s">
        <v>187</v>
      </c>
      <c r="F7" s="34" t="s">
        <v>188</v>
      </c>
      <c r="G7" s="34" t="s">
        <v>173</v>
      </c>
      <c r="H7" s="34" t="s">
        <v>18</v>
      </c>
      <c r="I7" s="34" t="s">
        <v>19</v>
      </c>
      <c r="J7" s="34" t="s">
        <v>32</v>
      </c>
      <c r="K7" s="34" t="s">
        <v>46</v>
      </c>
      <c r="L7" s="34" t="s">
        <v>47</v>
      </c>
      <c r="M7">
        <v>0.28214651366034899</v>
      </c>
      <c r="P7" s="1" t="s">
        <v>33</v>
      </c>
      <c r="Q7" t="s">
        <v>27</v>
      </c>
      <c r="R7" t="s">
        <v>14</v>
      </c>
      <c r="S7" t="s">
        <v>391</v>
      </c>
      <c r="T7" t="s">
        <v>17</v>
      </c>
      <c r="U7" t="s">
        <v>24</v>
      </c>
      <c r="V7" t="s">
        <v>34</v>
      </c>
    </row>
    <row r="8" spans="1:22" x14ac:dyDescent="0.3">
      <c r="A8" s="34" t="s">
        <v>662</v>
      </c>
      <c r="B8">
        <v>-1</v>
      </c>
      <c r="C8">
        <v>2050</v>
      </c>
      <c r="D8" s="34" t="s">
        <v>167</v>
      </c>
      <c r="E8" s="34" t="s">
        <v>187</v>
      </c>
      <c r="F8" s="34" t="s">
        <v>188</v>
      </c>
      <c r="G8" s="34" t="s">
        <v>174</v>
      </c>
      <c r="H8" s="34" t="s">
        <v>18</v>
      </c>
      <c r="I8" s="34" t="s">
        <v>19</v>
      </c>
      <c r="J8" s="34" t="s">
        <v>32</v>
      </c>
      <c r="K8" s="34" t="s">
        <v>46</v>
      </c>
      <c r="L8" s="34" t="s">
        <v>47</v>
      </c>
      <c r="M8">
        <v>0.28214651366034899</v>
      </c>
      <c r="P8" s="2" t="s">
        <v>662</v>
      </c>
      <c r="Q8" s="34">
        <v>3.0521210478711924E-2</v>
      </c>
      <c r="R8" s="34">
        <v>7.6172869268929341E-2</v>
      </c>
      <c r="S8" s="34">
        <v>5.1161462409174664E-2</v>
      </c>
      <c r="T8" s="34">
        <v>8.4846141725961406</v>
      </c>
      <c r="U8" s="34">
        <v>0.77251502985766318</v>
      </c>
      <c r="V8" s="34">
        <v>9.414984744610619</v>
      </c>
    </row>
    <row r="9" spans="1:22" x14ac:dyDescent="0.3">
      <c r="A9" s="34" t="s">
        <v>662</v>
      </c>
      <c r="B9">
        <v>-1</v>
      </c>
      <c r="C9">
        <v>2050</v>
      </c>
      <c r="D9" s="34" t="s">
        <v>167</v>
      </c>
      <c r="E9" s="34" t="s">
        <v>187</v>
      </c>
      <c r="F9" s="34" t="s">
        <v>188</v>
      </c>
      <c r="G9" s="34" t="s">
        <v>175</v>
      </c>
      <c r="H9" s="34" t="s">
        <v>18</v>
      </c>
      <c r="I9" s="34" t="s">
        <v>19</v>
      </c>
      <c r="J9" s="34" t="s">
        <v>32</v>
      </c>
      <c r="K9" s="34" t="s">
        <v>46</v>
      </c>
      <c r="L9" s="34" t="s">
        <v>47</v>
      </c>
      <c r="M9">
        <v>0.28214651366034899</v>
      </c>
      <c r="P9" s="3" t="s">
        <v>19</v>
      </c>
      <c r="Q9" s="34">
        <v>3.0521210478711924E-2</v>
      </c>
      <c r="R9" s="34"/>
      <c r="S9" s="34">
        <v>5.1161462409174664E-2</v>
      </c>
      <c r="T9" s="34"/>
      <c r="U9" s="34">
        <v>0.77251502985766318</v>
      </c>
      <c r="V9" s="34">
        <v>0.85419770274554974</v>
      </c>
    </row>
    <row r="10" spans="1:22" x14ac:dyDescent="0.3">
      <c r="A10" s="34" t="s">
        <v>662</v>
      </c>
      <c r="B10">
        <v>-1</v>
      </c>
      <c r="C10">
        <v>2050</v>
      </c>
      <c r="D10" s="34" t="s">
        <v>167</v>
      </c>
      <c r="E10" s="34" t="s">
        <v>187</v>
      </c>
      <c r="F10" s="34" t="s">
        <v>188</v>
      </c>
      <c r="G10" s="34" t="s">
        <v>176</v>
      </c>
      <c r="H10" s="34" t="s">
        <v>18</v>
      </c>
      <c r="I10" s="34" t="s">
        <v>19</v>
      </c>
      <c r="J10" s="34" t="s">
        <v>32</v>
      </c>
      <c r="K10" s="34" t="s">
        <v>46</v>
      </c>
      <c r="L10" s="34" t="s">
        <v>47</v>
      </c>
      <c r="M10">
        <v>0.28214651366034899</v>
      </c>
      <c r="P10" s="4">
        <v>2050</v>
      </c>
      <c r="Q10" s="34">
        <v>3.0521210478711924E-2</v>
      </c>
      <c r="R10" s="34"/>
      <c r="S10" s="34">
        <v>5.1161462409174664E-2</v>
      </c>
      <c r="T10" s="34"/>
      <c r="U10" s="34">
        <v>0.77251502985766318</v>
      </c>
      <c r="V10" s="34">
        <v>0.85419770274554974</v>
      </c>
    </row>
    <row r="11" spans="1:22" x14ac:dyDescent="0.3">
      <c r="A11" s="34" t="s">
        <v>662</v>
      </c>
      <c r="B11">
        <v>-1</v>
      </c>
      <c r="C11">
        <v>2050</v>
      </c>
      <c r="D11" s="34" t="s">
        <v>167</v>
      </c>
      <c r="E11" s="34" t="s">
        <v>187</v>
      </c>
      <c r="F11" s="34" t="s">
        <v>188</v>
      </c>
      <c r="G11" s="34" t="s">
        <v>177</v>
      </c>
      <c r="H11" s="34" t="s">
        <v>18</v>
      </c>
      <c r="I11" s="34" t="s">
        <v>19</v>
      </c>
      <c r="J11" s="34" t="s">
        <v>32</v>
      </c>
      <c r="K11" s="34" t="s">
        <v>46</v>
      </c>
      <c r="L11" s="34" t="s">
        <v>47</v>
      </c>
      <c r="M11">
        <v>0.28214651366034899</v>
      </c>
      <c r="P11" s="3" t="s">
        <v>13</v>
      </c>
      <c r="Q11" s="34"/>
      <c r="R11" s="34">
        <v>7.6172869268929341E-2</v>
      </c>
      <c r="S11" s="34"/>
      <c r="T11" s="34">
        <v>8.4846141725961406</v>
      </c>
      <c r="U11" s="34"/>
      <c r="V11" s="34">
        <v>8.5607870418650691</v>
      </c>
    </row>
    <row r="12" spans="1:22" x14ac:dyDescent="0.3">
      <c r="A12" s="34" t="s">
        <v>662</v>
      </c>
      <c r="B12">
        <v>-1</v>
      </c>
      <c r="C12">
        <v>2050</v>
      </c>
      <c r="D12" s="34" t="s">
        <v>167</v>
      </c>
      <c r="E12" s="34" t="s">
        <v>187</v>
      </c>
      <c r="F12" s="34" t="s">
        <v>188</v>
      </c>
      <c r="G12" s="34" t="s">
        <v>178</v>
      </c>
      <c r="H12" s="34" t="s">
        <v>18</v>
      </c>
      <c r="I12" s="34" t="s">
        <v>19</v>
      </c>
      <c r="J12" s="34" t="s">
        <v>32</v>
      </c>
      <c r="K12" s="34" t="s">
        <v>46</v>
      </c>
      <c r="L12" s="34" t="s">
        <v>47</v>
      </c>
      <c r="M12">
        <v>0.28214651366034899</v>
      </c>
      <c r="P12" s="4">
        <v>2050</v>
      </c>
      <c r="Q12" s="34"/>
      <c r="R12" s="34">
        <v>7.6172869268929341E-2</v>
      </c>
      <c r="S12" s="34"/>
      <c r="T12" s="34">
        <v>8.4846141725961406</v>
      </c>
      <c r="U12" s="34"/>
      <c r="V12" s="34">
        <v>8.5607870418650691</v>
      </c>
    </row>
    <row r="13" spans="1:22" x14ac:dyDescent="0.3">
      <c r="A13" s="34" t="s">
        <v>662</v>
      </c>
      <c r="B13">
        <v>-1</v>
      </c>
      <c r="C13">
        <v>2050</v>
      </c>
      <c r="D13" s="34" t="s">
        <v>167</v>
      </c>
      <c r="E13" s="34" t="s">
        <v>187</v>
      </c>
      <c r="F13" s="34" t="s">
        <v>188</v>
      </c>
      <c r="G13" s="34" t="s">
        <v>179</v>
      </c>
      <c r="H13" s="34" t="s">
        <v>18</v>
      </c>
      <c r="I13" s="34" t="s">
        <v>19</v>
      </c>
      <c r="J13" s="34" t="s">
        <v>32</v>
      </c>
      <c r="K13" s="34" t="s">
        <v>46</v>
      </c>
      <c r="L13" s="34" t="s">
        <v>47</v>
      </c>
      <c r="M13">
        <v>0.28214651366034899</v>
      </c>
      <c r="P13" s="2" t="s">
        <v>34</v>
      </c>
      <c r="Q13" s="34">
        <v>3.0521210478711924E-2</v>
      </c>
      <c r="R13" s="34">
        <v>7.6172869268929341E-2</v>
      </c>
      <c r="S13" s="34">
        <v>5.1161462409174664E-2</v>
      </c>
      <c r="T13" s="34">
        <v>8.4846141725961406</v>
      </c>
      <c r="U13" s="34">
        <v>0.77251502985766318</v>
      </c>
      <c r="V13" s="34">
        <v>9.414984744610619</v>
      </c>
    </row>
    <row r="14" spans="1:22" x14ac:dyDescent="0.3">
      <c r="A14" s="34" t="s">
        <v>662</v>
      </c>
      <c r="B14">
        <v>-1</v>
      </c>
      <c r="C14">
        <v>2050</v>
      </c>
      <c r="D14" s="34" t="s">
        <v>167</v>
      </c>
      <c r="E14" s="34" t="s">
        <v>187</v>
      </c>
      <c r="F14" s="34" t="s">
        <v>188</v>
      </c>
      <c r="G14" s="34" t="s">
        <v>185</v>
      </c>
      <c r="H14" s="34" t="s">
        <v>18</v>
      </c>
      <c r="I14" s="34" t="s">
        <v>19</v>
      </c>
      <c r="J14" s="34" t="s">
        <v>32</v>
      </c>
      <c r="K14" s="34" t="s">
        <v>46</v>
      </c>
      <c r="L14" s="34" t="s">
        <v>47</v>
      </c>
      <c r="M14">
        <v>6.0299999999999999E-2</v>
      </c>
    </row>
    <row r="15" spans="1:22" x14ac:dyDescent="0.3">
      <c r="A15" s="34" t="s">
        <v>662</v>
      </c>
      <c r="B15">
        <v>-1</v>
      </c>
      <c r="C15">
        <v>2050</v>
      </c>
      <c r="D15" s="34" t="s">
        <v>167</v>
      </c>
      <c r="E15" s="34" t="s">
        <v>187</v>
      </c>
      <c r="F15" s="34" t="s">
        <v>188</v>
      </c>
      <c r="G15" s="34" t="s">
        <v>180</v>
      </c>
      <c r="H15" s="34" t="s">
        <v>18</v>
      </c>
      <c r="I15" s="34" t="s">
        <v>19</v>
      </c>
      <c r="J15" s="34" t="s">
        <v>181</v>
      </c>
      <c r="K15" s="34" t="s">
        <v>46</v>
      </c>
      <c r="L15" s="34" t="s">
        <v>47</v>
      </c>
      <c r="M15">
        <v>1.83191056339651</v>
      </c>
    </row>
    <row r="16" spans="1:22" x14ac:dyDescent="0.3">
      <c r="A16" s="34" t="s">
        <v>662</v>
      </c>
      <c r="B16">
        <v>-1</v>
      </c>
      <c r="C16">
        <v>2050</v>
      </c>
      <c r="D16" s="34" t="s">
        <v>167</v>
      </c>
      <c r="E16" s="34" t="s">
        <v>187</v>
      </c>
      <c r="F16" s="34" t="s">
        <v>190</v>
      </c>
      <c r="G16" s="34" t="s">
        <v>16</v>
      </c>
      <c r="H16" s="34" t="s">
        <v>12</v>
      </c>
      <c r="I16" s="34" t="s">
        <v>13</v>
      </c>
      <c r="J16" s="34" t="s">
        <v>14</v>
      </c>
      <c r="K16" s="34" t="s">
        <v>49</v>
      </c>
      <c r="L16" s="34" t="s">
        <v>47</v>
      </c>
      <c r="M16">
        <v>0.38230529065934338</v>
      </c>
    </row>
    <row r="17" spans="1:13" x14ac:dyDescent="0.3">
      <c r="A17" s="34" t="s">
        <v>662</v>
      </c>
      <c r="B17">
        <v>-1</v>
      </c>
      <c r="C17">
        <v>2050</v>
      </c>
      <c r="D17" s="34" t="s">
        <v>167</v>
      </c>
      <c r="E17" s="34" t="s">
        <v>187</v>
      </c>
      <c r="F17" s="34" t="s">
        <v>190</v>
      </c>
      <c r="G17" s="34" t="s">
        <v>41</v>
      </c>
      <c r="H17" s="34" t="s">
        <v>40</v>
      </c>
      <c r="I17" s="34" t="s">
        <v>13</v>
      </c>
      <c r="J17" s="34" t="s">
        <v>42</v>
      </c>
      <c r="K17" s="34" t="s">
        <v>46</v>
      </c>
      <c r="L17" s="34" t="s">
        <v>47</v>
      </c>
      <c r="M17">
        <v>5.3563033199284418E-2</v>
      </c>
    </row>
    <row r="18" spans="1:13" x14ac:dyDescent="0.3">
      <c r="A18" s="34" t="s">
        <v>662</v>
      </c>
      <c r="B18">
        <v>-1</v>
      </c>
      <c r="C18">
        <v>2050</v>
      </c>
      <c r="D18" s="34" t="s">
        <v>167</v>
      </c>
      <c r="E18" s="34" t="s">
        <v>187</v>
      </c>
      <c r="F18" s="34" t="s">
        <v>190</v>
      </c>
      <c r="G18" s="34" t="s">
        <v>41</v>
      </c>
      <c r="H18" s="34" t="s">
        <v>40</v>
      </c>
      <c r="I18" s="34" t="s">
        <v>13</v>
      </c>
      <c r="J18" s="34" t="s">
        <v>42</v>
      </c>
      <c r="K18" s="34" t="s">
        <v>48</v>
      </c>
      <c r="L18" s="34" t="s">
        <v>47</v>
      </c>
      <c r="M18">
        <v>-5.3563033199284418E-2</v>
      </c>
    </row>
    <row r="19" spans="1:13" x14ac:dyDescent="0.3">
      <c r="A19" s="34" t="s">
        <v>662</v>
      </c>
      <c r="B19">
        <v>-1</v>
      </c>
      <c r="C19">
        <v>2050</v>
      </c>
      <c r="D19" s="34" t="s">
        <v>167</v>
      </c>
      <c r="E19" s="34" t="s">
        <v>187</v>
      </c>
      <c r="F19" s="34" t="s">
        <v>593</v>
      </c>
      <c r="G19" s="34" t="s">
        <v>29</v>
      </c>
      <c r="H19" s="34" t="s">
        <v>21</v>
      </c>
      <c r="I19" s="34" t="s">
        <v>19</v>
      </c>
      <c r="J19" s="34" t="s">
        <v>22</v>
      </c>
      <c r="K19" s="34" t="s">
        <v>46</v>
      </c>
      <c r="L19" s="34" t="s">
        <v>47</v>
      </c>
      <c r="M19">
        <v>2.8911825000000002E-2</v>
      </c>
    </row>
    <row r="20" spans="1:13" x14ac:dyDescent="0.3">
      <c r="A20" s="34" t="s">
        <v>662</v>
      </c>
      <c r="B20">
        <v>-1</v>
      </c>
      <c r="C20">
        <v>2050</v>
      </c>
      <c r="D20" s="34" t="s">
        <v>167</v>
      </c>
      <c r="E20" s="34" t="s">
        <v>187</v>
      </c>
      <c r="F20" s="34" t="s">
        <v>593</v>
      </c>
      <c r="G20" s="34" t="s">
        <v>29</v>
      </c>
      <c r="H20" s="34" t="s">
        <v>21</v>
      </c>
      <c r="I20" s="34" t="s">
        <v>19</v>
      </c>
      <c r="J20" s="34" t="s">
        <v>22</v>
      </c>
      <c r="K20" s="34" t="s">
        <v>48</v>
      </c>
      <c r="L20" s="34" t="s">
        <v>47</v>
      </c>
      <c r="M20">
        <v>-2.8911825000000002E-2</v>
      </c>
    </row>
    <row r="21" spans="1:13" x14ac:dyDescent="0.3">
      <c r="A21" s="34" t="s">
        <v>662</v>
      </c>
      <c r="B21">
        <v>-1</v>
      </c>
      <c r="C21">
        <v>2050</v>
      </c>
      <c r="D21" s="34" t="s">
        <v>167</v>
      </c>
      <c r="E21" s="34" t="s">
        <v>187</v>
      </c>
      <c r="F21" s="34" t="s">
        <v>593</v>
      </c>
      <c r="G21" s="34" t="s">
        <v>20</v>
      </c>
      <c r="H21" s="34" t="s">
        <v>21</v>
      </c>
      <c r="I21" s="34" t="s">
        <v>19</v>
      </c>
      <c r="J21" s="34" t="s">
        <v>22</v>
      </c>
      <c r="K21" s="34" t="s">
        <v>46</v>
      </c>
      <c r="L21" s="34" t="s">
        <v>47</v>
      </c>
      <c r="M21">
        <v>0.84574696500000002</v>
      </c>
    </row>
    <row r="22" spans="1:13" x14ac:dyDescent="0.3">
      <c r="A22" s="34" t="s">
        <v>662</v>
      </c>
      <c r="B22">
        <v>-1</v>
      </c>
      <c r="C22">
        <v>2050</v>
      </c>
      <c r="D22" s="34" t="s">
        <v>167</v>
      </c>
      <c r="E22" s="34" t="s">
        <v>187</v>
      </c>
      <c r="F22" s="34" t="s">
        <v>593</v>
      </c>
      <c r="G22" s="34" t="s">
        <v>20</v>
      </c>
      <c r="H22" s="34" t="s">
        <v>21</v>
      </c>
      <c r="I22" s="34" t="s">
        <v>19</v>
      </c>
      <c r="J22" s="34" t="s">
        <v>22</v>
      </c>
      <c r="K22" s="34" t="s">
        <v>48</v>
      </c>
      <c r="L22" s="34" t="s">
        <v>47</v>
      </c>
      <c r="M22">
        <v>-0.84574696500000002</v>
      </c>
    </row>
    <row r="23" spans="1:13" x14ac:dyDescent="0.3">
      <c r="A23" s="34" t="s">
        <v>662</v>
      </c>
      <c r="B23">
        <v>-1</v>
      </c>
      <c r="C23">
        <v>2050</v>
      </c>
      <c r="D23" s="34" t="s">
        <v>167</v>
      </c>
      <c r="E23" s="34" t="s">
        <v>187</v>
      </c>
      <c r="F23" s="34" t="s">
        <v>593</v>
      </c>
      <c r="G23" s="34" t="s">
        <v>30</v>
      </c>
      <c r="H23" s="34" t="s">
        <v>21</v>
      </c>
      <c r="I23" s="34" t="s">
        <v>19</v>
      </c>
      <c r="J23" s="34" t="s">
        <v>22</v>
      </c>
      <c r="K23" s="34" t="s">
        <v>46</v>
      </c>
      <c r="L23" s="34" t="s">
        <v>47</v>
      </c>
      <c r="M23">
        <v>0.13979121</v>
      </c>
    </row>
    <row r="24" spans="1:13" x14ac:dyDescent="0.3">
      <c r="A24" s="34" t="s">
        <v>662</v>
      </c>
      <c r="B24">
        <v>-1</v>
      </c>
      <c r="C24">
        <v>2050</v>
      </c>
      <c r="D24" s="34" t="s">
        <v>167</v>
      </c>
      <c r="E24" s="34" t="s">
        <v>187</v>
      </c>
      <c r="F24" s="34" t="s">
        <v>593</v>
      </c>
      <c r="G24" s="34" t="s">
        <v>30</v>
      </c>
      <c r="H24" s="34" t="s">
        <v>21</v>
      </c>
      <c r="I24" s="34" t="s">
        <v>19</v>
      </c>
      <c r="J24" s="34" t="s">
        <v>22</v>
      </c>
      <c r="K24" s="34" t="s">
        <v>48</v>
      </c>
      <c r="L24" s="34" t="s">
        <v>47</v>
      </c>
      <c r="M24">
        <v>-0.13979121</v>
      </c>
    </row>
    <row r="25" spans="1:13" x14ac:dyDescent="0.3">
      <c r="A25" s="34" t="s">
        <v>662</v>
      </c>
      <c r="B25">
        <v>-1</v>
      </c>
      <c r="C25">
        <v>2050</v>
      </c>
      <c r="D25" s="34" t="s">
        <v>167</v>
      </c>
      <c r="E25" s="34" t="s">
        <v>187</v>
      </c>
      <c r="F25" s="34" t="s">
        <v>593</v>
      </c>
      <c r="G25" s="34" t="s">
        <v>644</v>
      </c>
      <c r="H25" s="34" t="s">
        <v>21</v>
      </c>
      <c r="I25" s="34" t="s">
        <v>19</v>
      </c>
      <c r="J25" s="34" t="s">
        <v>22</v>
      </c>
      <c r="K25" s="34" t="s">
        <v>49</v>
      </c>
      <c r="L25" s="34" t="s">
        <v>47</v>
      </c>
      <c r="M25">
        <v>1.8644859813084103</v>
      </c>
    </row>
    <row r="26" spans="1:13" x14ac:dyDescent="0.3">
      <c r="A26" s="34" t="s">
        <v>662</v>
      </c>
      <c r="B26">
        <v>-1</v>
      </c>
      <c r="C26">
        <v>2050</v>
      </c>
      <c r="D26" s="34" t="s">
        <v>167</v>
      </c>
      <c r="E26" s="34" t="s">
        <v>191</v>
      </c>
      <c r="F26" s="34" t="s">
        <v>192</v>
      </c>
      <c r="G26" s="34" t="s">
        <v>170</v>
      </c>
      <c r="H26" s="34" t="s">
        <v>18</v>
      </c>
      <c r="I26" s="34" t="s">
        <v>19</v>
      </c>
      <c r="J26" s="34" t="s">
        <v>32</v>
      </c>
      <c r="K26" s="34" t="s">
        <v>46</v>
      </c>
      <c r="L26" s="34" t="s">
        <v>47</v>
      </c>
      <c r="M26">
        <v>0.41956363678000796</v>
      </c>
    </row>
    <row r="27" spans="1:13" x14ac:dyDescent="0.3">
      <c r="A27" s="34" t="s">
        <v>662</v>
      </c>
      <c r="B27">
        <v>-1</v>
      </c>
      <c r="C27">
        <v>2050</v>
      </c>
      <c r="D27" s="34" t="s">
        <v>167</v>
      </c>
      <c r="E27" s="34" t="s">
        <v>191</v>
      </c>
      <c r="F27" s="34" t="s">
        <v>192</v>
      </c>
      <c r="G27" s="34" t="s">
        <v>171</v>
      </c>
      <c r="H27" s="34" t="s">
        <v>18</v>
      </c>
      <c r="I27" s="34" t="s">
        <v>19</v>
      </c>
      <c r="J27" s="34" t="s">
        <v>32</v>
      </c>
      <c r="K27" s="34" t="s">
        <v>46</v>
      </c>
      <c r="L27" s="34" t="s">
        <v>47</v>
      </c>
      <c r="M27">
        <v>0.41956363678000796</v>
      </c>
    </row>
    <row r="28" spans="1:13" x14ac:dyDescent="0.3">
      <c r="A28" s="34" t="s">
        <v>662</v>
      </c>
      <c r="B28">
        <v>-1</v>
      </c>
      <c r="C28">
        <v>2050</v>
      </c>
      <c r="D28" s="34" t="s">
        <v>167</v>
      </c>
      <c r="E28" s="34" t="s">
        <v>191</v>
      </c>
      <c r="F28" s="34" t="s">
        <v>192</v>
      </c>
      <c r="G28" s="34" t="s">
        <v>172</v>
      </c>
      <c r="H28" s="34" t="s">
        <v>18</v>
      </c>
      <c r="I28" s="34" t="s">
        <v>19</v>
      </c>
      <c r="J28" s="34" t="s">
        <v>32</v>
      </c>
      <c r="K28" s="34" t="s">
        <v>46</v>
      </c>
      <c r="L28" s="34" t="s">
        <v>47</v>
      </c>
      <c r="M28">
        <v>0.41956363678000796</v>
      </c>
    </row>
    <row r="29" spans="1:13" x14ac:dyDescent="0.3">
      <c r="A29" s="34" t="s">
        <v>662</v>
      </c>
      <c r="B29">
        <v>-1</v>
      </c>
      <c r="C29">
        <v>2050</v>
      </c>
      <c r="D29" s="34" t="s">
        <v>167</v>
      </c>
      <c r="E29" s="34" t="s">
        <v>191</v>
      </c>
      <c r="F29" s="34" t="s">
        <v>192</v>
      </c>
      <c r="G29" s="34" t="s">
        <v>173</v>
      </c>
      <c r="H29" s="34" t="s">
        <v>18</v>
      </c>
      <c r="I29" s="34" t="s">
        <v>19</v>
      </c>
      <c r="J29" s="34" t="s">
        <v>32</v>
      </c>
      <c r="K29" s="34" t="s">
        <v>46</v>
      </c>
      <c r="L29" s="34" t="s">
        <v>47</v>
      </c>
      <c r="M29">
        <v>0.41956363678000796</v>
      </c>
    </row>
    <row r="30" spans="1:13" x14ac:dyDescent="0.3">
      <c r="A30" s="34" t="s">
        <v>662</v>
      </c>
      <c r="B30">
        <v>-1</v>
      </c>
      <c r="C30">
        <v>2050</v>
      </c>
      <c r="D30" s="34" t="s">
        <v>167</v>
      </c>
      <c r="E30" s="34" t="s">
        <v>191</v>
      </c>
      <c r="F30" s="34" t="s">
        <v>192</v>
      </c>
      <c r="G30" s="34" t="s">
        <v>174</v>
      </c>
      <c r="H30" s="34" t="s">
        <v>18</v>
      </c>
      <c r="I30" s="34" t="s">
        <v>19</v>
      </c>
      <c r="J30" s="34" t="s">
        <v>32</v>
      </c>
      <c r="K30" s="34" t="s">
        <v>46</v>
      </c>
      <c r="L30" s="34" t="s">
        <v>47</v>
      </c>
      <c r="M30">
        <v>0.41956363678000796</v>
      </c>
    </row>
    <row r="31" spans="1:13" x14ac:dyDescent="0.3">
      <c r="A31" s="34" t="s">
        <v>662</v>
      </c>
      <c r="B31">
        <v>-1</v>
      </c>
      <c r="C31">
        <v>2050</v>
      </c>
      <c r="D31" s="34" t="s">
        <v>167</v>
      </c>
      <c r="E31" s="34" t="s">
        <v>191</v>
      </c>
      <c r="F31" s="34" t="s">
        <v>192</v>
      </c>
      <c r="G31" s="34" t="s">
        <v>175</v>
      </c>
      <c r="H31" s="34" t="s">
        <v>18</v>
      </c>
      <c r="I31" s="34" t="s">
        <v>19</v>
      </c>
      <c r="J31" s="34" t="s">
        <v>32</v>
      </c>
      <c r="K31" s="34" t="s">
        <v>46</v>
      </c>
      <c r="L31" s="34" t="s">
        <v>47</v>
      </c>
      <c r="M31">
        <v>0.41956363678000796</v>
      </c>
    </row>
    <row r="32" spans="1:13" x14ac:dyDescent="0.3">
      <c r="A32" s="34" t="s">
        <v>662</v>
      </c>
      <c r="B32">
        <v>-1</v>
      </c>
      <c r="C32">
        <v>2050</v>
      </c>
      <c r="D32" s="34" t="s">
        <v>167</v>
      </c>
      <c r="E32" s="34" t="s">
        <v>191</v>
      </c>
      <c r="F32" s="34" t="s">
        <v>192</v>
      </c>
      <c r="G32" s="34" t="s">
        <v>176</v>
      </c>
      <c r="H32" s="34" t="s">
        <v>18</v>
      </c>
      <c r="I32" s="34" t="s">
        <v>19</v>
      </c>
      <c r="J32" s="34" t="s">
        <v>32</v>
      </c>
      <c r="K32" s="34" t="s">
        <v>46</v>
      </c>
      <c r="L32" s="34" t="s">
        <v>47</v>
      </c>
      <c r="M32">
        <v>0.41956363678000796</v>
      </c>
    </row>
    <row r="33" spans="1:13" x14ac:dyDescent="0.3">
      <c r="A33" s="34" t="s">
        <v>662</v>
      </c>
      <c r="B33">
        <v>-1</v>
      </c>
      <c r="C33">
        <v>2050</v>
      </c>
      <c r="D33" s="34" t="s">
        <v>167</v>
      </c>
      <c r="E33" s="34" t="s">
        <v>191</v>
      </c>
      <c r="F33" s="34" t="s">
        <v>192</v>
      </c>
      <c r="G33" s="34" t="s">
        <v>177</v>
      </c>
      <c r="H33" s="34" t="s">
        <v>18</v>
      </c>
      <c r="I33" s="34" t="s">
        <v>19</v>
      </c>
      <c r="J33" s="34" t="s">
        <v>32</v>
      </c>
      <c r="K33" s="34" t="s">
        <v>46</v>
      </c>
      <c r="L33" s="34" t="s">
        <v>47</v>
      </c>
      <c r="M33">
        <v>0.41956363678000796</v>
      </c>
    </row>
    <row r="34" spans="1:13" x14ac:dyDescent="0.3">
      <c r="A34" s="34" t="s">
        <v>662</v>
      </c>
      <c r="B34">
        <v>-1</v>
      </c>
      <c r="C34">
        <v>2050</v>
      </c>
      <c r="D34" s="34" t="s">
        <v>167</v>
      </c>
      <c r="E34" s="34" t="s">
        <v>191</v>
      </c>
      <c r="F34" s="34" t="s">
        <v>192</v>
      </c>
      <c r="G34" s="34" t="s">
        <v>178</v>
      </c>
      <c r="H34" s="34" t="s">
        <v>18</v>
      </c>
      <c r="I34" s="34" t="s">
        <v>19</v>
      </c>
      <c r="J34" s="34" t="s">
        <v>32</v>
      </c>
      <c r="K34" s="34" t="s">
        <v>46</v>
      </c>
      <c r="L34" s="34" t="s">
        <v>47</v>
      </c>
      <c r="M34">
        <v>0.41956363678000796</v>
      </c>
    </row>
    <row r="35" spans="1:13" x14ac:dyDescent="0.3">
      <c r="A35" s="34" t="s">
        <v>662</v>
      </c>
      <c r="B35">
        <v>-1</v>
      </c>
      <c r="C35">
        <v>2050</v>
      </c>
      <c r="D35" s="34" t="s">
        <v>167</v>
      </c>
      <c r="E35" s="34" t="s">
        <v>191</v>
      </c>
      <c r="F35" s="34" t="s">
        <v>192</v>
      </c>
      <c r="G35" s="34" t="s">
        <v>179</v>
      </c>
      <c r="H35" s="34" t="s">
        <v>18</v>
      </c>
      <c r="I35" s="34" t="s">
        <v>19</v>
      </c>
      <c r="J35" s="34" t="s">
        <v>32</v>
      </c>
      <c r="K35" s="34" t="s">
        <v>46</v>
      </c>
      <c r="L35" s="34" t="s">
        <v>47</v>
      </c>
      <c r="M35">
        <v>0.41956363678000796</v>
      </c>
    </row>
    <row r="36" spans="1:13" x14ac:dyDescent="0.3">
      <c r="A36" s="34" t="s">
        <v>662</v>
      </c>
      <c r="B36">
        <v>-1</v>
      </c>
      <c r="C36">
        <v>2050</v>
      </c>
      <c r="D36" s="34" t="s">
        <v>167</v>
      </c>
      <c r="E36" s="34" t="s">
        <v>191</v>
      </c>
      <c r="F36" s="34" t="s">
        <v>192</v>
      </c>
      <c r="G36" s="34" t="s">
        <v>180</v>
      </c>
      <c r="H36" s="34" t="s">
        <v>18</v>
      </c>
      <c r="I36" s="34" t="s">
        <v>19</v>
      </c>
      <c r="J36" s="34" t="s">
        <v>181</v>
      </c>
      <c r="K36" s="34" t="s">
        <v>46</v>
      </c>
      <c r="L36" s="34" t="s">
        <v>47</v>
      </c>
      <c r="M36">
        <v>1.0764902321999201</v>
      </c>
    </row>
    <row r="37" spans="1:13" x14ac:dyDescent="0.3">
      <c r="A37" s="34" t="s">
        <v>662</v>
      </c>
      <c r="B37">
        <v>-1</v>
      </c>
      <c r="C37">
        <v>2050</v>
      </c>
      <c r="D37" s="34" t="s">
        <v>167</v>
      </c>
      <c r="E37" s="34" t="s">
        <v>191</v>
      </c>
      <c r="F37" s="34" t="s">
        <v>193</v>
      </c>
      <c r="G37" s="34" t="s">
        <v>16</v>
      </c>
      <c r="H37" s="34" t="s">
        <v>12</v>
      </c>
      <c r="I37" s="34" t="s">
        <v>13</v>
      </c>
      <c r="J37" s="34" t="s">
        <v>14</v>
      </c>
      <c r="K37" s="34" t="s">
        <v>49</v>
      </c>
      <c r="L37" s="34" t="s">
        <v>47</v>
      </c>
      <c r="M37">
        <v>1.8870821487214673</v>
      </c>
    </row>
    <row r="38" spans="1:13" x14ac:dyDescent="0.3">
      <c r="A38" s="34" t="s">
        <v>662</v>
      </c>
      <c r="B38">
        <v>-1</v>
      </c>
      <c r="C38">
        <v>2050</v>
      </c>
      <c r="D38" s="34" t="s">
        <v>167</v>
      </c>
      <c r="E38" s="34" t="s">
        <v>191</v>
      </c>
      <c r="F38" s="34" t="s">
        <v>193</v>
      </c>
      <c r="G38" s="34" t="s">
        <v>41</v>
      </c>
      <c r="H38" s="34" t="s">
        <v>40</v>
      </c>
      <c r="I38" s="34" t="s">
        <v>13</v>
      </c>
      <c r="J38" s="34" t="s">
        <v>42</v>
      </c>
      <c r="K38" s="34" t="s">
        <v>46</v>
      </c>
      <c r="L38" s="34" t="s">
        <v>47</v>
      </c>
      <c r="M38">
        <v>3.8274981252011835E-2</v>
      </c>
    </row>
    <row r="39" spans="1:13" x14ac:dyDescent="0.3">
      <c r="A39" s="34" t="s">
        <v>662</v>
      </c>
      <c r="B39">
        <v>-1</v>
      </c>
      <c r="C39">
        <v>2050</v>
      </c>
      <c r="D39" s="34" t="s">
        <v>167</v>
      </c>
      <c r="E39" s="34" t="s">
        <v>191</v>
      </c>
      <c r="F39" s="34" t="s">
        <v>193</v>
      </c>
      <c r="G39" s="34" t="s">
        <v>41</v>
      </c>
      <c r="H39" s="34" t="s">
        <v>40</v>
      </c>
      <c r="I39" s="34" t="s">
        <v>13</v>
      </c>
      <c r="J39" s="34" t="s">
        <v>42</v>
      </c>
      <c r="K39" s="34" t="s">
        <v>48</v>
      </c>
      <c r="L39" s="34" t="s">
        <v>47</v>
      </c>
      <c r="M39">
        <v>-3.8274981252011835E-2</v>
      </c>
    </row>
    <row r="40" spans="1:13" x14ac:dyDescent="0.3">
      <c r="A40" s="34" t="s">
        <v>662</v>
      </c>
      <c r="B40">
        <v>-1</v>
      </c>
      <c r="C40">
        <v>2050</v>
      </c>
      <c r="D40" s="34" t="s">
        <v>167</v>
      </c>
      <c r="E40" s="34" t="s">
        <v>191</v>
      </c>
      <c r="F40" s="34" t="s">
        <v>594</v>
      </c>
      <c r="G40" s="34" t="s">
        <v>29</v>
      </c>
      <c r="H40" s="34" t="s">
        <v>21</v>
      </c>
      <c r="I40" s="34" t="s">
        <v>19</v>
      </c>
      <c r="J40" s="34" t="s">
        <v>22</v>
      </c>
      <c r="K40" s="34" t="s">
        <v>46</v>
      </c>
      <c r="L40" s="34" t="s">
        <v>47</v>
      </c>
      <c r="M40">
        <v>2.1523199999999999E-2</v>
      </c>
    </row>
    <row r="41" spans="1:13" x14ac:dyDescent="0.3">
      <c r="A41" s="34" t="s">
        <v>662</v>
      </c>
      <c r="B41">
        <v>-1</v>
      </c>
      <c r="C41">
        <v>2050</v>
      </c>
      <c r="D41" s="34" t="s">
        <v>167</v>
      </c>
      <c r="E41" s="34" t="s">
        <v>191</v>
      </c>
      <c r="F41" s="34" t="s">
        <v>594</v>
      </c>
      <c r="G41" s="34" t="s">
        <v>29</v>
      </c>
      <c r="H41" s="34" t="s">
        <v>21</v>
      </c>
      <c r="I41" s="34" t="s">
        <v>19</v>
      </c>
      <c r="J41" s="34" t="s">
        <v>22</v>
      </c>
      <c r="K41" s="34" t="s">
        <v>48</v>
      </c>
      <c r="L41" s="34" t="s">
        <v>47</v>
      </c>
      <c r="M41">
        <v>-2.1523199999999999E-2</v>
      </c>
    </row>
    <row r="42" spans="1:13" x14ac:dyDescent="0.3">
      <c r="A42" s="34" t="s">
        <v>662</v>
      </c>
      <c r="B42">
        <v>-1</v>
      </c>
      <c r="C42">
        <v>2050</v>
      </c>
      <c r="D42" s="34" t="s">
        <v>167</v>
      </c>
      <c r="E42" s="34" t="s">
        <v>191</v>
      </c>
      <c r="F42" s="34" t="s">
        <v>594</v>
      </c>
      <c r="G42" s="34" t="s">
        <v>20</v>
      </c>
      <c r="H42" s="34" t="s">
        <v>21</v>
      </c>
      <c r="I42" s="34" t="s">
        <v>19</v>
      </c>
      <c r="J42" s="34" t="s">
        <v>22</v>
      </c>
      <c r="K42" s="34" t="s">
        <v>46</v>
      </c>
      <c r="L42" s="34" t="s">
        <v>47</v>
      </c>
      <c r="M42">
        <v>0.62961023999999999</v>
      </c>
    </row>
    <row r="43" spans="1:13" x14ac:dyDescent="0.3">
      <c r="A43" s="34" t="s">
        <v>662</v>
      </c>
      <c r="B43">
        <v>-1</v>
      </c>
      <c r="C43">
        <v>2050</v>
      </c>
      <c r="D43" s="34" t="s">
        <v>167</v>
      </c>
      <c r="E43" s="34" t="s">
        <v>191</v>
      </c>
      <c r="F43" s="34" t="s">
        <v>594</v>
      </c>
      <c r="G43" s="34" t="s">
        <v>20</v>
      </c>
      <c r="H43" s="34" t="s">
        <v>21</v>
      </c>
      <c r="I43" s="34" t="s">
        <v>19</v>
      </c>
      <c r="J43" s="34" t="s">
        <v>22</v>
      </c>
      <c r="K43" s="34" t="s">
        <v>48</v>
      </c>
      <c r="L43" s="34" t="s">
        <v>47</v>
      </c>
      <c r="M43">
        <v>-0.62961023999999999</v>
      </c>
    </row>
    <row r="44" spans="1:13" x14ac:dyDescent="0.3">
      <c r="A44" s="34" t="s">
        <v>662</v>
      </c>
      <c r="B44">
        <v>-1</v>
      </c>
      <c r="C44">
        <v>2050</v>
      </c>
      <c r="D44" s="34" t="s">
        <v>167</v>
      </c>
      <c r="E44" s="34" t="s">
        <v>191</v>
      </c>
      <c r="F44" s="34" t="s">
        <v>594</v>
      </c>
      <c r="G44" s="34" t="s">
        <v>30</v>
      </c>
      <c r="H44" s="34" t="s">
        <v>21</v>
      </c>
      <c r="I44" s="34" t="s">
        <v>19</v>
      </c>
      <c r="J44" s="34" t="s">
        <v>22</v>
      </c>
      <c r="K44" s="34" t="s">
        <v>46</v>
      </c>
      <c r="L44" s="34" t="s">
        <v>47</v>
      </c>
      <c r="M44">
        <v>0.10406656</v>
      </c>
    </row>
    <row r="45" spans="1:13" x14ac:dyDescent="0.3">
      <c r="A45" s="34" t="s">
        <v>662</v>
      </c>
      <c r="B45">
        <v>-1</v>
      </c>
      <c r="C45">
        <v>2050</v>
      </c>
      <c r="D45" s="34" t="s">
        <v>167</v>
      </c>
      <c r="E45" s="34" t="s">
        <v>191</v>
      </c>
      <c r="F45" s="34" t="s">
        <v>594</v>
      </c>
      <c r="G45" s="34" t="s">
        <v>30</v>
      </c>
      <c r="H45" s="34" t="s">
        <v>21</v>
      </c>
      <c r="I45" s="34" t="s">
        <v>19</v>
      </c>
      <c r="J45" s="34" t="s">
        <v>22</v>
      </c>
      <c r="K45" s="34" t="s">
        <v>48</v>
      </c>
      <c r="L45" s="34" t="s">
        <v>47</v>
      </c>
      <c r="M45">
        <v>-0.10406656</v>
      </c>
    </row>
    <row r="46" spans="1:13" x14ac:dyDescent="0.3">
      <c r="A46" s="34" t="s">
        <v>662</v>
      </c>
      <c r="B46">
        <v>-1</v>
      </c>
      <c r="C46">
        <v>2050</v>
      </c>
      <c r="D46" s="34" t="s">
        <v>167</v>
      </c>
      <c r="E46" s="34" t="s">
        <v>191</v>
      </c>
      <c r="F46" s="34" t="s">
        <v>594</v>
      </c>
      <c r="G46" s="34" t="s">
        <v>644</v>
      </c>
      <c r="H46" s="34" t="s">
        <v>21</v>
      </c>
      <c r="I46" s="34" t="s">
        <v>19</v>
      </c>
      <c r="J46" s="34" t="s">
        <v>22</v>
      </c>
      <c r="K46" s="34" t="s">
        <v>49</v>
      </c>
      <c r="L46" s="34" t="s">
        <v>47</v>
      </c>
      <c r="M46">
        <v>5.5934579439252339</v>
      </c>
    </row>
    <row r="47" spans="1:13" x14ac:dyDescent="0.3">
      <c r="A47" s="34" t="s">
        <v>662</v>
      </c>
      <c r="B47">
        <v>-1</v>
      </c>
      <c r="C47">
        <v>2050</v>
      </c>
      <c r="D47" s="34" t="s">
        <v>167</v>
      </c>
      <c r="E47" s="34" t="s">
        <v>395</v>
      </c>
      <c r="F47" s="34" t="s">
        <v>169</v>
      </c>
      <c r="G47" s="34" t="s">
        <v>170</v>
      </c>
      <c r="H47" s="34" t="s">
        <v>18</v>
      </c>
      <c r="I47" s="34" t="s">
        <v>19</v>
      </c>
      <c r="J47" s="34" t="s">
        <v>32</v>
      </c>
      <c r="K47" s="34" t="s">
        <v>46</v>
      </c>
      <c r="L47" s="34" t="s">
        <v>47</v>
      </c>
      <c r="M47">
        <v>0.16</v>
      </c>
    </row>
    <row r="48" spans="1:13" x14ac:dyDescent="0.3">
      <c r="A48" s="34" t="s">
        <v>662</v>
      </c>
      <c r="B48">
        <v>-1</v>
      </c>
      <c r="C48">
        <v>2050</v>
      </c>
      <c r="D48" s="34" t="s">
        <v>167</v>
      </c>
      <c r="E48" s="34" t="s">
        <v>395</v>
      </c>
      <c r="F48" s="34" t="s">
        <v>169</v>
      </c>
      <c r="G48" s="34" t="s">
        <v>171</v>
      </c>
      <c r="H48" s="34" t="s">
        <v>18</v>
      </c>
      <c r="I48" s="34" t="s">
        <v>19</v>
      </c>
      <c r="J48" s="34" t="s">
        <v>32</v>
      </c>
      <c r="K48" s="34" t="s">
        <v>46</v>
      </c>
      <c r="L48" s="34" t="s">
        <v>47</v>
      </c>
      <c r="M48">
        <v>0.16</v>
      </c>
    </row>
    <row r="49" spans="1:13" x14ac:dyDescent="0.3">
      <c r="A49" s="34" t="s">
        <v>662</v>
      </c>
      <c r="B49">
        <v>-1</v>
      </c>
      <c r="C49">
        <v>2050</v>
      </c>
      <c r="D49" s="34" t="s">
        <v>167</v>
      </c>
      <c r="E49" s="34" t="s">
        <v>395</v>
      </c>
      <c r="F49" s="34" t="s">
        <v>169</v>
      </c>
      <c r="G49" s="34" t="s">
        <v>172</v>
      </c>
      <c r="H49" s="34" t="s">
        <v>18</v>
      </c>
      <c r="I49" s="34" t="s">
        <v>19</v>
      </c>
      <c r="J49" s="34" t="s">
        <v>32</v>
      </c>
      <c r="K49" s="34" t="s">
        <v>46</v>
      </c>
      <c r="L49" s="34" t="s">
        <v>47</v>
      </c>
      <c r="M49">
        <v>0.16</v>
      </c>
    </row>
    <row r="50" spans="1:13" x14ac:dyDescent="0.3">
      <c r="A50" s="34" t="s">
        <v>662</v>
      </c>
      <c r="B50">
        <v>-1</v>
      </c>
      <c r="C50">
        <v>2050</v>
      </c>
      <c r="D50" s="34" t="s">
        <v>167</v>
      </c>
      <c r="E50" s="34" t="s">
        <v>395</v>
      </c>
      <c r="F50" s="34" t="s">
        <v>169</v>
      </c>
      <c r="G50" s="34" t="s">
        <v>173</v>
      </c>
      <c r="H50" s="34" t="s">
        <v>18</v>
      </c>
      <c r="I50" s="34" t="s">
        <v>19</v>
      </c>
      <c r="J50" s="34" t="s">
        <v>32</v>
      </c>
      <c r="K50" s="34" t="s">
        <v>46</v>
      </c>
      <c r="L50" s="34" t="s">
        <v>47</v>
      </c>
      <c r="M50">
        <v>0.16</v>
      </c>
    </row>
    <row r="51" spans="1:13" x14ac:dyDescent="0.3">
      <c r="A51" s="34" t="s">
        <v>662</v>
      </c>
      <c r="B51">
        <v>-1</v>
      </c>
      <c r="C51">
        <v>2050</v>
      </c>
      <c r="D51" s="34" t="s">
        <v>167</v>
      </c>
      <c r="E51" s="34" t="s">
        <v>395</v>
      </c>
      <c r="F51" s="34" t="s">
        <v>169</v>
      </c>
      <c r="G51" s="34" t="s">
        <v>174</v>
      </c>
      <c r="H51" s="34" t="s">
        <v>18</v>
      </c>
      <c r="I51" s="34" t="s">
        <v>19</v>
      </c>
      <c r="J51" s="34" t="s">
        <v>32</v>
      </c>
      <c r="K51" s="34" t="s">
        <v>46</v>
      </c>
      <c r="L51" s="34" t="s">
        <v>47</v>
      </c>
      <c r="M51">
        <v>0.16</v>
      </c>
    </row>
    <row r="52" spans="1:13" x14ac:dyDescent="0.3">
      <c r="A52" s="34" t="s">
        <v>662</v>
      </c>
      <c r="B52">
        <v>-1</v>
      </c>
      <c r="C52">
        <v>2050</v>
      </c>
      <c r="D52" s="34" t="s">
        <v>167</v>
      </c>
      <c r="E52" s="34" t="s">
        <v>395</v>
      </c>
      <c r="F52" s="34" t="s">
        <v>169</v>
      </c>
      <c r="G52" s="34" t="s">
        <v>175</v>
      </c>
      <c r="H52" s="34" t="s">
        <v>18</v>
      </c>
      <c r="I52" s="34" t="s">
        <v>19</v>
      </c>
      <c r="J52" s="34" t="s">
        <v>32</v>
      </c>
      <c r="K52" s="34" t="s">
        <v>46</v>
      </c>
      <c r="L52" s="34" t="s">
        <v>47</v>
      </c>
      <c r="M52">
        <v>0.16</v>
      </c>
    </row>
    <row r="53" spans="1:13" x14ac:dyDescent="0.3">
      <c r="A53" s="34" t="s">
        <v>662</v>
      </c>
      <c r="B53">
        <v>-1</v>
      </c>
      <c r="C53">
        <v>2050</v>
      </c>
      <c r="D53" s="34" t="s">
        <v>167</v>
      </c>
      <c r="E53" s="34" t="s">
        <v>395</v>
      </c>
      <c r="F53" s="34" t="s">
        <v>169</v>
      </c>
      <c r="G53" s="34" t="s">
        <v>176</v>
      </c>
      <c r="H53" s="34" t="s">
        <v>18</v>
      </c>
      <c r="I53" s="34" t="s">
        <v>19</v>
      </c>
      <c r="J53" s="34" t="s">
        <v>32</v>
      </c>
      <c r="K53" s="34" t="s">
        <v>46</v>
      </c>
      <c r="L53" s="34" t="s">
        <v>47</v>
      </c>
      <c r="M53">
        <v>0.16</v>
      </c>
    </row>
    <row r="54" spans="1:13" x14ac:dyDescent="0.3">
      <c r="A54" s="34" t="s">
        <v>662</v>
      </c>
      <c r="B54">
        <v>-1</v>
      </c>
      <c r="C54">
        <v>2050</v>
      </c>
      <c r="D54" s="34" t="s">
        <v>167</v>
      </c>
      <c r="E54" s="34" t="s">
        <v>395</v>
      </c>
      <c r="F54" s="34" t="s">
        <v>169</v>
      </c>
      <c r="G54" s="34" t="s">
        <v>177</v>
      </c>
      <c r="H54" s="34" t="s">
        <v>18</v>
      </c>
      <c r="I54" s="34" t="s">
        <v>19</v>
      </c>
      <c r="J54" s="34" t="s">
        <v>32</v>
      </c>
      <c r="K54" s="34" t="s">
        <v>46</v>
      </c>
      <c r="L54" s="34" t="s">
        <v>47</v>
      </c>
      <c r="M54">
        <v>0.16</v>
      </c>
    </row>
    <row r="55" spans="1:13" x14ac:dyDescent="0.3">
      <c r="A55" s="34" t="s">
        <v>662</v>
      </c>
      <c r="B55">
        <v>-1</v>
      </c>
      <c r="C55">
        <v>2050</v>
      </c>
      <c r="D55" s="34" t="s">
        <v>167</v>
      </c>
      <c r="E55" s="34" t="s">
        <v>395</v>
      </c>
      <c r="F55" s="34" t="s">
        <v>169</v>
      </c>
      <c r="G55" s="34" t="s">
        <v>178</v>
      </c>
      <c r="H55" s="34" t="s">
        <v>18</v>
      </c>
      <c r="I55" s="34" t="s">
        <v>19</v>
      </c>
      <c r="J55" s="34" t="s">
        <v>32</v>
      </c>
      <c r="K55" s="34" t="s">
        <v>46</v>
      </c>
      <c r="L55" s="34" t="s">
        <v>47</v>
      </c>
      <c r="M55">
        <v>0.16</v>
      </c>
    </row>
    <row r="56" spans="1:13" x14ac:dyDescent="0.3">
      <c r="A56" s="34" t="s">
        <v>662</v>
      </c>
      <c r="B56">
        <v>-1</v>
      </c>
      <c r="C56">
        <v>2050</v>
      </c>
      <c r="D56" s="34" t="s">
        <v>167</v>
      </c>
      <c r="E56" s="34" t="s">
        <v>395</v>
      </c>
      <c r="F56" s="34" t="s">
        <v>169</v>
      </c>
      <c r="G56" s="34" t="s">
        <v>179</v>
      </c>
      <c r="H56" s="34" t="s">
        <v>18</v>
      </c>
      <c r="I56" s="34" t="s">
        <v>19</v>
      </c>
      <c r="J56" s="34" t="s">
        <v>32</v>
      </c>
      <c r="K56" s="34" t="s">
        <v>46</v>
      </c>
      <c r="L56" s="34" t="s">
        <v>47</v>
      </c>
      <c r="M56">
        <v>0.16</v>
      </c>
    </row>
    <row r="57" spans="1:13" x14ac:dyDescent="0.3">
      <c r="A57" s="34" t="s">
        <v>662</v>
      </c>
      <c r="B57">
        <v>-1</v>
      </c>
      <c r="C57">
        <v>2050</v>
      </c>
      <c r="D57" s="34" t="s">
        <v>167</v>
      </c>
      <c r="E57" s="34" t="s">
        <v>395</v>
      </c>
      <c r="F57" s="34" t="s">
        <v>169</v>
      </c>
      <c r="G57" s="34" t="s">
        <v>180</v>
      </c>
      <c r="H57" s="34" t="s">
        <v>18</v>
      </c>
      <c r="I57" s="34" t="s">
        <v>19</v>
      </c>
      <c r="J57" s="34" t="s">
        <v>181</v>
      </c>
      <c r="K57" s="34" t="s">
        <v>46</v>
      </c>
      <c r="L57" s="34" t="s">
        <v>47</v>
      </c>
      <c r="M57">
        <v>2.1041303999999998</v>
      </c>
    </row>
    <row r="58" spans="1:13" x14ac:dyDescent="0.3">
      <c r="A58" s="34" t="s">
        <v>662</v>
      </c>
      <c r="B58">
        <v>-1</v>
      </c>
      <c r="C58">
        <v>2050</v>
      </c>
      <c r="D58" s="34" t="s">
        <v>167</v>
      </c>
      <c r="E58" s="34" t="s">
        <v>395</v>
      </c>
      <c r="F58" s="34" t="s">
        <v>182</v>
      </c>
      <c r="G58" s="34" t="s">
        <v>41</v>
      </c>
      <c r="H58" s="34" t="s">
        <v>40</v>
      </c>
      <c r="I58" s="34" t="s">
        <v>13</v>
      </c>
      <c r="J58" s="34" t="s">
        <v>42</v>
      </c>
      <c r="K58" s="34" t="s">
        <v>46</v>
      </c>
      <c r="L58" s="34" t="s">
        <v>47</v>
      </c>
      <c r="M58">
        <v>7.2337269360633893E-2</v>
      </c>
    </row>
    <row r="59" spans="1:13" x14ac:dyDescent="0.3">
      <c r="A59" s="34" t="s">
        <v>662</v>
      </c>
      <c r="B59">
        <v>-1</v>
      </c>
      <c r="C59">
        <v>2050</v>
      </c>
      <c r="D59" s="34" t="s">
        <v>167</v>
      </c>
      <c r="E59" s="34" t="s">
        <v>395</v>
      </c>
      <c r="F59" s="34" t="s">
        <v>182</v>
      </c>
      <c r="G59" s="34" t="s">
        <v>41</v>
      </c>
      <c r="H59" s="34" t="s">
        <v>40</v>
      </c>
      <c r="I59" s="34" t="s">
        <v>13</v>
      </c>
      <c r="J59" s="34" t="s">
        <v>42</v>
      </c>
      <c r="K59" s="34" t="s">
        <v>48</v>
      </c>
      <c r="L59" s="34" t="s">
        <v>47</v>
      </c>
      <c r="M59">
        <v>-7.2337269360633893E-2</v>
      </c>
    </row>
    <row r="60" spans="1:13" x14ac:dyDescent="0.3">
      <c r="A60" s="34" t="s">
        <v>662</v>
      </c>
      <c r="B60">
        <v>-1</v>
      </c>
      <c r="C60">
        <v>2050</v>
      </c>
      <c r="D60" s="34" t="s">
        <v>167</v>
      </c>
      <c r="E60" s="34" t="s">
        <v>395</v>
      </c>
      <c r="F60" s="34" t="s">
        <v>184</v>
      </c>
      <c r="G60" s="34" t="s">
        <v>170</v>
      </c>
      <c r="H60" s="34" t="s">
        <v>18</v>
      </c>
      <c r="I60" s="34" t="s">
        <v>19</v>
      </c>
      <c r="J60" s="34" t="s">
        <v>32</v>
      </c>
      <c r="K60" s="34" t="s">
        <v>46</v>
      </c>
      <c r="L60" s="34" t="s">
        <v>47</v>
      </c>
      <c r="M60">
        <v>0.36719205575436598</v>
      </c>
    </row>
    <row r="61" spans="1:13" x14ac:dyDescent="0.3">
      <c r="A61" s="34" t="s">
        <v>662</v>
      </c>
      <c r="B61">
        <v>-1</v>
      </c>
      <c r="C61">
        <v>2050</v>
      </c>
      <c r="D61" s="34" t="s">
        <v>167</v>
      </c>
      <c r="E61" s="34" t="s">
        <v>395</v>
      </c>
      <c r="F61" s="34" t="s">
        <v>184</v>
      </c>
      <c r="G61" s="34" t="s">
        <v>171</v>
      </c>
      <c r="H61" s="34" t="s">
        <v>18</v>
      </c>
      <c r="I61" s="34" t="s">
        <v>19</v>
      </c>
      <c r="J61" s="34" t="s">
        <v>32</v>
      </c>
      <c r="K61" s="34" t="s">
        <v>46</v>
      </c>
      <c r="L61" s="34" t="s">
        <v>47</v>
      </c>
      <c r="M61">
        <v>0.8871920557543661</v>
      </c>
    </row>
    <row r="62" spans="1:13" x14ac:dyDescent="0.3">
      <c r="A62" s="34" t="s">
        <v>662</v>
      </c>
      <c r="B62">
        <v>-1</v>
      </c>
      <c r="C62">
        <v>2050</v>
      </c>
      <c r="D62" s="34" t="s">
        <v>167</v>
      </c>
      <c r="E62" s="34" t="s">
        <v>395</v>
      </c>
      <c r="F62" s="34" t="s">
        <v>184</v>
      </c>
      <c r="G62" s="34" t="s">
        <v>172</v>
      </c>
      <c r="H62" s="34" t="s">
        <v>18</v>
      </c>
      <c r="I62" s="34" t="s">
        <v>19</v>
      </c>
      <c r="J62" s="34" t="s">
        <v>32</v>
      </c>
      <c r="K62" s="34" t="s">
        <v>46</v>
      </c>
      <c r="L62" s="34" t="s">
        <v>47</v>
      </c>
      <c r="M62">
        <v>0.8871920557543661</v>
      </c>
    </row>
    <row r="63" spans="1:13" x14ac:dyDescent="0.3">
      <c r="A63" s="34" t="s">
        <v>662</v>
      </c>
      <c r="B63">
        <v>-1</v>
      </c>
      <c r="C63">
        <v>2050</v>
      </c>
      <c r="D63" s="34" t="s">
        <v>167</v>
      </c>
      <c r="E63" s="34" t="s">
        <v>395</v>
      </c>
      <c r="F63" s="34" t="s">
        <v>184</v>
      </c>
      <c r="G63" s="34" t="s">
        <v>173</v>
      </c>
      <c r="H63" s="34" t="s">
        <v>18</v>
      </c>
      <c r="I63" s="34" t="s">
        <v>19</v>
      </c>
      <c r="J63" s="34" t="s">
        <v>32</v>
      </c>
      <c r="K63" s="34" t="s">
        <v>46</v>
      </c>
      <c r="L63" s="34" t="s">
        <v>47</v>
      </c>
      <c r="M63">
        <v>0.8871920557543661</v>
      </c>
    </row>
    <row r="64" spans="1:13" x14ac:dyDescent="0.3">
      <c r="A64" s="34" t="s">
        <v>662</v>
      </c>
      <c r="B64">
        <v>-1</v>
      </c>
      <c r="C64">
        <v>2050</v>
      </c>
      <c r="D64" s="34" t="s">
        <v>167</v>
      </c>
      <c r="E64" s="34" t="s">
        <v>395</v>
      </c>
      <c r="F64" s="34" t="s">
        <v>184</v>
      </c>
      <c r="G64" s="34" t="s">
        <v>174</v>
      </c>
      <c r="H64" s="34" t="s">
        <v>18</v>
      </c>
      <c r="I64" s="34" t="s">
        <v>19</v>
      </c>
      <c r="J64" s="34" t="s">
        <v>32</v>
      </c>
      <c r="K64" s="34" t="s">
        <v>46</v>
      </c>
      <c r="L64" s="34" t="s">
        <v>47</v>
      </c>
      <c r="M64">
        <v>0.8871920557543661</v>
      </c>
    </row>
    <row r="65" spans="1:13" x14ac:dyDescent="0.3">
      <c r="A65" s="34" t="s">
        <v>662</v>
      </c>
      <c r="B65">
        <v>-1</v>
      </c>
      <c r="C65">
        <v>2050</v>
      </c>
      <c r="D65" s="34" t="s">
        <v>167</v>
      </c>
      <c r="E65" s="34" t="s">
        <v>395</v>
      </c>
      <c r="F65" s="34" t="s">
        <v>184</v>
      </c>
      <c r="G65" s="34" t="s">
        <v>175</v>
      </c>
      <c r="H65" s="34" t="s">
        <v>18</v>
      </c>
      <c r="I65" s="34" t="s">
        <v>19</v>
      </c>
      <c r="J65" s="34" t="s">
        <v>32</v>
      </c>
      <c r="K65" s="34" t="s">
        <v>46</v>
      </c>
      <c r="L65" s="34" t="s">
        <v>47</v>
      </c>
      <c r="M65">
        <v>0.8871920557543661</v>
      </c>
    </row>
    <row r="66" spans="1:13" x14ac:dyDescent="0.3">
      <c r="A66" s="34" t="s">
        <v>662</v>
      </c>
      <c r="B66">
        <v>-1</v>
      </c>
      <c r="C66">
        <v>2050</v>
      </c>
      <c r="D66" s="34" t="s">
        <v>167</v>
      </c>
      <c r="E66" s="34" t="s">
        <v>395</v>
      </c>
      <c r="F66" s="34" t="s">
        <v>184</v>
      </c>
      <c r="G66" s="34" t="s">
        <v>176</v>
      </c>
      <c r="H66" s="34" t="s">
        <v>18</v>
      </c>
      <c r="I66" s="34" t="s">
        <v>19</v>
      </c>
      <c r="J66" s="34" t="s">
        <v>32</v>
      </c>
      <c r="K66" s="34" t="s">
        <v>46</v>
      </c>
      <c r="L66" s="34" t="s">
        <v>47</v>
      </c>
      <c r="M66">
        <v>0.8871920557543661</v>
      </c>
    </row>
    <row r="67" spans="1:13" x14ac:dyDescent="0.3">
      <c r="A67" s="34" t="s">
        <v>662</v>
      </c>
      <c r="B67">
        <v>-1</v>
      </c>
      <c r="C67">
        <v>2050</v>
      </c>
      <c r="D67" s="34" t="s">
        <v>167</v>
      </c>
      <c r="E67" s="34" t="s">
        <v>395</v>
      </c>
      <c r="F67" s="34" t="s">
        <v>184</v>
      </c>
      <c r="G67" s="34" t="s">
        <v>177</v>
      </c>
      <c r="H67" s="34" t="s">
        <v>18</v>
      </c>
      <c r="I67" s="34" t="s">
        <v>19</v>
      </c>
      <c r="J67" s="34" t="s">
        <v>32</v>
      </c>
      <c r="K67" s="34" t="s">
        <v>46</v>
      </c>
      <c r="L67" s="34" t="s">
        <v>47</v>
      </c>
      <c r="M67">
        <v>0.8871920557543661</v>
      </c>
    </row>
    <row r="68" spans="1:13" x14ac:dyDescent="0.3">
      <c r="A68" s="34" t="s">
        <v>662</v>
      </c>
      <c r="B68">
        <v>-1</v>
      </c>
      <c r="C68">
        <v>2050</v>
      </c>
      <c r="D68" s="34" t="s">
        <v>167</v>
      </c>
      <c r="E68" s="34" t="s">
        <v>395</v>
      </c>
      <c r="F68" s="34" t="s">
        <v>184</v>
      </c>
      <c r="G68" s="34" t="s">
        <v>178</v>
      </c>
      <c r="H68" s="34" t="s">
        <v>18</v>
      </c>
      <c r="I68" s="34" t="s">
        <v>19</v>
      </c>
      <c r="J68" s="34" t="s">
        <v>32</v>
      </c>
      <c r="K68" s="34" t="s">
        <v>46</v>
      </c>
      <c r="L68" s="34" t="s">
        <v>47</v>
      </c>
      <c r="M68">
        <v>0.8871920557543661</v>
      </c>
    </row>
    <row r="69" spans="1:13" x14ac:dyDescent="0.3">
      <c r="A69" s="34" t="s">
        <v>662</v>
      </c>
      <c r="B69">
        <v>-1</v>
      </c>
      <c r="C69">
        <v>2050</v>
      </c>
      <c r="D69" s="34" t="s">
        <v>167</v>
      </c>
      <c r="E69" s="34" t="s">
        <v>395</v>
      </c>
      <c r="F69" s="34" t="s">
        <v>184</v>
      </c>
      <c r="G69" s="34" t="s">
        <v>179</v>
      </c>
      <c r="H69" s="34" t="s">
        <v>18</v>
      </c>
      <c r="I69" s="34" t="s">
        <v>19</v>
      </c>
      <c r="J69" s="34" t="s">
        <v>32</v>
      </c>
      <c r="K69" s="34" t="s">
        <v>46</v>
      </c>
      <c r="L69" s="34" t="s">
        <v>47</v>
      </c>
      <c r="M69">
        <v>0.8871920557543661</v>
      </c>
    </row>
    <row r="70" spans="1:13" x14ac:dyDescent="0.3">
      <c r="A70" s="34" t="s">
        <v>662</v>
      </c>
      <c r="B70">
        <v>-1</v>
      </c>
      <c r="C70">
        <v>2050</v>
      </c>
      <c r="D70" s="34" t="s">
        <v>167</v>
      </c>
      <c r="E70" s="34" t="s">
        <v>395</v>
      </c>
      <c r="F70" s="34" t="s">
        <v>184</v>
      </c>
      <c r="G70" s="34" t="s">
        <v>185</v>
      </c>
      <c r="H70" s="34" t="s">
        <v>18</v>
      </c>
      <c r="I70" s="34" t="s">
        <v>19</v>
      </c>
      <c r="J70" s="34" t="s">
        <v>32</v>
      </c>
      <c r="K70" s="34" t="s">
        <v>46</v>
      </c>
      <c r="L70" s="34" t="s">
        <v>47</v>
      </c>
      <c r="M70">
        <v>0.52</v>
      </c>
    </row>
    <row r="71" spans="1:13" x14ac:dyDescent="0.3">
      <c r="A71" s="34" t="s">
        <v>662</v>
      </c>
      <c r="B71">
        <v>-1</v>
      </c>
      <c r="C71">
        <v>2050</v>
      </c>
      <c r="D71" s="34" t="s">
        <v>167</v>
      </c>
      <c r="E71" s="34" t="s">
        <v>395</v>
      </c>
      <c r="F71" s="34" t="s">
        <v>184</v>
      </c>
      <c r="G71" s="34" t="s">
        <v>180</v>
      </c>
      <c r="H71" s="34" t="s">
        <v>18</v>
      </c>
      <c r="I71" s="34" t="s">
        <v>19</v>
      </c>
      <c r="J71" s="34" t="s">
        <v>181</v>
      </c>
      <c r="K71" s="34" t="s">
        <v>46</v>
      </c>
      <c r="L71" s="34" t="s">
        <v>47</v>
      </c>
      <c r="M71">
        <v>2.2741580424563401</v>
      </c>
    </row>
    <row r="72" spans="1:13" x14ac:dyDescent="0.3">
      <c r="A72" s="34" t="s">
        <v>662</v>
      </c>
      <c r="B72">
        <v>-1</v>
      </c>
      <c r="C72">
        <v>2050</v>
      </c>
      <c r="D72" s="34" t="s">
        <v>167</v>
      </c>
      <c r="E72" s="34" t="s">
        <v>395</v>
      </c>
      <c r="F72" s="34" t="s">
        <v>186</v>
      </c>
      <c r="G72" s="34" t="s">
        <v>41</v>
      </c>
      <c r="H72" s="34" t="s">
        <v>40</v>
      </c>
      <c r="I72" s="34" t="s">
        <v>13</v>
      </c>
      <c r="J72" s="34" t="s">
        <v>42</v>
      </c>
      <c r="K72" s="34" t="s">
        <v>46</v>
      </c>
      <c r="L72" s="34" t="s">
        <v>47</v>
      </c>
      <c r="M72">
        <v>7.0317594929981006E-2</v>
      </c>
    </row>
    <row r="73" spans="1:13" x14ac:dyDescent="0.3">
      <c r="A73" s="34" t="s">
        <v>662</v>
      </c>
      <c r="B73">
        <v>-1</v>
      </c>
      <c r="C73">
        <v>2050</v>
      </c>
      <c r="D73" s="34" t="s">
        <v>167</v>
      </c>
      <c r="E73" s="34" t="s">
        <v>395</v>
      </c>
      <c r="F73" s="34" t="s">
        <v>186</v>
      </c>
      <c r="G73" s="34" t="s">
        <v>41</v>
      </c>
      <c r="H73" s="34" t="s">
        <v>40</v>
      </c>
      <c r="I73" s="34" t="s">
        <v>13</v>
      </c>
      <c r="J73" s="34" t="s">
        <v>42</v>
      </c>
      <c r="K73" s="34" t="s">
        <v>48</v>
      </c>
      <c r="L73" s="34" t="s">
        <v>47</v>
      </c>
      <c r="M73">
        <v>-7.0317594929981006E-2</v>
      </c>
    </row>
    <row r="74" spans="1:13" x14ac:dyDescent="0.3">
      <c r="A74" s="34" t="s">
        <v>662</v>
      </c>
      <c r="B74">
        <v>-1</v>
      </c>
      <c r="C74">
        <v>2050</v>
      </c>
      <c r="D74" s="34" t="s">
        <v>167</v>
      </c>
      <c r="E74" s="34" t="s">
        <v>395</v>
      </c>
      <c r="F74" s="34" t="s">
        <v>195</v>
      </c>
      <c r="G74" s="34" t="s">
        <v>170</v>
      </c>
      <c r="H74" s="34" t="s">
        <v>18</v>
      </c>
      <c r="I74" s="34" t="s">
        <v>19</v>
      </c>
      <c r="J74" s="34" t="s">
        <v>32</v>
      </c>
      <c r="K74" s="34" t="s">
        <v>46</v>
      </c>
      <c r="L74" s="34" t="s">
        <v>47</v>
      </c>
      <c r="M74">
        <v>0.15419324188591599</v>
      </c>
    </row>
    <row r="75" spans="1:13" x14ac:dyDescent="0.3">
      <c r="A75" s="34" t="s">
        <v>662</v>
      </c>
      <c r="B75">
        <v>-1</v>
      </c>
      <c r="C75">
        <v>2050</v>
      </c>
      <c r="D75" s="34" t="s">
        <v>167</v>
      </c>
      <c r="E75" s="34" t="s">
        <v>395</v>
      </c>
      <c r="F75" s="34" t="s">
        <v>195</v>
      </c>
      <c r="G75" s="34" t="s">
        <v>171</v>
      </c>
      <c r="H75" s="34" t="s">
        <v>18</v>
      </c>
      <c r="I75" s="34" t="s">
        <v>19</v>
      </c>
      <c r="J75" s="34" t="s">
        <v>32</v>
      </c>
      <c r="K75" s="34" t="s">
        <v>46</v>
      </c>
      <c r="L75" s="34" t="s">
        <v>47</v>
      </c>
      <c r="M75">
        <v>0.59819324188591605</v>
      </c>
    </row>
    <row r="76" spans="1:13" x14ac:dyDescent="0.3">
      <c r="A76" s="34" t="s">
        <v>662</v>
      </c>
      <c r="B76">
        <v>-1</v>
      </c>
      <c r="C76">
        <v>2050</v>
      </c>
      <c r="D76" s="34" t="s">
        <v>167</v>
      </c>
      <c r="E76" s="34" t="s">
        <v>395</v>
      </c>
      <c r="F76" s="34" t="s">
        <v>195</v>
      </c>
      <c r="G76" s="34" t="s">
        <v>172</v>
      </c>
      <c r="H76" s="34" t="s">
        <v>18</v>
      </c>
      <c r="I76" s="34" t="s">
        <v>19</v>
      </c>
      <c r="J76" s="34" t="s">
        <v>32</v>
      </c>
      <c r="K76" s="34" t="s">
        <v>46</v>
      </c>
      <c r="L76" s="34" t="s">
        <v>47</v>
      </c>
      <c r="M76">
        <v>0.59819324188591605</v>
      </c>
    </row>
    <row r="77" spans="1:13" x14ac:dyDescent="0.3">
      <c r="A77" s="34" t="s">
        <v>662</v>
      </c>
      <c r="B77">
        <v>-1</v>
      </c>
      <c r="C77">
        <v>2050</v>
      </c>
      <c r="D77" s="34" t="s">
        <v>167</v>
      </c>
      <c r="E77" s="34" t="s">
        <v>395</v>
      </c>
      <c r="F77" s="34" t="s">
        <v>195</v>
      </c>
      <c r="G77" s="34" t="s">
        <v>173</v>
      </c>
      <c r="H77" s="34" t="s">
        <v>18</v>
      </c>
      <c r="I77" s="34" t="s">
        <v>19</v>
      </c>
      <c r="J77" s="34" t="s">
        <v>32</v>
      </c>
      <c r="K77" s="34" t="s">
        <v>46</v>
      </c>
      <c r="L77" s="34" t="s">
        <v>47</v>
      </c>
      <c r="M77">
        <v>0.59819324188591605</v>
      </c>
    </row>
    <row r="78" spans="1:13" x14ac:dyDescent="0.3">
      <c r="A78" s="34" t="s">
        <v>662</v>
      </c>
      <c r="B78">
        <v>-1</v>
      </c>
      <c r="C78">
        <v>2050</v>
      </c>
      <c r="D78" s="34" t="s">
        <v>167</v>
      </c>
      <c r="E78" s="34" t="s">
        <v>395</v>
      </c>
      <c r="F78" s="34" t="s">
        <v>195</v>
      </c>
      <c r="G78" s="34" t="s">
        <v>174</v>
      </c>
      <c r="H78" s="34" t="s">
        <v>18</v>
      </c>
      <c r="I78" s="34" t="s">
        <v>19</v>
      </c>
      <c r="J78" s="34" t="s">
        <v>32</v>
      </c>
      <c r="K78" s="34" t="s">
        <v>46</v>
      </c>
      <c r="L78" s="34" t="s">
        <v>47</v>
      </c>
      <c r="M78">
        <v>0.59819324188591605</v>
      </c>
    </row>
    <row r="79" spans="1:13" x14ac:dyDescent="0.3">
      <c r="A79" s="34" t="s">
        <v>662</v>
      </c>
      <c r="B79">
        <v>-1</v>
      </c>
      <c r="C79">
        <v>2050</v>
      </c>
      <c r="D79" s="34" t="s">
        <v>167</v>
      </c>
      <c r="E79" s="34" t="s">
        <v>395</v>
      </c>
      <c r="F79" s="34" t="s">
        <v>195</v>
      </c>
      <c r="G79" s="34" t="s">
        <v>175</v>
      </c>
      <c r="H79" s="34" t="s">
        <v>18</v>
      </c>
      <c r="I79" s="34" t="s">
        <v>19</v>
      </c>
      <c r="J79" s="34" t="s">
        <v>32</v>
      </c>
      <c r="K79" s="34" t="s">
        <v>46</v>
      </c>
      <c r="L79" s="34" t="s">
        <v>47</v>
      </c>
      <c r="M79">
        <v>0.59819324188591605</v>
      </c>
    </row>
    <row r="80" spans="1:13" x14ac:dyDescent="0.3">
      <c r="A80" s="34" t="s">
        <v>662</v>
      </c>
      <c r="B80">
        <v>-1</v>
      </c>
      <c r="C80">
        <v>2050</v>
      </c>
      <c r="D80" s="34" t="s">
        <v>167</v>
      </c>
      <c r="E80" s="34" t="s">
        <v>395</v>
      </c>
      <c r="F80" s="34" t="s">
        <v>195</v>
      </c>
      <c r="G80" s="34" t="s">
        <v>176</v>
      </c>
      <c r="H80" s="34" t="s">
        <v>18</v>
      </c>
      <c r="I80" s="34" t="s">
        <v>19</v>
      </c>
      <c r="J80" s="34" t="s">
        <v>32</v>
      </c>
      <c r="K80" s="34" t="s">
        <v>46</v>
      </c>
      <c r="L80" s="34" t="s">
        <v>47</v>
      </c>
      <c r="M80">
        <v>0.59819324188591605</v>
      </c>
    </row>
    <row r="81" spans="1:13" x14ac:dyDescent="0.3">
      <c r="A81" s="34" t="s">
        <v>662</v>
      </c>
      <c r="B81">
        <v>-1</v>
      </c>
      <c r="C81">
        <v>2050</v>
      </c>
      <c r="D81" s="34" t="s">
        <v>167</v>
      </c>
      <c r="E81" s="34" t="s">
        <v>395</v>
      </c>
      <c r="F81" s="34" t="s">
        <v>195</v>
      </c>
      <c r="G81" s="34" t="s">
        <v>177</v>
      </c>
      <c r="H81" s="34" t="s">
        <v>18</v>
      </c>
      <c r="I81" s="34" t="s">
        <v>19</v>
      </c>
      <c r="J81" s="34" t="s">
        <v>32</v>
      </c>
      <c r="K81" s="34" t="s">
        <v>46</v>
      </c>
      <c r="L81" s="34" t="s">
        <v>47</v>
      </c>
      <c r="M81">
        <v>0.59819324188591605</v>
      </c>
    </row>
    <row r="82" spans="1:13" x14ac:dyDescent="0.3">
      <c r="A82" s="34" t="s">
        <v>662</v>
      </c>
      <c r="B82">
        <v>-1</v>
      </c>
      <c r="C82">
        <v>2050</v>
      </c>
      <c r="D82" s="34" t="s">
        <v>167</v>
      </c>
      <c r="E82" s="34" t="s">
        <v>395</v>
      </c>
      <c r="F82" s="34" t="s">
        <v>195</v>
      </c>
      <c r="G82" s="34" t="s">
        <v>178</v>
      </c>
      <c r="H82" s="34" t="s">
        <v>18</v>
      </c>
      <c r="I82" s="34" t="s">
        <v>19</v>
      </c>
      <c r="J82" s="34" t="s">
        <v>32</v>
      </c>
      <c r="K82" s="34" t="s">
        <v>46</v>
      </c>
      <c r="L82" s="34" t="s">
        <v>47</v>
      </c>
      <c r="M82">
        <v>0.59819324188591605</v>
      </c>
    </row>
    <row r="83" spans="1:13" x14ac:dyDescent="0.3">
      <c r="A83" s="34" t="s">
        <v>662</v>
      </c>
      <c r="B83">
        <v>-1</v>
      </c>
      <c r="C83">
        <v>2050</v>
      </c>
      <c r="D83" s="34" t="s">
        <v>167</v>
      </c>
      <c r="E83" s="34" t="s">
        <v>395</v>
      </c>
      <c r="F83" s="34" t="s">
        <v>195</v>
      </c>
      <c r="G83" s="34" t="s">
        <v>179</v>
      </c>
      <c r="H83" s="34" t="s">
        <v>18</v>
      </c>
      <c r="I83" s="34" t="s">
        <v>19</v>
      </c>
      <c r="J83" s="34" t="s">
        <v>32</v>
      </c>
      <c r="K83" s="34" t="s">
        <v>46</v>
      </c>
      <c r="L83" s="34" t="s">
        <v>47</v>
      </c>
      <c r="M83">
        <v>0.59819324188591605</v>
      </c>
    </row>
    <row r="84" spans="1:13" x14ac:dyDescent="0.3">
      <c r="A84" s="34" t="s">
        <v>662</v>
      </c>
      <c r="B84">
        <v>-1</v>
      </c>
      <c r="C84">
        <v>2050</v>
      </c>
      <c r="D84" s="34" t="s">
        <v>167</v>
      </c>
      <c r="E84" s="34" t="s">
        <v>395</v>
      </c>
      <c r="F84" s="34" t="s">
        <v>195</v>
      </c>
      <c r="G84" s="34" t="s">
        <v>185</v>
      </c>
      <c r="H84" s="34" t="s">
        <v>18</v>
      </c>
      <c r="I84" s="34" t="s">
        <v>19</v>
      </c>
      <c r="J84" s="34" t="s">
        <v>32</v>
      </c>
      <c r="K84" s="34" t="s">
        <v>46</v>
      </c>
      <c r="L84" s="34" t="s">
        <v>47</v>
      </c>
      <c r="M84">
        <v>0.44400000000000001</v>
      </c>
    </row>
    <row r="85" spans="1:13" x14ac:dyDescent="0.3">
      <c r="A85" s="34" t="s">
        <v>662</v>
      </c>
      <c r="B85">
        <v>-1</v>
      </c>
      <c r="C85">
        <v>2050</v>
      </c>
      <c r="D85" s="34" t="s">
        <v>167</v>
      </c>
      <c r="E85" s="34" t="s">
        <v>395</v>
      </c>
      <c r="F85" s="34" t="s">
        <v>195</v>
      </c>
      <c r="G85" s="34" t="s">
        <v>180</v>
      </c>
      <c r="H85" s="34" t="s">
        <v>18</v>
      </c>
      <c r="I85" s="34" t="s">
        <v>19</v>
      </c>
      <c r="J85" s="34" t="s">
        <v>181</v>
      </c>
      <c r="K85" s="34" t="s">
        <v>46</v>
      </c>
      <c r="L85" s="34" t="s">
        <v>47</v>
      </c>
      <c r="M85">
        <v>1.8789904811408402</v>
      </c>
    </row>
    <row r="86" spans="1:13" x14ac:dyDescent="0.3">
      <c r="A86" s="34" t="s">
        <v>662</v>
      </c>
      <c r="B86">
        <v>-1</v>
      </c>
      <c r="C86">
        <v>2050</v>
      </c>
      <c r="D86" s="34" t="s">
        <v>167</v>
      </c>
      <c r="E86" s="34" t="s">
        <v>395</v>
      </c>
      <c r="F86" s="34" t="s">
        <v>196</v>
      </c>
      <c r="G86" s="34" t="s">
        <v>41</v>
      </c>
      <c r="H86" s="34" t="s">
        <v>40</v>
      </c>
      <c r="I86" s="34" t="s">
        <v>13</v>
      </c>
      <c r="J86" s="34" t="s">
        <v>42</v>
      </c>
      <c r="K86" s="34" t="s">
        <v>46</v>
      </c>
      <c r="L86" s="34" t="s">
        <v>47</v>
      </c>
      <c r="M86">
        <v>3.1437258850049776E-2</v>
      </c>
    </row>
    <row r="87" spans="1:13" x14ac:dyDescent="0.3">
      <c r="A87" s="34" t="s">
        <v>662</v>
      </c>
      <c r="B87">
        <v>-1</v>
      </c>
      <c r="C87">
        <v>2050</v>
      </c>
      <c r="D87" s="34" t="s">
        <v>167</v>
      </c>
      <c r="E87" s="34" t="s">
        <v>395</v>
      </c>
      <c r="F87" s="34" t="s">
        <v>196</v>
      </c>
      <c r="G87" s="34" t="s">
        <v>41</v>
      </c>
      <c r="H87" s="34" t="s">
        <v>40</v>
      </c>
      <c r="I87" s="34" t="s">
        <v>13</v>
      </c>
      <c r="J87" s="34" t="s">
        <v>42</v>
      </c>
      <c r="K87" s="34" t="s">
        <v>48</v>
      </c>
      <c r="L87" s="34" t="s">
        <v>47</v>
      </c>
      <c r="M87">
        <v>-3.1437258850049776E-2</v>
      </c>
    </row>
    <row r="88" spans="1:13" x14ac:dyDescent="0.3">
      <c r="A88" s="34" t="s">
        <v>662</v>
      </c>
      <c r="B88">
        <v>-1</v>
      </c>
      <c r="C88">
        <v>2050</v>
      </c>
      <c r="D88" s="34" t="s">
        <v>167</v>
      </c>
      <c r="E88" s="34" t="s">
        <v>395</v>
      </c>
      <c r="F88" s="34" t="s">
        <v>595</v>
      </c>
      <c r="G88" s="34" t="s">
        <v>20</v>
      </c>
      <c r="H88" s="34" t="s">
        <v>21</v>
      </c>
      <c r="I88" s="34" t="s">
        <v>19</v>
      </c>
      <c r="J88" s="34" t="s">
        <v>22</v>
      </c>
      <c r="K88" s="34" t="s">
        <v>46</v>
      </c>
      <c r="L88" s="34" t="s">
        <v>47</v>
      </c>
      <c r="M88">
        <v>1.36435</v>
      </c>
    </row>
    <row r="89" spans="1:13" x14ac:dyDescent="0.3">
      <c r="A89" s="34" t="s">
        <v>662</v>
      </c>
      <c r="B89">
        <v>-1</v>
      </c>
      <c r="C89">
        <v>2050</v>
      </c>
      <c r="D89" s="34" t="s">
        <v>167</v>
      </c>
      <c r="E89" s="34" t="s">
        <v>395</v>
      </c>
      <c r="F89" s="34" t="s">
        <v>595</v>
      </c>
      <c r="G89" s="34" t="s">
        <v>20</v>
      </c>
      <c r="H89" s="34" t="s">
        <v>21</v>
      </c>
      <c r="I89" s="34" t="s">
        <v>19</v>
      </c>
      <c r="J89" s="34" t="s">
        <v>22</v>
      </c>
      <c r="K89" s="34" t="s">
        <v>48</v>
      </c>
      <c r="L89" s="34" t="s">
        <v>47</v>
      </c>
      <c r="M89">
        <v>-1.36435</v>
      </c>
    </row>
    <row r="90" spans="1:13" x14ac:dyDescent="0.3">
      <c r="A90" s="34" t="s">
        <v>662</v>
      </c>
      <c r="B90">
        <v>-1</v>
      </c>
      <c r="C90">
        <v>2050</v>
      </c>
      <c r="D90" s="34" t="s">
        <v>167</v>
      </c>
      <c r="E90" s="34" t="s">
        <v>395</v>
      </c>
      <c r="F90" s="34" t="s">
        <v>595</v>
      </c>
      <c r="G90" s="34" t="s">
        <v>644</v>
      </c>
      <c r="H90" s="34" t="s">
        <v>21</v>
      </c>
      <c r="I90" s="34" t="s">
        <v>19</v>
      </c>
      <c r="J90" s="34" t="s">
        <v>22</v>
      </c>
      <c r="K90" s="34" t="s">
        <v>49</v>
      </c>
      <c r="L90" s="34" t="s">
        <v>47</v>
      </c>
      <c r="M90">
        <v>6.5420560747663554</v>
      </c>
    </row>
    <row r="91" spans="1:13" x14ac:dyDescent="0.3">
      <c r="A91" s="34" t="s">
        <v>662</v>
      </c>
      <c r="B91">
        <v>-1</v>
      </c>
      <c r="C91">
        <v>2050</v>
      </c>
      <c r="D91" s="34" t="s">
        <v>197</v>
      </c>
      <c r="E91" s="34" t="s">
        <v>198</v>
      </c>
      <c r="F91" s="34" t="s">
        <v>199</v>
      </c>
      <c r="G91" s="34" t="s">
        <v>200</v>
      </c>
      <c r="H91" s="34" t="s">
        <v>201</v>
      </c>
      <c r="I91" s="34" t="s">
        <v>19</v>
      </c>
      <c r="J91" s="34" t="s">
        <v>27</v>
      </c>
      <c r="K91" s="34" t="s">
        <v>46</v>
      </c>
      <c r="L91" s="34" t="s">
        <v>47</v>
      </c>
      <c r="M91">
        <v>1.4E-2</v>
      </c>
    </row>
    <row r="92" spans="1:13" x14ac:dyDescent="0.3">
      <c r="A92" s="34" t="s">
        <v>662</v>
      </c>
      <c r="B92">
        <v>-1</v>
      </c>
      <c r="C92">
        <v>2050</v>
      </c>
      <c r="D92" s="34" t="s">
        <v>197</v>
      </c>
      <c r="E92" s="34" t="s">
        <v>198</v>
      </c>
      <c r="F92" s="34" t="s">
        <v>199</v>
      </c>
      <c r="G92" s="34" t="s">
        <v>200</v>
      </c>
      <c r="H92" s="34" t="s">
        <v>201</v>
      </c>
      <c r="I92" s="34" t="s">
        <v>19</v>
      </c>
      <c r="J92" s="34" t="s">
        <v>27</v>
      </c>
      <c r="K92" s="34" t="s">
        <v>48</v>
      </c>
      <c r="L92" s="34" t="s">
        <v>47</v>
      </c>
      <c r="M92">
        <v>-1.4E-2</v>
      </c>
    </row>
    <row r="93" spans="1:13" x14ac:dyDescent="0.3">
      <c r="A93" s="34" t="s">
        <v>662</v>
      </c>
      <c r="B93">
        <v>-1</v>
      </c>
      <c r="C93">
        <v>2050</v>
      </c>
      <c r="D93" s="34" t="s">
        <v>197</v>
      </c>
      <c r="E93" s="34" t="s">
        <v>198</v>
      </c>
      <c r="F93" s="34" t="s">
        <v>199</v>
      </c>
      <c r="G93" s="34" t="s">
        <v>202</v>
      </c>
      <c r="H93" s="34" t="s">
        <v>39</v>
      </c>
      <c r="I93" s="34" t="s">
        <v>203</v>
      </c>
      <c r="J93" s="34" t="s">
        <v>204</v>
      </c>
      <c r="K93" s="34" t="s">
        <v>46</v>
      </c>
      <c r="L93" s="34" t="s">
        <v>47</v>
      </c>
      <c r="M93">
        <v>0.79333333333333322</v>
      </c>
    </row>
    <row r="94" spans="1:13" x14ac:dyDescent="0.3">
      <c r="A94" s="34" t="s">
        <v>662</v>
      </c>
      <c r="B94">
        <v>-1</v>
      </c>
      <c r="C94">
        <v>2050</v>
      </c>
      <c r="D94" s="34" t="s">
        <v>197</v>
      </c>
      <c r="E94" s="34" t="s">
        <v>198</v>
      </c>
      <c r="F94" s="34" t="s">
        <v>199</v>
      </c>
      <c r="G94" s="34" t="s">
        <v>202</v>
      </c>
      <c r="H94" s="34" t="s">
        <v>39</v>
      </c>
      <c r="I94" s="34" t="s">
        <v>203</v>
      </c>
      <c r="J94" s="34" t="s">
        <v>204</v>
      </c>
      <c r="K94" s="34" t="s">
        <v>48</v>
      </c>
      <c r="L94" s="34" t="s">
        <v>47</v>
      </c>
      <c r="M94">
        <v>-0.79333333333333322</v>
      </c>
    </row>
    <row r="95" spans="1:13" x14ac:dyDescent="0.3">
      <c r="A95" s="34" t="s">
        <v>662</v>
      </c>
      <c r="B95">
        <v>-1</v>
      </c>
      <c r="C95">
        <v>2050</v>
      </c>
      <c r="D95" s="34" t="s">
        <v>197</v>
      </c>
      <c r="E95" s="34" t="s">
        <v>198</v>
      </c>
      <c r="F95" s="34" t="s">
        <v>199</v>
      </c>
      <c r="G95" s="34" t="s">
        <v>202</v>
      </c>
      <c r="H95" s="34" t="s">
        <v>39</v>
      </c>
      <c r="I95" s="34" t="s">
        <v>19</v>
      </c>
      <c r="J95" s="34" t="s">
        <v>204</v>
      </c>
      <c r="K95" s="34" t="s">
        <v>46</v>
      </c>
      <c r="L95" s="34" t="s">
        <v>47</v>
      </c>
      <c r="M95">
        <v>0.71399999999999997</v>
      </c>
    </row>
    <row r="96" spans="1:13" x14ac:dyDescent="0.3">
      <c r="A96" s="34" t="s">
        <v>662</v>
      </c>
      <c r="B96">
        <v>-1</v>
      </c>
      <c r="C96">
        <v>2050</v>
      </c>
      <c r="D96" s="34" t="s">
        <v>197</v>
      </c>
      <c r="E96" s="34" t="s">
        <v>198</v>
      </c>
      <c r="F96" s="34" t="s">
        <v>199</v>
      </c>
      <c r="G96" s="34" t="s">
        <v>202</v>
      </c>
      <c r="H96" s="34" t="s">
        <v>39</v>
      </c>
      <c r="I96" s="34" t="s">
        <v>19</v>
      </c>
      <c r="J96" s="34" t="s">
        <v>204</v>
      </c>
      <c r="K96" s="34" t="s">
        <v>48</v>
      </c>
      <c r="L96" s="34" t="s">
        <v>47</v>
      </c>
      <c r="M96">
        <v>-0.71399999999999997</v>
      </c>
    </row>
    <row r="97" spans="1:13" x14ac:dyDescent="0.3">
      <c r="A97" s="34" t="s">
        <v>662</v>
      </c>
      <c r="B97">
        <v>-1</v>
      </c>
      <c r="C97">
        <v>2050</v>
      </c>
      <c r="D97" s="34" t="s">
        <v>197</v>
      </c>
      <c r="E97" s="34" t="s">
        <v>198</v>
      </c>
      <c r="F97" s="34" t="s">
        <v>199</v>
      </c>
      <c r="G97" s="34" t="s">
        <v>205</v>
      </c>
      <c r="H97" s="34" t="s">
        <v>39</v>
      </c>
      <c r="I97" s="34" t="s">
        <v>203</v>
      </c>
      <c r="J97" s="34" t="s">
        <v>204</v>
      </c>
      <c r="K97" s="34" t="s">
        <v>46</v>
      </c>
      <c r="L97" s="34" t="s">
        <v>47</v>
      </c>
      <c r="M97">
        <v>0.82777777777777772</v>
      </c>
    </row>
    <row r="98" spans="1:13" x14ac:dyDescent="0.3">
      <c r="A98" s="34" t="s">
        <v>662</v>
      </c>
      <c r="B98">
        <v>-1</v>
      </c>
      <c r="C98">
        <v>2050</v>
      </c>
      <c r="D98" s="34" t="s">
        <v>197</v>
      </c>
      <c r="E98" s="34" t="s">
        <v>198</v>
      </c>
      <c r="F98" s="34" t="s">
        <v>199</v>
      </c>
      <c r="G98" s="34" t="s">
        <v>205</v>
      </c>
      <c r="H98" s="34" t="s">
        <v>39</v>
      </c>
      <c r="I98" s="34" t="s">
        <v>203</v>
      </c>
      <c r="J98" s="34" t="s">
        <v>204</v>
      </c>
      <c r="K98" s="34" t="s">
        <v>48</v>
      </c>
      <c r="L98" s="34" t="s">
        <v>47</v>
      </c>
      <c r="M98">
        <v>-0.82777777777777772</v>
      </c>
    </row>
    <row r="99" spans="1:13" x14ac:dyDescent="0.3">
      <c r="A99" s="34" t="s">
        <v>662</v>
      </c>
      <c r="B99">
        <v>-1</v>
      </c>
      <c r="C99">
        <v>2050</v>
      </c>
      <c r="D99" s="34" t="s">
        <v>197</v>
      </c>
      <c r="E99" s="34" t="s">
        <v>198</v>
      </c>
      <c r="F99" s="34" t="s">
        <v>199</v>
      </c>
      <c r="G99" s="34" t="s">
        <v>205</v>
      </c>
      <c r="H99" s="34" t="s">
        <v>39</v>
      </c>
      <c r="I99" s="34" t="s">
        <v>19</v>
      </c>
      <c r="J99" s="34" t="s">
        <v>204</v>
      </c>
      <c r="K99" s="34" t="s">
        <v>46</v>
      </c>
      <c r="L99" s="34" t="s">
        <v>47</v>
      </c>
      <c r="M99">
        <v>0.745</v>
      </c>
    </row>
    <row r="100" spans="1:13" x14ac:dyDescent="0.3">
      <c r="A100" s="34" t="s">
        <v>662</v>
      </c>
      <c r="B100">
        <v>-1</v>
      </c>
      <c r="C100">
        <v>2050</v>
      </c>
      <c r="D100" s="34" t="s">
        <v>197</v>
      </c>
      <c r="E100" s="34" t="s">
        <v>198</v>
      </c>
      <c r="F100" s="34" t="s">
        <v>199</v>
      </c>
      <c r="G100" s="34" t="s">
        <v>205</v>
      </c>
      <c r="H100" s="34" t="s">
        <v>39</v>
      </c>
      <c r="I100" s="34" t="s">
        <v>19</v>
      </c>
      <c r="J100" s="34" t="s">
        <v>204</v>
      </c>
      <c r="K100" s="34" t="s">
        <v>48</v>
      </c>
      <c r="L100" s="34" t="s">
        <v>47</v>
      </c>
      <c r="M100">
        <v>-0.745</v>
      </c>
    </row>
    <row r="101" spans="1:13" x14ac:dyDescent="0.3">
      <c r="A101" s="34" t="s">
        <v>662</v>
      </c>
      <c r="B101">
        <v>-1</v>
      </c>
      <c r="C101">
        <v>2050</v>
      </c>
      <c r="D101" s="34" t="s">
        <v>197</v>
      </c>
      <c r="E101" s="34" t="s">
        <v>198</v>
      </c>
      <c r="F101" s="34" t="s">
        <v>199</v>
      </c>
      <c r="G101" s="34" t="s">
        <v>206</v>
      </c>
      <c r="H101" s="34" t="s">
        <v>39</v>
      </c>
      <c r="I101" s="34" t="s">
        <v>203</v>
      </c>
      <c r="J101" s="34" t="s">
        <v>204</v>
      </c>
      <c r="K101" s="34" t="s">
        <v>46</v>
      </c>
      <c r="L101" s="34" t="s">
        <v>47</v>
      </c>
      <c r="M101">
        <v>0.42777777777777776</v>
      </c>
    </row>
    <row r="102" spans="1:13" x14ac:dyDescent="0.3">
      <c r="A102" s="34" t="s">
        <v>662</v>
      </c>
      <c r="B102">
        <v>-1</v>
      </c>
      <c r="C102">
        <v>2050</v>
      </c>
      <c r="D102" s="34" t="s">
        <v>197</v>
      </c>
      <c r="E102" s="34" t="s">
        <v>198</v>
      </c>
      <c r="F102" s="34" t="s">
        <v>199</v>
      </c>
      <c r="G102" s="34" t="s">
        <v>206</v>
      </c>
      <c r="H102" s="34" t="s">
        <v>39</v>
      </c>
      <c r="I102" s="34" t="s">
        <v>203</v>
      </c>
      <c r="J102" s="34" t="s">
        <v>204</v>
      </c>
      <c r="K102" s="34" t="s">
        <v>48</v>
      </c>
      <c r="L102" s="34" t="s">
        <v>47</v>
      </c>
      <c r="M102">
        <v>-0.42777777777777776</v>
      </c>
    </row>
    <row r="103" spans="1:13" x14ac:dyDescent="0.3">
      <c r="A103" s="34" t="s">
        <v>662</v>
      </c>
      <c r="B103">
        <v>-1</v>
      </c>
      <c r="C103">
        <v>2050</v>
      </c>
      <c r="D103" s="34" t="s">
        <v>197</v>
      </c>
      <c r="E103" s="34" t="s">
        <v>198</v>
      </c>
      <c r="F103" s="34" t="s">
        <v>199</v>
      </c>
      <c r="G103" s="34" t="s">
        <v>206</v>
      </c>
      <c r="H103" s="34" t="s">
        <v>39</v>
      </c>
      <c r="I103" s="34" t="s">
        <v>19</v>
      </c>
      <c r="J103" s="34" t="s">
        <v>204</v>
      </c>
      <c r="K103" s="34" t="s">
        <v>46</v>
      </c>
      <c r="L103" s="34" t="s">
        <v>47</v>
      </c>
      <c r="M103">
        <v>0.38500000000000001</v>
      </c>
    </row>
    <row r="104" spans="1:13" x14ac:dyDescent="0.3">
      <c r="A104" s="34" t="s">
        <v>662</v>
      </c>
      <c r="B104">
        <v>-1</v>
      </c>
      <c r="C104">
        <v>2050</v>
      </c>
      <c r="D104" s="34" t="s">
        <v>197</v>
      </c>
      <c r="E104" s="34" t="s">
        <v>198</v>
      </c>
      <c r="F104" s="34" t="s">
        <v>199</v>
      </c>
      <c r="G104" s="34" t="s">
        <v>206</v>
      </c>
      <c r="H104" s="34" t="s">
        <v>39</v>
      </c>
      <c r="I104" s="34" t="s">
        <v>19</v>
      </c>
      <c r="J104" s="34" t="s">
        <v>204</v>
      </c>
      <c r="K104" s="34" t="s">
        <v>48</v>
      </c>
      <c r="L104" s="34" t="s">
        <v>47</v>
      </c>
      <c r="M104">
        <v>-0.38500000000000001</v>
      </c>
    </row>
    <row r="105" spans="1:13" x14ac:dyDescent="0.3">
      <c r="A105" s="34" t="s">
        <v>662</v>
      </c>
      <c r="B105">
        <v>-1</v>
      </c>
      <c r="C105">
        <v>2050</v>
      </c>
      <c r="D105" s="34" t="s">
        <v>197</v>
      </c>
      <c r="E105" s="34" t="s">
        <v>198</v>
      </c>
      <c r="F105" s="34" t="s">
        <v>199</v>
      </c>
      <c r="G105" s="34" t="s">
        <v>207</v>
      </c>
      <c r="H105" s="34" t="s">
        <v>40</v>
      </c>
      <c r="I105" s="34" t="s">
        <v>203</v>
      </c>
      <c r="J105" s="34" t="s">
        <v>204</v>
      </c>
      <c r="K105" s="34" t="s">
        <v>46</v>
      </c>
      <c r="L105" s="34" t="s">
        <v>47</v>
      </c>
      <c r="M105">
        <v>0.45057471264367815</v>
      </c>
    </row>
    <row r="106" spans="1:13" x14ac:dyDescent="0.3">
      <c r="A106" s="34" t="s">
        <v>662</v>
      </c>
      <c r="B106">
        <v>-1</v>
      </c>
      <c r="C106">
        <v>2050</v>
      </c>
      <c r="D106" s="34" t="s">
        <v>197</v>
      </c>
      <c r="E106" s="34" t="s">
        <v>198</v>
      </c>
      <c r="F106" s="34" t="s">
        <v>199</v>
      </c>
      <c r="G106" s="34" t="s">
        <v>207</v>
      </c>
      <c r="H106" s="34" t="s">
        <v>40</v>
      </c>
      <c r="I106" s="34" t="s">
        <v>203</v>
      </c>
      <c r="J106" s="34" t="s">
        <v>204</v>
      </c>
      <c r="K106" s="34" t="s">
        <v>48</v>
      </c>
      <c r="L106" s="34" t="s">
        <v>47</v>
      </c>
      <c r="M106">
        <v>-0.45057471264367815</v>
      </c>
    </row>
    <row r="107" spans="1:13" x14ac:dyDescent="0.3">
      <c r="A107" s="34" t="s">
        <v>662</v>
      </c>
      <c r="B107">
        <v>-1</v>
      </c>
      <c r="C107">
        <v>2050</v>
      </c>
      <c r="D107" s="34" t="s">
        <v>197</v>
      </c>
      <c r="E107" s="34" t="s">
        <v>198</v>
      </c>
      <c r="F107" s="34" t="s">
        <v>199</v>
      </c>
      <c r="G107" s="34" t="s">
        <v>207</v>
      </c>
      <c r="H107" s="34" t="s">
        <v>40</v>
      </c>
      <c r="I107" s="34" t="s">
        <v>19</v>
      </c>
      <c r="J107" s="34" t="s">
        <v>204</v>
      </c>
      <c r="K107" s="34" t="s">
        <v>46</v>
      </c>
      <c r="L107" s="34" t="s">
        <v>47</v>
      </c>
      <c r="M107">
        <v>0.39200000000000002</v>
      </c>
    </row>
    <row r="108" spans="1:13" x14ac:dyDescent="0.3">
      <c r="A108" s="34" t="s">
        <v>662</v>
      </c>
      <c r="B108">
        <v>-1</v>
      </c>
      <c r="C108">
        <v>2050</v>
      </c>
      <c r="D108" s="34" t="s">
        <v>197</v>
      </c>
      <c r="E108" s="34" t="s">
        <v>198</v>
      </c>
      <c r="F108" s="34" t="s">
        <v>199</v>
      </c>
      <c r="G108" s="34" t="s">
        <v>207</v>
      </c>
      <c r="H108" s="34" t="s">
        <v>40</v>
      </c>
      <c r="I108" s="34" t="s">
        <v>19</v>
      </c>
      <c r="J108" s="34" t="s">
        <v>204</v>
      </c>
      <c r="K108" s="34" t="s">
        <v>48</v>
      </c>
      <c r="L108" s="34" t="s">
        <v>47</v>
      </c>
      <c r="M108">
        <v>-0.39200000000000002</v>
      </c>
    </row>
    <row r="109" spans="1:13" x14ac:dyDescent="0.3">
      <c r="A109" s="34" t="s">
        <v>662</v>
      </c>
      <c r="B109">
        <v>-1</v>
      </c>
      <c r="C109">
        <v>2050</v>
      </c>
      <c r="D109" s="34" t="s">
        <v>197</v>
      </c>
      <c r="E109" s="34" t="s">
        <v>198</v>
      </c>
      <c r="F109" s="34" t="s">
        <v>199</v>
      </c>
      <c r="G109" s="34" t="s">
        <v>11</v>
      </c>
      <c r="H109" s="34" t="s">
        <v>12</v>
      </c>
      <c r="I109" s="34" t="s">
        <v>13</v>
      </c>
      <c r="J109" s="34" t="s">
        <v>14</v>
      </c>
      <c r="K109" s="34" t="s">
        <v>46</v>
      </c>
      <c r="L109" s="34" t="s">
        <v>47</v>
      </c>
      <c r="M109">
        <v>4.7449999999999966</v>
      </c>
    </row>
    <row r="110" spans="1:13" x14ac:dyDescent="0.3">
      <c r="A110" s="34" t="s">
        <v>662</v>
      </c>
      <c r="B110">
        <v>-1</v>
      </c>
      <c r="C110">
        <v>2050</v>
      </c>
      <c r="D110" s="34" t="s">
        <v>197</v>
      </c>
      <c r="E110" s="34" t="s">
        <v>198</v>
      </c>
      <c r="F110" s="34" t="s">
        <v>199</v>
      </c>
      <c r="G110" s="34" t="s">
        <v>11</v>
      </c>
      <c r="H110" s="34" t="s">
        <v>12</v>
      </c>
      <c r="I110" s="34" t="s">
        <v>13</v>
      </c>
      <c r="J110" s="34" t="s">
        <v>14</v>
      </c>
      <c r="K110" s="34" t="s">
        <v>48</v>
      </c>
      <c r="L110" s="34" t="s">
        <v>47</v>
      </c>
      <c r="M110">
        <v>-3.3064064658263477</v>
      </c>
    </row>
    <row r="111" spans="1:13" x14ac:dyDescent="0.3">
      <c r="A111" s="34" t="s">
        <v>662</v>
      </c>
      <c r="B111">
        <v>-1</v>
      </c>
      <c r="C111">
        <v>2050</v>
      </c>
      <c r="D111" s="34" t="s">
        <v>197</v>
      </c>
      <c r="E111" s="34" t="s">
        <v>198</v>
      </c>
      <c r="F111" s="34" t="s">
        <v>199</v>
      </c>
      <c r="G111" s="34" t="s">
        <v>392</v>
      </c>
      <c r="H111" s="34" t="s">
        <v>13</v>
      </c>
      <c r="I111" s="34" t="s">
        <v>13</v>
      </c>
      <c r="J111" s="34" t="s">
        <v>17</v>
      </c>
      <c r="K111" s="34" t="s">
        <v>49</v>
      </c>
      <c r="L111" s="34" t="s">
        <v>47</v>
      </c>
      <c r="M111">
        <v>12.726484583571649</v>
      </c>
    </row>
    <row r="112" spans="1:13" x14ac:dyDescent="0.3">
      <c r="A112" s="34" t="s">
        <v>662</v>
      </c>
      <c r="B112">
        <v>-1</v>
      </c>
      <c r="C112">
        <v>2050</v>
      </c>
      <c r="D112" s="34" t="s">
        <v>197</v>
      </c>
      <c r="E112" s="34" t="s">
        <v>198</v>
      </c>
      <c r="F112" s="34" t="s">
        <v>199</v>
      </c>
      <c r="G112" s="34" t="s">
        <v>41</v>
      </c>
      <c r="H112" s="34" t="s">
        <v>40</v>
      </c>
      <c r="I112" s="34" t="s">
        <v>13</v>
      </c>
      <c r="J112" s="34" t="s">
        <v>42</v>
      </c>
      <c r="K112" s="34" t="s">
        <v>46</v>
      </c>
      <c r="L112" s="34" t="s">
        <v>47</v>
      </c>
      <c r="M112">
        <v>0.15769997558254309</v>
      </c>
    </row>
    <row r="113" spans="1:13" x14ac:dyDescent="0.3">
      <c r="A113" s="34" t="s">
        <v>662</v>
      </c>
      <c r="B113">
        <v>-1</v>
      </c>
      <c r="C113">
        <v>2050</v>
      </c>
      <c r="D113" s="34" t="s">
        <v>197</v>
      </c>
      <c r="E113" s="34" t="s">
        <v>198</v>
      </c>
      <c r="F113" s="34" t="s">
        <v>199</v>
      </c>
      <c r="G113" s="34" t="s">
        <v>41</v>
      </c>
      <c r="H113" s="34" t="s">
        <v>40</v>
      </c>
      <c r="I113" s="34" t="s">
        <v>13</v>
      </c>
      <c r="J113" s="34" t="s">
        <v>42</v>
      </c>
      <c r="K113" s="34" t="s">
        <v>48</v>
      </c>
      <c r="L113" s="34" t="s">
        <v>47</v>
      </c>
      <c r="M113">
        <v>-0.15769997558254309</v>
      </c>
    </row>
    <row r="114" spans="1:13" x14ac:dyDescent="0.3">
      <c r="A114" s="34" t="s">
        <v>662</v>
      </c>
      <c r="B114">
        <v>-1</v>
      </c>
      <c r="C114">
        <v>2050</v>
      </c>
      <c r="D114" s="34" t="s">
        <v>197</v>
      </c>
      <c r="E114" s="34" t="s">
        <v>198</v>
      </c>
      <c r="F114" s="34" t="s">
        <v>199</v>
      </c>
      <c r="G114" s="34" t="s">
        <v>208</v>
      </c>
      <c r="H114" s="34" t="s">
        <v>209</v>
      </c>
      <c r="I114" s="34" t="s">
        <v>210</v>
      </c>
      <c r="J114" s="34" t="s">
        <v>211</v>
      </c>
      <c r="K114" s="34" t="s">
        <v>46</v>
      </c>
      <c r="L114" s="34" t="s">
        <v>47</v>
      </c>
      <c r="M114">
        <v>0.91</v>
      </c>
    </row>
    <row r="115" spans="1:13" x14ac:dyDescent="0.3">
      <c r="A115" s="34" t="s">
        <v>662</v>
      </c>
      <c r="B115">
        <v>-1</v>
      </c>
      <c r="C115">
        <v>2050</v>
      </c>
      <c r="D115" s="34" t="s">
        <v>197</v>
      </c>
      <c r="E115" s="34" t="s">
        <v>198</v>
      </c>
      <c r="F115" s="34" t="s">
        <v>199</v>
      </c>
      <c r="G115" s="34" t="s">
        <v>208</v>
      </c>
      <c r="H115" s="34" t="s">
        <v>209</v>
      </c>
      <c r="I115" s="34" t="s">
        <v>210</v>
      </c>
      <c r="J115" s="34" t="s">
        <v>211</v>
      </c>
      <c r="K115" s="34" t="s">
        <v>48</v>
      </c>
      <c r="L115" s="34" t="s">
        <v>47</v>
      </c>
      <c r="M115">
        <v>-0.91</v>
      </c>
    </row>
    <row r="116" spans="1:13" x14ac:dyDescent="0.3">
      <c r="A116" s="34" t="s">
        <v>662</v>
      </c>
      <c r="B116">
        <v>-1</v>
      </c>
      <c r="C116">
        <v>2050</v>
      </c>
      <c r="D116" s="34" t="s">
        <v>197</v>
      </c>
      <c r="E116" s="34" t="s">
        <v>198</v>
      </c>
      <c r="F116" s="34" t="s">
        <v>212</v>
      </c>
      <c r="G116" s="34" t="s">
        <v>213</v>
      </c>
      <c r="H116" s="34" t="s">
        <v>201</v>
      </c>
      <c r="I116" s="34" t="s">
        <v>19</v>
      </c>
      <c r="J116" s="34" t="s">
        <v>27</v>
      </c>
      <c r="K116" s="34" t="s">
        <v>46</v>
      </c>
      <c r="L116" s="34" t="s">
        <v>47</v>
      </c>
      <c r="M116">
        <v>4.5000000000000004E-4</v>
      </c>
    </row>
    <row r="117" spans="1:13" x14ac:dyDescent="0.3">
      <c r="A117" s="34" t="s">
        <v>662</v>
      </c>
      <c r="B117">
        <v>-1</v>
      </c>
      <c r="C117">
        <v>2050</v>
      </c>
      <c r="D117" s="34" t="s">
        <v>197</v>
      </c>
      <c r="E117" s="34" t="s">
        <v>198</v>
      </c>
      <c r="F117" s="34" t="s">
        <v>212</v>
      </c>
      <c r="G117" s="34" t="s">
        <v>213</v>
      </c>
      <c r="H117" s="34" t="s">
        <v>201</v>
      </c>
      <c r="I117" s="34" t="s">
        <v>19</v>
      </c>
      <c r="J117" s="34" t="s">
        <v>27</v>
      </c>
      <c r="K117" s="34" t="s">
        <v>48</v>
      </c>
      <c r="L117" s="34" t="s">
        <v>47</v>
      </c>
      <c r="M117">
        <v>-4.4999999999999999E-4</v>
      </c>
    </row>
    <row r="118" spans="1:13" x14ac:dyDescent="0.3">
      <c r="A118" s="34" t="s">
        <v>662</v>
      </c>
      <c r="B118">
        <v>-1</v>
      </c>
      <c r="C118">
        <v>2050</v>
      </c>
      <c r="D118" s="34" t="s">
        <v>197</v>
      </c>
      <c r="E118" s="34" t="s">
        <v>198</v>
      </c>
      <c r="F118" s="34" t="s">
        <v>212</v>
      </c>
      <c r="G118" s="34" t="s">
        <v>214</v>
      </c>
      <c r="H118" s="34" t="s">
        <v>201</v>
      </c>
      <c r="I118" s="34" t="s">
        <v>19</v>
      </c>
      <c r="J118" s="34" t="s">
        <v>27</v>
      </c>
      <c r="K118" s="34" t="s">
        <v>46</v>
      </c>
      <c r="L118" s="34" t="s">
        <v>47</v>
      </c>
      <c r="M118">
        <v>1.9000000000000001E-4</v>
      </c>
    </row>
    <row r="119" spans="1:13" x14ac:dyDescent="0.3">
      <c r="A119" s="34" t="s">
        <v>662</v>
      </c>
      <c r="B119">
        <v>-1</v>
      </c>
      <c r="C119">
        <v>2050</v>
      </c>
      <c r="D119" s="34" t="s">
        <v>197</v>
      </c>
      <c r="E119" s="34" t="s">
        <v>198</v>
      </c>
      <c r="F119" s="34" t="s">
        <v>212</v>
      </c>
      <c r="G119" s="34" t="s">
        <v>214</v>
      </c>
      <c r="H119" s="34" t="s">
        <v>201</v>
      </c>
      <c r="I119" s="34" t="s">
        <v>19</v>
      </c>
      <c r="J119" s="34" t="s">
        <v>27</v>
      </c>
      <c r="K119" s="34" t="s">
        <v>48</v>
      </c>
      <c r="L119" s="34" t="s">
        <v>47</v>
      </c>
      <c r="M119">
        <v>-1.9000000000000001E-4</v>
      </c>
    </row>
    <row r="120" spans="1:13" x14ac:dyDescent="0.3">
      <c r="A120" s="34" t="s">
        <v>662</v>
      </c>
      <c r="B120">
        <v>-1</v>
      </c>
      <c r="C120">
        <v>2050</v>
      </c>
      <c r="D120" s="34" t="s">
        <v>197</v>
      </c>
      <c r="E120" s="34" t="s">
        <v>198</v>
      </c>
      <c r="F120" s="34" t="s">
        <v>212</v>
      </c>
      <c r="G120" s="34" t="s">
        <v>215</v>
      </c>
      <c r="H120" s="34" t="s">
        <v>201</v>
      </c>
      <c r="I120" s="34" t="s">
        <v>19</v>
      </c>
      <c r="J120" s="34" t="s">
        <v>27</v>
      </c>
      <c r="K120" s="34" t="s">
        <v>46</v>
      </c>
      <c r="L120" s="34" t="s">
        <v>47</v>
      </c>
      <c r="M120">
        <v>1.1800000000000001E-3</v>
      </c>
    </row>
    <row r="121" spans="1:13" x14ac:dyDescent="0.3">
      <c r="A121" s="34" t="s">
        <v>662</v>
      </c>
      <c r="B121">
        <v>-1</v>
      </c>
      <c r="C121">
        <v>2050</v>
      </c>
      <c r="D121" s="34" t="s">
        <v>197</v>
      </c>
      <c r="E121" s="34" t="s">
        <v>198</v>
      </c>
      <c r="F121" s="34" t="s">
        <v>212</v>
      </c>
      <c r="G121" s="34" t="s">
        <v>215</v>
      </c>
      <c r="H121" s="34" t="s">
        <v>201</v>
      </c>
      <c r="I121" s="34" t="s">
        <v>19</v>
      </c>
      <c r="J121" s="34" t="s">
        <v>27</v>
      </c>
      <c r="K121" s="34" t="s">
        <v>48</v>
      </c>
      <c r="L121" s="34" t="s">
        <v>47</v>
      </c>
      <c r="M121">
        <v>-1.1800000000000001E-3</v>
      </c>
    </row>
    <row r="122" spans="1:13" x14ac:dyDescent="0.3">
      <c r="A122" s="34" t="s">
        <v>662</v>
      </c>
      <c r="B122">
        <v>-1</v>
      </c>
      <c r="C122">
        <v>2050</v>
      </c>
      <c r="D122" s="34" t="s">
        <v>197</v>
      </c>
      <c r="E122" s="34" t="s">
        <v>198</v>
      </c>
      <c r="F122" s="34" t="s">
        <v>216</v>
      </c>
      <c r="G122" s="34" t="s">
        <v>217</v>
      </c>
      <c r="H122" s="34" t="s">
        <v>201</v>
      </c>
      <c r="I122" s="34" t="s">
        <v>19</v>
      </c>
      <c r="J122" s="34" t="s">
        <v>27</v>
      </c>
      <c r="K122" s="34" t="s">
        <v>46</v>
      </c>
      <c r="L122" s="34" t="s">
        <v>47</v>
      </c>
      <c r="M122">
        <v>1.3600000000000001E-3</v>
      </c>
    </row>
    <row r="123" spans="1:13" x14ac:dyDescent="0.3">
      <c r="A123" s="34" t="s">
        <v>662</v>
      </c>
      <c r="B123">
        <v>-1</v>
      </c>
      <c r="C123">
        <v>2050</v>
      </c>
      <c r="D123" s="34" t="s">
        <v>197</v>
      </c>
      <c r="E123" s="34" t="s">
        <v>198</v>
      </c>
      <c r="F123" s="34" t="s">
        <v>216</v>
      </c>
      <c r="G123" s="34" t="s">
        <v>217</v>
      </c>
      <c r="H123" s="34" t="s">
        <v>201</v>
      </c>
      <c r="I123" s="34" t="s">
        <v>19</v>
      </c>
      <c r="J123" s="34" t="s">
        <v>27</v>
      </c>
      <c r="K123" s="34" t="s">
        <v>48</v>
      </c>
      <c r="L123" s="34" t="s">
        <v>47</v>
      </c>
      <c r="M123">
        <v>-1.3600000000000001E-3</v>
      </c>
    </row>
    <row r="124" spans="1:13" x14ac:dyDescent="0.3">
      <c r="A124" s="34" t="s">
        <v>662</v>
      </c>
      <c r="B124">
        <v>-1</v>
      </c>
      <c r="C124">
        <v>2050</v>
      </c>
      <c r="D124" s="34" t="s">
        <v>197</v>
      </c>
      <c r="E124" s="34" t="s">
        <v>198</v>
      </c>
      <c r="F124" s="34" t="s">
        <v>216</v>
      </c>
      <c r="G124" s="34" t="s">
        <v>218</v>
      </c>
      <c r="H124" s="34" t="s">
        <v>201</v>
      </c>
      <c r="I124" s="34" t="s">
        <v>19</v>
      </c>
      <c r="J124" s="34" t="s">
        <v>27</v>
      </c>
      <c r="K124" s="34" t="s">
        <v>46</v>
      </c>
      <c r="L124" s="34" t="s">
        <v>47</v>
      </c>
      <c r="M124">
        <v>6.9999999999999999E-4</v>
      </c>
    </row>
    <row r="125" spans="1:13" x14ac:dyDescent="0.3">
      <c r="A125" s="34" t="s">
        <v>662</v>
      </c>
      <c r="B125">
        <v>-1</v>
      </c>
      <c r="C125">
        <v>2050</v>
      </c>
      <c r="D125" s="34" t="s">
        <v>197</v>
      </c>
      <c r="E125" s="34" t="s">
        <v>198</v>
      </c>
      <c r="F125" s="34" t="s">
        <v>216</v>
      </c>
      <c r="G125" s="34" t="s">
        <v>218</v>
      </c>
      <c r="H125" s="34" t="s">
        <v>201</v>
      </c>
      <c r="I125" s="34" t="s">
        <v>19</v>
      </c>
      <c r="J125" s="34" t="s">
        <v>27</v>
      </c>
      <c r="K125" s="34" t="s">
        <v>48</v>
      </c>
      <c r="L125" s="34" t="s">
        <v>47</v>
      </c>
      <c r="M125">
        <v>-6.9999999999999999E-4</v>
      </c>
    </row>
    <row r="126" spans="1:13" x14ac:dyDescent="0.3">
      <c r="A126" s="34" t="s">
        <v>662</v>
      </c>
      <c r="B126">
        <v>-1</v>
      </c>
      <c r="C126">
        <v>2050</v>
      </c>
      <c r="D126" s="34" t="s">
        <v>197</v>
      </c>
      <c r="E126" s="34" t="s">
        <v>198</v>
      </c>
      <c r="F126" s="34" t="s">
        <v>216</v>
      </c>
      <c r="G126" s="34" t="s">
        <v>219</v>
      </c>
      <c r="H126" s="34" t="s">
        <v>201</v>
      </c>
      <c r="I126" s="34" t="s">
        <v>19</v>
      </c>
      <c r="J126" s="34" t="s">
        <v>27</v>
      </c>
      <c r="K126" s="34" t="s">
        <v>46</v>
      </c>
      <c r="L126" s="34" t="s">
        <v>47</v>
      </c>
      <c r="M126">
        <v>5.6000000000000006E-4</v>
      </c>
    </row>
    <row r="127" spans="1:13" x14ac:dyDescent="0.3">
      <c r="A127" s="34" t="s">
        <v>662</v>
      </c>
      <c r="B127">
        <v>-1</v>
      </c>
      <c r="C127">
        <v>2050</v>
      </c>
      <c r="D127" s="34" t="s">
        <v>197</v>
      </c>
      <c r="E127" s="34" t="s">
        <v>198</v>
      </c>
      <c r="F127" s="34" t="s">
        <v>216</v>
      </c>
      <c r="G127" s="34" t="s">
        <v>219</v>
      </c>
      <c r="H127" s="34" t="s">
        <v>201</v>
      </c>
      <c r="I127" s="34" t="s">
        <v>19</v>
      </c>
      <c r="J127" s="34" t="s">
        <v>27</v>
      </c>
      <c r="K127" s="34" t="s">
        <v>48</v>
      </c>
      <c r="L127" s="34" t="s">
        <v>47</v>
      </c>
      <c r="M127">
        <v>-5.6000000000000006E-4</v>
      </c>
    </row>
    <row r="128" spans="1:13" x14ac:dyDescent="0.3">
      <c r="A128" s="34" t="s">
        <v>662</v>
      </c>
      <c r="B128">
        <v>-1</v>
      </c>
      <c r="C128">
        <v>2050</v>
      </c>
      <c r="D128" s="34" t="s">
        <v>197</v>
      </c>
      <c r="E128" s="34" t="s">
        <v>198</v>
      </c>
      <c r="F128" s="34" t="s">
        <v>220</v>
      </c>
      <c r="G128" s="34" t="s">
        <v>219</v>
      </c>
      <c r="H128" s="34" t="s">
        <v>201</v>
      </c>
      <c r="I128" s="34" t="s">
        <v>19</v>
      </c>
      <c r="J128" s="34" t="s">
        <v>27</v>
      </c>
      <c r="K128" s="34" t="s">
        <v>46</v>
      </c>
      <c r="L128" s="34" t="s">
        <v>47</v>
      </c>
      <c r="M128">
        <v>2.0399999999999998E-2</v>
      </c>
    </row>
    <row r="129" spans="1:13" x14ac:dyDescent="0.3">
      <c r="A129" s="34" t="s">
        <v>662</v>
      </c>
      <c r="B129">
        <v>-1</v>
      </c>
      <c r="C129">
        <v>2050</v>
      </c>
      <c r="D129" s="34" t="s">
        <v>197</v>
      </c>
      <c r="E129" s="34" t="s">
        <v>198</v>
      </c>
      <c r="F129" s="34" t="s">
        <v>220</v>
      </c>
      <c r="G129" s="34" t="s">
        <v>219</v>
      </c>
      <c r="H129" s="34" t="s">
        <v>201</v>
      </c>
      <c r="I129" s="34" t="s">
        <v>19</v>
      </c>
      <c r="J129" s="34" t="s">
        <v>27</v>
      </c>
      <c r="K129" s="34" t="s">
        <v>48</v>
      </c>
      <c r="L129" s="34" t="s">
        <v>47</v>
      </c>
      <c r="M129">
        <v>-2.0399999999999998E-2</v>
      </c>
    </row>
    <row r="130" spans="1:13" x14ac:dyDescent="0.3">
      <c r="A130" s="34" t="s">
        <v>662</v>
      </c>
      <c r="B130">
        <v>-1</v>
      </c>
      <c r="C130">
        <v>2050</v>
      </c>
      <c r="D130" s="34" t="s">
        <v>197</v>
      </c>
      <c r="E130" s="34" t="s">
        <v>198</v>
      </c>
      <c r="F130" s="34" t="s">
        <v>220</v>
      </c>
      <c r="G130" s="34" t="s">
        <v>221</v>
      </c>
      <c r="H130" s="34" t="s">
        <v>40</v>
      </c>
      <c r="I130" s="34" t="s">
        <v>19</v>
      </c>
      <c r="J130" s="34" t="s">
        <v>27</v>
      </c>
      <c r="K130" s="34" t="s">
        <v>46</v>
      </c>
      <c r="L130" s="34" t="s">
        <v>47</v>
      </c>
      <c r="M130">
        <v>4.0799999999999996E-2</v>
      </c>
    </row>
    <row r="131" spans="1:13" x14ac:dyDescent="0.3">
      <c r="A131" s="34" t="s">
        <v>662</v>
      </c>
      <c r="B131">
        <v>-1</v>
      </c>
      <c r="C131">
        <v>2050</v>
      </c>
      <c r="D131" s="34" t="s">
        <v>197</v>
      </c>
      <c r="E131" s="34" t="s">
        <v>198</v>
      </c>
      <c r="F131" s="34" t="s">
        <v>220</v>
      </c>
      <c r="G131" s="34" t="s">
        <v>221</v>
      </c>
      <c r="H131" s="34" t="s">
        <v>40</v>
      </c>
      <c r="I131" s="34" t="s">
        <v>19</v>
      </c>
      <c r="J131" s="34" t="s">
        <v>27</v>
      </c>
      <c r="K131" s="34" t="s">
        <v>48</v>
      </c>
      <c r="L131" s="34" t="s">
        <v>47</v>
      </c>
      <c r="M131">
        <v>-4.0799999999999996E-2</v>
      </c>
    </row>
    <row r="132" spans="1:13" x14ac:dyDescent="0.3">
      <c r="A132" s="34" t="s">
        <v>662</v>
      </c>
      <c r="B132">
        <v>-1</v>
      </c>
      <c r="C132">
        <v>2050</v>
      </c>
      <c r="D132" s="34" t="s">
        <v>197</v>
      </c>
      <c r="E132" s="34" t="s">
        <v>198</v>
      </c>
      <c r="F132" s="34" t="s">
        <v>220</v>
      </c>
      <c r="G132" s="34" t="s">
        <v>180</v>
      </c>
      <c r="H132" s="34" t="s">
        <v>18</v>
      </c>
      <c r="I132" s="34" t="s">
        <v>19</v>
      </c>
      <c r="J132" s="34" t="s">
        <v>181</v>
      </c>
      <c r="K132" s="34" t="s">
        <v>46</v>
      </c>
      <c r="L132" s="34" t="s">
        <v>47</v>
      </c>
      <c r="M132">
        <v>6.9400000000000009E-3</v>
      </c>
    </row>
    <row r="133" spans="1:13" x14ac:dyDescent="0.3">
      <c r="A133" s="34" t="s">
        <v>662</v>
      </c>
      <c r="B133">
        <v>-1</v>
      </c>
      <c r="C133">
        <v>2050</v>
      </c>
      <c r="D133" s="34" t="s">
        <v>197</v>
      </c>
      <c r="E133" s="34" t="s">
        <v>198</v>
      </c>
      <c r="F133" s="34" t="s">
        <v>224</v>
      </c>
      <c r="G133" s="34" t="s">
        <v>225</v>
      </c>
      <c r="H133" s="34" t="s">
        <v>209</v>
      </c>
      <c r="I133" s="34" t="s">
        <v>19</v>
      </c>
      <c r="J133" s="34" t="s">
        <v>27</v>
      </c>
      <c r="K133" s="34" t="s">
        <v>46</v>
      </c>
      <c r="L133" s="34" t="s">
        <v>47</v>
      </c>
      <c r="M133">
        <v>1.4E-3</v>
      </c>
    </row>
    <row r="134" spans="1:13" x14ac:dyDescent="0.3">
      <c r="A134" s="34" t="s">
        <v>662</v>
      </c>
      <c r="B134">
        <v>-1</v>
      </c>
      <c r="C134">
        <v>2050</v>
      </c>
      <c r="D134" s="34" t="s">
        <v>197</v>
      </c>
      <c r="E134" s="34" t="s">
        <v>198</v>
      </c>
      <c r="F134" s="34" t="s">
        <v>224</v>
      </c>
      <c r="G134" s="34" t="s">
        <v>225</v>
      </c>
      <c r="H134" s="34" t="s">
        <v>209</v>
      </c>
      <c r="I134" s="34" t="s">
        <v>19</v>
      </c>
      <c r="J134" s="34" t="s">
        <v>27</v>
      </c>
      <c r="K134" s="34" t="s">
        <v>48</v>
      </c>
      <c r="L134" s="34" t="s">
        <v>47</v>
      </c>
      <c r="M134">
        <v>-1.4E-3</v>
      </c>
    </row>
    <row r="135" spans="1:13" x14ac:dyDescent="0.3">
      <c r="A135" s="34" t="s">
        <v>662</v>
      </c>
      <c r="B135">
        <v>-1</v>
      </c>
      <c r="C135">
        <v>2050</v>
      </c>
      <c r="D135" s="34" t="s">
        <v>197</v>
      </c>
      <c r="E135" s="34" t="s">
        <v>198</v>
      </c>
      <c r="F135" s="34" t="s">
        <v>224</v>
      </c>
      <c r="G135" s="34" t="s">
        <v>226</v>
      </c>
      <c r="H135" s="34" t="s">
        <v>209</v>
      </c>
      <c r="I135" s="34" t="s">
        <v>19</v>
      </c>
      <c r="J135" s="34" t="s">
        <v>27</v>
      </c>
      <c r="K135" s="34" t="s">
        <v>46</v>
      </c>
      <c r="L135" s="34" t="s">
        <v>47</v>
      </c>
      <c r="M135">
        <v>3.5E-4</v>
      </c>
    </row>
    <row r="136" spans="1:13" x14ac:dyDescent="0.3">
      <c r="A136" s="34" t="s">
        <v>662</v>
      </c>
      <c r="B136">
        <v>-1</v>
      </c>
      <c r="C136">
        <v>2050</v>
      </c>
      <c r="D136" s="34" t="s">
        <v>197</v>
      </c>
      <c r="E136" s="34" t="s">
        <v>198</v>
      </c>
      <c r="F136" s="34" t="s">
        <v>224</v>
      </c>
      <c r="G136" s="34" t="s">
        <v>226</v>
      </c>
      <c r="H136" s="34" t="s">
        <v>209</v>
      </c>
      <c r="I136" s="34" t="s">
        <v>19</v>
      </c>
      <c r="J136" s="34" t="s">
        <v>27</v>
      </c>
      <c r="K136" s="34" t="s">
        <v>48</v>
      </c>
      <c r="L136" s="34" t="s">
        <v>47</v>
      </c>
      <c r="M136">
        <v>-3.5E-4</v>
      </c>
    </row>
    <row r="137" spans="1:13" x14ac:dyDescent="0.3">
      <c r="A137" s="34" t="s">
        <v>662</v>
      </c>
      <c r="B137">
        <v>-1</v>
      </c>
      <c r="C137">
        <v>2050</v>
      </c>
      <c r="D137" s="34" t="s">
        <v>197</v>
      </c>
      <c r="E137" s="34" t="s">
        <v>198</v>
      </c>
      <c r="F137" s="34" t="s">
        <v>224</v>
      </c>
      <c r="G137" s="34" t="s">
        <v>227</v>
      </c>
      <c r="H137" s="34" t="s">
        <v>201</v>
      </c>
      <c r="I137" s="34" t="s">
        <v>19</v>
      </c>
      <c r="J137" s="34" t="s">
        <v>27</v>
      </c>
      <c r="K137" s="34" t="s">
        <v>46</v>
      </c>
      <c r="L137" s="34" t="s">
        <v>47</v>
      </c>
      <c r="M137">
        <v>5.0000000000000001E-4</v>
      </c>
    </row>
    <row r="138" spans="1:13" x14ac:dyDescent="0.3">
      <c r="A138" s="34" t="s">
        <v>662</v>
      </c>
      <c r="B138">
        <v>-1</v>
      </c>
      <c r="C138">
        <v>2050</v>
      </c>
      <c r="D138" s="34" t="s">
        <v>197</v>
      </c>
      <c r="E138" s="34" t="s">
        <v>198</v>
      </c>
      <c r="F138" s="34" t="s">
        <v>224</v>
      </c>
      <c r="G138" s="34" t="s">
        <v>227</v>
      </c>
      <c r="H138" s="34" t="s">
        <v>201</v>
      </c>
      <c r="I138" s="34" t="s">
        <v>19</v>
      </c>
      <c r="J138" s="34" t="s">
        <v>27</v>
      </c>
      <c r="K138" s="34" t="s">
        <v>48</v>
      </c>
      <c r="L138" s="34" t="s">
        <v>47</v>
      </c>
      <c r="M138">
        <v>-5.0000000000000001E-4</v>
      </c>
    </row>
    <row r="139" spans="1:13" x14ac:dyDescent="0.3">
      <c r="A139" s="34" t="s">
        <v>662</v>
      </c>
      <c r="B139">
        <v>-1</v>
      </c>
      <c r="C139">
        <v>2050</v>
      </c>
      <c r="D139" s="34" t="s">
        <v>197</v>
      </c>
      <c r="E139" s="34" t="s">
        <v>198</v>
      </c>
      <c r="F139" s="34" t="s">
        <v>224</v>
      </c>
      <c r="G139" s="34" t="s">
        <v>228</v>
      </c>
      <c r="H139" s="34" t="s">
        <v>201</v>
      </c>
      <c r="I139" s="34" t="s">
        <v>19</v>
      </c>
      <c r="J139" s="34" t="s">
        <v>27</v>
      </c>
      <c r="K139" s="34" t="s">
        <v>46</v>
      </c>
      <c r="L139" s="34" t="s">
        <v>47</v>
      </c>
      <c r="M139">
        <v>7.1999999999999994E-4</v>
      </c>
    </row>
    <row r="140" spans="1:13" x14ac:dyDescent="0.3">
      <c r="A140" s="34" t="s">
        <v>662</v>
      </c>
      <c r="B140">
        <v>-1</v>
      </c>
      <c r="C140">
        <v>2050</v>
      </c>
      <c r="D140" s="34" t="s">
        <v>197</v>
      </c>
      <c r="E140" s="34" t="s">
        <v>198</v>
      </c>
      <c r="F140" s="34" t="s">
        <v>224</v>
      </c>
      <c r="G140" s="34" t="s">
        <v>228</v>
      </c>
      <c r="H140" s="34" t="s">
        <v>201</v>
      </c>
      <c r="I140" s="34" t="s">
        <v>19</v>
      </c>
      <c r="J140" s="34" t="s">
        <v>27</v>
      </c>
      <c r="K140" s="34" t="s">
        <v>48</v>
      </c>
      <c r="L140" s="34" t="s">
        <v>47</v>
      </c>
      <c r="M140">
        <v>-7.1999999999999994E-4</v>
      </c>
    </row>
    <row r="141" spans="1:13" x14ac:dyDescent="0.3">
      <c r="A141" s="34" t="s">
        <v>662</v>
      </c>
      <c r="B141">
        <v>-1</v>
      </c>
      <c r="C141">
        <v>2050</v>
      </c>
      <c r="D141" s="34" t="s">
        <v>197</v>
      </c>
      <c r="E141" s="34" t="s">
        <v>198</v>
      </c>
      <c r="F141" s="34" t="s">
        <v>224</v>
      </c>
      <c r="G141" s="34" t="s">
        <v>219</v>
      </c>
      <c r="H141" s="34" t="s">
        <v>201</v>
      </c>
      <c r="I141" s="34" t="s">
        <v>19</v>
      </c>
      <c r="J141" s="34" t="s">
        <v>27</v>
      </c>
      <c r="K141" s="34" t="s">
        <v>46</v>
      </c>
      <c r="L141" s="34" t="s">
        <v>47</v>
      </c>
      <c r="M141">
        <v>2.0399999999999998E-2</v>
      </c>
    </row>
    <row r="142" spans="1:13" x14ac:dyDescent="0.3">
      <c r="A142" s="34" t="s">
        <v>662</v>
      </c>
      <c r="B142">
        <v>-1</v>
      </c>
      <c r="C142">
        <v>2050</v>
      </c>
      <c r="D142" s="34" t="s">
        <v>197</v>
      </c>
      <c r="E142" s="34" t="s">
        <v>198</v>
      </c>
      <c r="F142" s="34" t="s">
        <v>224</v>
      </c>
      <c r="G142" s="34" t="s">
        <v>219</v>
      </c>
      <c r="H142" s="34" t="s">
        <v>201</v>
      </c>
      <c r="I142" s="34" t="s">
        <v>19</v>
      </c>
      <c r="J142" s="34" t="s">
        <v>27</v>
      </c>
      <c r="K142" s="34" t="s">
        <v>48</v>
      </c>
      <c r="L142" s="34" t="s">
        <v>47</v>
      </c>
      <c r="M142">
        <v>-2.0399999999999998E-2</v>
      </c>
    </row>
    <row r="143" spans="1:13" x14ac:dyDescent="0.3">
      <c r="A143" s="34" t="s">
        <v>662</v>
      </c>
      <c r="B143">
        <v>-1</v>
      </c>
      <c r="C143">
        <v>2050</v>
      </c>
      <c r="D143" s="34" t="s">
        <v>197</v>
      </c>
      <c r="E143" s="34" t="s">
        <v>198</v>
      </c>
      <c r="F143" s="34" t="s">
        <v>224</v>
      </c>
      <c r="G143" s="34" t="s">
        <v>215</v>
      </c>
      <c r="H143" s="34" t="s">
        <v>201</v>
      </c>
      <c r="I143" s="34" t="s">
        <v>19</v>
      </c>
      <c r="J143" s="34" t="s">
        <v>27</v>
      </c>
      <c r="K143" s="34" t="s">
        <v>46</v>
      </c>
      <c r="L143" s="34" t="s">
        <v>47</v>
      </c>
      <c r="M143">
        <v>2.0000000000000002E-5</v>
      </c>
    </row>
    <row r="144" spans="1:13" x14ac:dyDescent="0.3">
      <c r="A144" s="34" t="s">
        <v>662</v>
      </c>
      <c r="B144">
        <v>-1</v>
      </c>
      <c r="C144">
        <v>2050</v>
      </c>
      <c r="D144" s="34" t="s">
        <v>197</v>
      </c>
      <c r="E144" s="34" t="s">
        <v>198</v>
      </c>
      <c r="F144" s="34" t="s">
        <v>224</v>
      </c>
      <c r="G144" s="34" t="s">
        <v>215</v>
      </c>
      <c r="H144" s="34" t="s">
        <v>201</v>
      </c>
      <c r="I144" s="34" t="s">
        <v>19</v>
      </c>
      <c r="J144" s="34" t="s">
        <v>27</v>
      </c>
      <c r="K144" s="34" t="s">
        <v>48</v>
      </c>
      <c r="L144" s="34" t="s">
        <v>47</v>
      </c>
      <c r="M144">
        <v>-2.0000000000000002E-5</v>
      </c>
    </row>
    <row r="145" spans="1:13" x14ac:dyDescent="0.3">
      <c r="A145" s="34" t="s">
        <v>662</v>
      </c>
      <c r="B145">
        <v>-1</v>
      </c>
      <c r="C145">
        <v>2050</v>
      </c>
      <c r="D145" s="34" t="s">
        <v>197</v>
      </c>
      <c r="E145" s="34" t="s">
        <v>198</v>
      </c>
      <c r="F145" s="34" t="s">
        <v>224</v>
      </c>
      <c r="G145" s="34" t="s">
        <v>229</v>
      </c>
      <c r="H145" s="34" t="s">
        <v>40</v>
      </c>
      <c r="I145" s="34" t="s">
        <v>19</v>
      </c>
      <c r="J145" s="34" t="s">
        <v>27</v>
      </c>
      <c r="K145" s="34" t="s">
        <v>46</v>
      </c>
      <c r="L145" s="34" t="s">
        <v>47</v>
      </c>
      <c r="M145">
        <v>6.4000000000000005E-4</v>
      </c>
    </row>
    <row r="146" spans="1:13" x14ac:dyDescent="0.3">
      <c r="A146" s="34" t="s">
        <v>662</v>
      </c>
      <c r="B146">
        <v>-1</v>
      </c>
      <c r="C146">
        <v>2050</v>
      </c>
      <c r="D146" s="34" t="s">
        <v>197</v>
      </c>
      <c r="E146" s="34" t="s">
        <v>198</v>
      </c>
      <c r="F146" s="34" t="s">
        <v>224</v>
      </c>
      <c r="G146" s="34" t="s">
        <v>229</v>
      </c>
      <c r="H146" s="34" t="s">
        <v>40</v>
      </c>
      <c r="I146" s="34" t="s">
        <v>19</v>
      </c>
      <c r="J146" s="34" t="s">
        <v>27</v>
      </c>
      <c r="K146" s="34" t="s">
        <v>48</v>
      </c>
      <c r="L146" s="34" t="s">
        <v>47</v>
      </c>
      <c r="M146">
        <v>-6.4000000000000005E-4</v>
      </c>
    </row>
    <row r="147" spans="1:13" x14ac:dyDescent="0.3">
      <c r="A147" s="34" t="s">
        <v>662</v>
      </c>
      <c r="B147">
        <v>-1</v>
      </c>
      <c r="C147">
        <v>2050</v>
      </c>
      <c r="D147" s="34" t="s">
        <v>197</v>
      </c>
      <c r="E147" s="34" t="s">
        <v>198</v>
      </c>
      <c r="F147" s="34" t="s">
        <v>230</v>
      </c>
      <c r="G147" s="34" t="s">
        <v>218</v>
      </c>
      <c r="H147" s="34" t="s">
        <v>201</v>
      </c>
      <c r="I147" s="34" t="s">
        <v>19</v>
      </c>
      <c r="J147" s="34" t="s">
        <v>27</v>
      </c>
      <c r="K147" s="34" t="s">
        <v>46</v>
      </c>
      <c r="L147" s="34" t="s">
        <v>47</v>
      </c>
      <c r="M147">
        <v>2.9999999999999997E-4</v>
      </c>
    </row>
    <row r="148" spans="1:13" x14ac:dyDescent="0.3">
      <c r="A148" s="34" t="s">
        <v>662</v>
      </c>
      <c r="B148">
        <v>-1</v>
      </c>
      <c r="C148">
        <v>2050</v>
      </c>
      <c r="D148" s="34" t="s">
        <v>197</v>
      </c>
      <c r="E148" s="34" t="s">
        <v>198</v>
      </c>
      <c r="F148" s="34" t="s">
        <v>230</v>
      </c>
      <c r="G148" s="34" t="s">
        <v>218</v>
      </c>
      <c r="H148" s="34" t="s">
        <v>201</v>
      </c>
      <c r="I148" s="34" t="s">
        <v>19</v>
      </c>
      <c r="J148" s="34" t="s">
        <v>27</v>
      </c>
      <c r="K148" s="34" t="s">
        <v>48</v>
      </c>
      <c r="L148" s="34" t="s">
        <v>47</v>
      </c>
      <c r="M148">
        <v>-2.9999999999999997E-4</v>
      </c>
    </row>
    <row r="149" spans="1:13" x14ac:dyDescent="0.3">
      <c r="A149" s="34" t="s">
        <v>662</v>
      </c>
      <c r="B149">
        <v>-1</v>
      </c>
      <c r="C149">
        <v>2050</v>
      </c>
      <c r="D149" s="34" t="s">
        <v>197</v>
      </c>
      <c r="E149" s="34" t="s">
        <v>198</v>
      </c>
      <c r="F149" s="34" t="s">
        <v>596</v>
      </c>
      <c r="G149" s="34" t="s">
        <v>28</v>
      </c>
      <c r="H149" s="34" t="s">
        <v>23</v>
      </c>
      <c r="I149" s="34" t="s">
        <v>19</v>
      </c>
      <c r="J149" s="34" t="s">
        <v>24</v>
      </c>
      <c r="K149" s="34" t="s">
        <v>46</v>
      </c>
      <c r="L149" s="34" t="s">
        <v>47</v>
      </c>
      <c r="M149">
        <v>0.51850799999974295</v>
      </c>
    </row>
    <row r="150" spans="1:13" x14ac:dyDescent="0.3">
      <c r="A150" s="34" t="s">
        <v>662</v>
      </c>
      <c r="B150">
        <v>-1</v>
      </c>
      <c r="C150">
        <v>2050</v>
      </c>
      <c r="D150" s="34" t="s">
        <v>197</v>
      </c>
      <c r="E150" s="34" t="s">
        <v>198</v>
      </c>
      <c r="F150" s="34" t="s">
        <v>596</v>
      </c>
      <c r="G150" s="34" t="s">
        <v>28</v>
      </c>
      <c r="H150" s="34" t="s">
        <v>23</v>
      </c>
      <c r="I150" s="34" t="s">
        <v>19</v>
      </c>
      <c r="J150" s="34" t="s">
        <v>24</v>
      </c>
      <c r="K150" s="34" t="s">
        <v>48</v>
      </c>
      <c r="L150" s="34" t="s">
        <v>47</v>
      </c>
      <c r="M150">
        <v>-0.51850799999974295</v>
      </c>
    </row>
    <row r="151" spans="1:13" x14ac:dyDescent="0.3">
      <c r="A151" s="34" t="s">
        <v>662</v>
      </c>
      <c r="B151">
        <v>-1</v>
      </c>
      <c r="C151">
        <v>2050</v>
      </c>
      <c r="D151" s="34" t="s">
        <v>197</v>
      </c>
      <c r="E151" s="34" t="s">
        <v>198</v>
      </c>
      <c r="F151" s="34" t="s">
        <v>596</v>
      </c>
      <c r="G151" s="34" t="s">
        <v>222</v>
      </c>
      <c r="H151" s="34" t="s">
        <v>21</v>
      </c>
      <c r="I151" s="34" t="s">
        <v>19</v>
      </c>
      <c r="J151" s="34" t="s">
        <v>223</v>
      </c>
      <c r="K151" s="34" t="s">
        <v>46</v>
      </c>
      <c r="L151" s="34" t="s">
        <v>47</v>
      </c>
      <c r="M151">
        <v>1.6017000000000001</v>
      </c>
    </row>
    <row r="152" spans="1:13" x14ac:dyDescent="0.3">
      <c r="A152" s="34" t="s">
        <v>662</v>
      </c>
      <c r="B152">
        <v>-1</v>
      </c>
      <c r="C152">
        <v>2050</v>
      </c>
      <c r="D152" s="34" t="s">
        <v>197</v>
      </c>
      <c r="E152" s="34" t="s">
        <v>198</v>
      </c>
      <c r="F152" s="34" t="s">
        <v>596</v>
      </c>
      <c r="G152" s="34" t="s">
        <v>222</v>
      </c>
      <c r="H152" s="34" t="s">
        <v>21</v>
      </c>
      <c r="I152" s="34" t="s">
        <v>19</v>
      </c>
      <c r="J152" s="34" t="s">
        <v>223</v>
      </c>
      <c r="K152" s="34" t="s">
        <v>48</v>
      </c>
      <c r="L152" s="34" t="s">
        <v>47</v>
      </c>
      <c r="M152">
        <v>-1.6017000000000001</v>
      </c>
    </row>
    <row r="153" spans="1:13" x14ac:dyDescent="0.3">
      <c r="A153" s="34" t="s">
        <v>662</v>
      </c>
      <c r="B153">
        <v>-1</v>
      </c>
      <c r="C153">
        <v>2050</v>
      </c>
      <c r="D153" s="34" t="s">
        <v>197</v>
      </c>
      <c r="E153" s="34" t="s">
        <v>198</v>
      </c>
      <c r="F153" s="34" t="s">
        <v>596</v>
      </c>
      <c r="G153" s="34" t="s">
        <v>29</v>
      </c>
      <c r="H153" s="34" t="s">
        <v>21</v>
      </c>
      <c r="I153" s="34" t="s">
        <v>19</v>
      </c>
      <c r="J153" s="34" t="s">
        <v>22</v>
      </c>
      <c r="K153" s="34" t="s">
        <v>46</v>
      </c>
      <c r="L153" s="34" t="s">
        <v>47</v>
      </c>
      <c r="M153">
        <v>0.319275245900011</v>
      </c>
    </row>
    <row r="154" spans="1:13" x14ac:dyDescent="0.3">
      <c r="A154" s="34" t="s">
        <v>662</v>
      </c>
      <c r="B154">
        <v>-1</v>
      </c>
      <c r="C154">
        <v>2050</v>
      </c>
      <c r="D154" s="34" t="s">
        <v>197</v>
      </c>
      <c r="E154" s="34" t="s">
        <v>198</v>
      </c>
      <c r="F154" s="34" t="s">
        <v>596</v>
      </c>
      <c r="G154" s="34" t="s">
        <v>29</v>
      </c>
      <c r="H154" s="34" t="s">
        <v>21</v>
      </c>
      <c r="I154" s="34" t="s">
        <v>19</v>
      </c>
      <c r="J154" s="34" t="s">
        <v>22</v>
      </c>
      <c r="K154" s="34" t="s">
        <v>48</v>
      </c>
      <c r="L154" s="34" t="s">
        <v>47</v>
      </c>
      <c r="M154">
        <v>-0.319275245900011</v>
      </c>
    </row>
    <row r="155" spans="1:13" x14ac:dyDescent="0.3">
      <c r="A155" s="34" t="s">
        <v>662</v>
      </c>
      <c r="B155">
        <v>-1</v>
      </c>
      <c r="C155">
        <v>2050</v>
      </c>
      <c r="D155" s="34" t="s">
        <v>197</v>
      </c>
      <c r="E155" s="34" t="s">
        <v>198</v>
      </c>
      <c r="F155" s="34" t="s">
        <v>596</v>
      </c>
      <c r="G155" s="34" t="s">
        <v>20</v>
      </c>
      <c r="H155" s="34" t="s">
        <v>21</v>
      </c>
      <c r="I155" s="34" t="s">
        <v>19</v>
      </c>
      <c r="J155" s="34" t="s">
        <v>22</v>
      </c>
      <c r="K155" s="34" t="s">
        <v>46</v>
      </c>
      <c r="L155" s="34" t="s">
        <v>47</v>
      </c>
      <c r="M155">
        <v>1.86918730240006</v>
      </c>
    </row>
    <row r="156" spans="1:13" x14ac:dyDescent="0.3">
      <c r="A156" s="34" t="s">
        <v>662</v>
      </c>
      <c r="B156">
        <v>-1</v>
      </c>
      <c r="C156">
        <v>2050</v>
      </c>
      <c r="D156" s="34" t="s">
        <v>197</v>
      </c>
      <c r="E156" s="34" t="s">
        <v>198</v>
      </c>
      <c r="F156" s="34" t="s">
        <v>596</v>
      </c>
      <c r="G156" s="34" t="s">
        <v>20</v>
      </c>
      <c r="H156" s="34" t="s">
        <v>21</v>
      </c>
      <c r="I156" s="34" t="s">
        <v>19</v>
      </c>
      <c r="J156" s="34" t="s">
        <v>22</v>
      </c>
      <c r="K156" s="34" t="s">
        <v>48</v>
      </c>
      <c r="L156" s="34" t="s">
        <v>47</v>
      </c>
      <c r="M156">
        <v>-1.8691873024000605</v>
      </c>
    </row>
    <row r="157" spans="1:13" x14ac:dyDescent="0.3">
      <c r="A157" s="34" t="s">
        <v>662</v>
      </c>
      <c r="B157">
        <v>-1</v>
      </c>
      <c r="C157">
        <v>2050</v>
      </c>
      <c r="D157" s="34" t="s">
        <v>197</v>
      </c>
      <c r="E157" s="34" t="s">
        <v>198</v>
      </c>
      <c r="F157" s="34" t="s">
        <v>596</v>
      </c>
      <c r="G157" s="34" t="s">
        <v>30</v>
      </c>
      <c r="H157" s="34" t="s">
        <v>21</v>
      </c>
      <c r="I157" s="34" t="s">
        <v>19</v>
      </c>
      <c r="J157" s="34" t="s">
        <v>22</v>
      </c>
      <c r="K157" s="34" t="s">
        <v>46</v>
      </c>
      <c r="L157" s="34" t="s">
        <v>47</v>
      </c>
      <c r="M157">
        <v>1.1304069517000401</v>
      </c>
    </row>
    <row r="158" spans="1:13" x14ac:dyDescent="0.3">
      <c r="A158" s="34" t="s">
        <v>662</v>
      </c>
      <c r="B158">
        <v>-1</v>
      </c>
      <c r="C158">
        <v>2050</v>
      </c>
      <c r="D158" s="34" t="s">
        <v>197</v>
      </c>
      <c r="E158" s="34" t="s">
        <v>198</v>
      </c>
      <c r="F158" s="34" t="s">
        <v>596</v>
      </c>
      <c r="G158" s="34" t="s">
        <v>30</v>
      </c>
      <c r="H158" s="34" t="s">
        <v>21</v>
      </c>
      <c r="I158" s="34" t="s">
        <v>19</v>
      </c>
      <c r="J158" s="34" t="s">
        <v>22</v>
      </c>
      <c r="K158" s="34" t="s">
        <v>48</v>
      </c>
      <c r="L158" s="34" t="s">
        <v>47</v>
      </c>
      <c r="M158">
        <v>-1.1304069517000401</v>
      </c>
    </row>
    <row r="159" spans="1:13" x14ac:dyDescent="0.3">
      <c r="A159" s="34" t="s">
        <v>662</v>
      </c>
      <c r="B159">
        <v>-1</v>
      </c>
      <c r="C159">
        <v>2050</v>
      </c>
      <c r="D159" s="34" t="s">
        <v>197</v>
      </c>
      <c r="E159" s="34" t="s">
        <v>198</v>
      </c>
      <c r="F159" s="34" t="s">
        <v>596</v>
      </c>
      <c r="G159" s="34" t="s">
        <v>644</v>
      </c>
      <c r="H159" s="34" t="s">
        <v>21</v>
      </c>
      <c r="I159" s="34" t="s">
        <v>19</v>
      </c>
      <c r="J159" s="34" t="s">
        <v>22</v>
      </c>
      <c r="K159" s="34" t="s">
        <v>49</v>
      </c>
      <c r="L159" s="34" t="s">
        <v>47</v>
      </c>
      <c r="M159">
        <v>8.5622837370242237</v>
      </c>
    </row>
    <row r="160" spans="1:13" x14ac:dyDescent="0.3">
      <c r="A160" s="34" t="s">
        <v>662</v>
      </c>
      <c r="B160">
        <v>-1</v>
      </c>
      <c r="C160">
        <v>2050</v>
      </c>
      <c r="D160" s="34" t="s">
        <v>197</v>
      </c>
      <c r="E160" s="34" t="s">
        <v>231</v>
      </c>
      <c r="F160" s="34" t="s">
        <v>232</v>
      </c>
      <c r="G160" s="34" t="s">
        <v>215</v>
      </c>
      <c r="H160" s="34" t="s">
        <v>201</v>
      </c>
      <c r="I160" s="34" t="s">
        <v>19</v>
      </c>
      <c r="J160" s="34" t="s">
        <v>27</v>
      </c>
      <c r="K160" s="34" t="s">
        <v>46</v>
      </c>
      <c r="L160" s="34" t="s">
        <v>47</v>
      </c>
      <c r="M160">
        <v>1.3000000000000002E-3</v>
      </c>
    </row>
    <row r="161" spans="1:13" x14ac:dyDescent="0.3">
      <c r="A161" s="34" t="s">
        <v>662</v>
      </c>
      <c r="B161">
        <v>-1</v>
      </c>
      <c r="C161">
        <v>2050</v>
      </c>
      <c r="D161" s="34" t="s">
        <v>197</v>
      </c>
      <c r="E161" s="34" t="s">
        <v>231</v>
      </c>
      <c r="F161" s="34" t="s">
        <v>232</v>
      </c>
      <c r="G161" s="34" t="s">
        <v>215</v>
      </c>
      <c r="H161" s="34" t="s">
        <v>201</v>
      </c>
      <c r="I161" s="34" t="s">
        <v>19</v>
      </c>
      <c r="J161" s="34" t="s">
        <v>27</v>
      </c>
      <c r="K161" s="34" t="s">
        <v>48</v>
      </c>
      <c r="L161" s="34" t="s">
        <v>47</v>
      </c>
      <c r="M161">
        <v>-1.3000000000000002E-3</v>
      </c>
    </row>
    <row r="162" spans="1:13" x14ac:dyDescent="0.3">
      <c r="A162" s="34" t="s">
        <v>662</v>
      </c>
      <c r="B162">
        <v>-1</v>
      </c>
      <c r="C162">
        <v>2050</v>
      </c>
      <c r="D162" s="34" t="s">
        <v>197</v>
      </c>
      <c r="E162" s="34" t="s">
        <v>231</v>
      </c>
      <c r="F162" s="34" t="s">
        <v>232</v>
      </c>
      <c r="G162" s="34" t="s">
        <v>202</v>
      </c>
      <c r="H162" s="34" t="s">
        <v>39</v>
      </c>
      <c r="I162" s="34" t="s">
        <v>203</v>
      </c>
      <c r="J162" s="34" t="s">
        <v>204</v>
      </c>
      <c r="K162" s="34" t="s">
        <v>46</v>
      </c>
      <c r="L162" s="34" t="s">
        <v>47</v>
      </c>
      <c r="M162">
        <v>0.55555555555555558</v>
      </c>
    </row>
    <row r="163" spans="1:13" x14ac:dyDescent="0.3">
      <c r="A163" s="34" t="s">
        <v>662</v>
      </c>
      <c r="B163">
        <v>-1</v>
      </c>
      <c r="C163">
        <v>2050</v>
      </c>
      <c r="D163" s="34" t="s">
        <v>197</v>
      </c>
      <c r="E163" s="34" t="s">
        <v>231</v>
      </c>
      <c r="F163" s="34" t="s">
        <v>232</v>
      </c>
      <c r="G163" s="34" t="s">
        <v>202</v>
      </c>
      <c r="H163" s="34" t="s">
        <v>39</v>
      </c>
      <c r="I163" s="34" t="s">
        <v>203</v>
      </c>
      <c r="J163" s="34" t="s">
        <v>204</v>
      </c>
      <c r="K163" s="34" t="s">
        <v>48</v>
      </c>
      <c r="L163" s="34" t="s">
        <v>47</v>
      </c>
      <c r="M163">
        <v>-0.55555555555555558</v>
      </c>
    </row>
    <row r="164" spans="1:13" x14ac:dyDescent="0.3">
      <c r="A164" s="34" t="s">
        <v>662</v>
      </c>
      <c r="B164">
        <v>-1</v>
      </c>
      <c r="C164">
        <v>2050</v>
      </c>
      <c r="D164" s="34" t="s">
        <v>197</v>
      </c>
      <c r="E164" s="34" t="s">
        <v>231</v>
      </c>
      <c r="F164" s="34" t="s">
        <v>232</v>
      </c>
      <c r="G164" s="34" t="s">
        <v>202</v>
      </c>
      <c r="H164" s="34" t="s">
        <v>39</v>
      </c>
      <c r="I164" s="34" t="s">
        <v>19</v>
      </c>
      <c r="J164" s="34" t="s">
        <v>204</v>
      </c>
      <c r="K164" s="34" t="s">
        <v>46</v>
      </c>
      <c r="L164" s="34" t="s">
        <v>47</v>
      </c>
      <c r="M164">
        <v>0.5</v>
      </c>
    </row>
    <row r="165" spans="1:13" x14ac:dyDescent="0.3">
      <c r="A165" s="34" t="s">
        <v>662</v>
      </c>
      <c r="B165">
        <v>-1</v>
      </c>
      <c r="C165">
        <v>2050</v>
      </c>
      <c r="D165" s="34" t="s">
        <v>197</v>
      </c>
      <c r="E165" s="34" t="s">
        <v>231</v>
      </c>
      <c r="F165" s="34" t="s">
        <v>232</v>
      </c>
      <c r="G165" s="34" t="s">
        <v>202</v>
      </c>
      <c r="H165" s="34" t="s">
        <v>39</v>
      </c>
      <c r="I165" s="34" t="s">
        <v>19</v>
      </c>
      <c r="J165" s="34" t="s">
        <v>204</v>
      </c>
      <c r="K165" s="34" t="s">
        <v>48</v>
      </c>
      <c r="L165" s="34" t="s">
        <v>47</v>
      </c>
      <c r="M165">
        <v>-0.5</v>
      </c>
    </row>
    <row r="166" spans="1:13" x14ac:dyDescent="0.3">
      <c r="A166" s="34" t="s">
        <v>662</v>
      </c>
      <c r="B166">
        <v>-1</v>
      </c>
      <c r="C166">
        <v>2050</v>
      </c>
      <c r="D166" s="34" t="s">
        <v>197</v>
      </c>
      <c r="E166" s="34" t="s">
        <v>231</v>
      </c>
      <c r="F166" s="34" t="s">
        <v>232</v>
      </c>
      <c r="G166" s="34" t="s">
        <v>233</v>
      </c>
      <c r="H166" s="34" t="s">
        <v>234</v>
      </c>
      <c r="I166" s="34" t="s">
        <v>203</v>
      </c>
      <c r="J166" s="34" t="s">
        <v>204</v>
      </c>
      <c r="K166" s="34" t="s">
        <v>46</v>
      </c>
      <c r="L166" s="34" t="s">
        <v>47</v>
      </c>
      <c r="M166">
        <v>0.63111111111111118</v>
      </c>
    </row>
    <row r="167" spans="1:13" x14ac:dyDescent="0.3">
      <c r="A167" s="34" t="s">
        <v>662</v>
      </c>
      <c r="B167">
        <v>-1</v>
      </c>
      <c r="C167">
        <v>2050</v>
      </c>
      <c r="D167" s="34" t="s">
        <v>197</v>
      </c>
      <c r="E167" s="34" t="s">
        <v>231</v>
      </c>
      <c r="F167" s="34" t="s">
        <v>232</v>
      </c>
      <c r="G167" s="34" t="s">
        <v>233</v>
      </c>
      <c r="H167" s="34" t="s">
        <v>234</v>
      </c>
      <c r="I167" s="34" t="s">
        <v>203</v>
      </c>
      <c r="J167" s="34" t="s">
        <v>204</v>
      </c>
      <c r="K167" s="34" t="s">
        <v>48</v>
      </c>
      <c r="L167" s="34" t="s">
        <v>47</v>
      </c>
      <c r="M167">
        <v>-0.63111111111111118</v>
      </c>
    </row>
    <row r="168" spans="1:13" x14ac:dyDescent="0.3">
      <c r="A168" s="34" t="s">
        <v>662</v>
      </c>
      <c r="B168">
        <v>-1</v>
      </c>
      <c r="C168">
        <v>2050</v>
      </c>
      <c r="D168" s="34" t="s">
        <v>197</v>
      </c>
      <c r="E168" s="34" t="s">
        <v>231</v>
      </c>
      <c r="F168" s="34" t="s">
        <v>232</v>
      </c>
      <c r="G168" s="34" t="s">
        <v>233</v>
      </c>
      <c r="H168" s="34" t="s">
        <v>234</v>
      </c>
      <c r="I168" s="34" t="s">
        <v>19</v>
      </c>
      <c r="J168" s="34" t="s">
        <v>204</v>
      </c>
      <c r="K168" s="34" t="s">
        <v>46</v>
      </c>
      <c r="L168" s="34" t="s">
        <v>47</v>
      </c>
      <c r="M168">
        <v>0.56800000000000006</v>
      </c>
    </row>
    <row r="169" spans="1:13" x14ac:dyDescent="0.3">
      <c r="A169" s="34" t="s">
        <v>662</v>
      </c>
      <c r="B169">
        <v>-1</v>
      </c>
      <c r="C169">
        <v>2050</v>
      </c>
      <c r="D169" s="34" t="s">
        <v>197</v>
      </c>
      <c r="E169" s="34" t="s">
        <v>231</v>
      </c>
      <c r="F169" s="34" t="s">
        <v>232</v>
      </c>
      <c r="G169" s="34" t="s">
        <v>233</v>
      </c>
      <c r="H169" s="34" t="s">
        <v>234</v>
      </c>
      <c r="I169" s="34" t="s">
        <v>19</v>
      </c>
      <c r="J169" s="34" t="s">
        <v>204</v>
      </c>
      <c r="K169" s="34" t="s">
        <v>48</v>
      </c>
      <c r="L169" s="34" t="s">
        <v>47</v>
      </c>
      <c r="M169">
        <v>-0.56800000000000006</v>
      </c>
    </row>
    <row r="170" spans="1:13" x14ac:dyDescent="0.3">
      <c r="A170" s="34" t="s">
        <v>662</v>
      </c>
      <c r="B170">
        <v>-1</v>
      </c>
      <c r="C170">
        <v>2050</v>
      </c>
      <c r="D170" s="34" t="s">
        <v>197</v>
      </c>
      <c r="E170" s="34" t="s">
        <v>231</v>
      </c>
      <c r="F170" s="34" t="s">
        <v>232</v>
      </c>
      <c r="G170" s="34" t="s">
        <v>11</v>
      </c>
      <c r="H170" s="34" t="s">
        <v>12</v>
      </c>
      <c r="I170" s="34" t="s">
        <v>13</v>
      </c>
      <c r="J170" s="34" t="s">
        <v>14</v>
      </c>
      <c r="K170" s="34" t="s">
        <v>46</v>
      </c>
      <c r="L170" s="34" t="s">
        <v>47</v>
      </c>
      <c r="M170">
        <v>3.9199999999999982</v>
      </c>
    </row>
    <row r="171" spans="1:13" x14ac:dyDescent="0.3">
      <c r="A171" s="34" t="s">
        <v>662</v>
      </c>
      <c r="B171">
        <v>-1</v>
      </c>
      <c r="C171">
        <v>2050</v>
      </c>
      <c r="D171" s="34" t="s">
        <v>197</v>
      </c>
      <c r="E171" s="34" t="s">
        <v>231</v>
      </c>
      <c r="F171" s="34" t="s">
        <v>232</v>
      </c>
      <c r="G171" s="34" t="s">
        <v>11</v>
      </c>
      <c r="H171" s="34" t="s">
        <v>12</v>
      </c>
      <c r="I171" s="34" t="s">
        <v>13</v>
      </c>
      <c r="J171" s="34" t="s">
        <v>14</v>
      </c>
      <c r="K171" s="34" t="s">
        <v>48</v>
      </c>
      <c r="L171" s="34" t="s">
        <v>47</v>
      </c>
      <c r="M171">
        <v>-2.7834618287463253</v>
      </c>
    </row>
    <row r="172" spans="1:13" x14ac:dyDescent="0.3">
      <c r="A172" s="34" t="s">
        <v>662</v>
      </c>
      <c r="B172">
        <v>-1</v>
      </c>
      <c r="C172">
        <v>2050</v>
      </c>
      <c r="D172" s="34" t="s">
        <v>197</v>
      </c>
      <c r="E172" s="34" t="s">
        <v>231</v>
      </c>
      <c r="F172" s="34" t="s">
        <v>232</v>
      </c>
      <c r="G172" s="34" t="s">
        <v>41</v>
      </c>
      <c r="H172" s="34" t="s">
        <v>40</v>
      </c>
      <c r="I172" s="34" t="s">
        <v>13</v>
      </c>
      <c r="J172" s="34" t="s">
        <v>42</v>
      </c>
      <c r="K172" s="34" t="s">
        <v>46</v>
      </c>
      <c r="L172" s="34" t="s">
        <v>47</v>
      </c>
      <c r="M172">
        <v>0.10823016200941769</v>
      </c>
    </row>
    <row r="173" spans="1:13" x14ac:dyDescent="0.3">
      <c r="A173" s="34" t="s">
        <v>662</v>
      </c>
      <c r="B173">
        <v>-1</v>
      </c>
      <c r="C173">
        <v>2050</v>
      </c>
      <c r="D173" s="34" t="s">
        <v>197</v>
      </c>
      <c r="E173" s="34" t="s">
        <v>231</v>
      </c>
      <c r="F173" s="34" t="s">
        <v>232</v>
      </c>
      <c r="G173" s="34" t="s">
        <v>41</v>
      </c>
      <c r="H173" s="34" t="s">
        <v>40</v>
      </c>
      <c r="I173" s="34" t="s">
        <v>13</v>
      </c>
      <c r="J173" s="34" t="s">
        <v>42</v>
      </c>
      <c r="K173" s="34" t="s">
        <v>48</v>
      </c>
      <c r="L173" s="34" t="s">
        <v>47</v>
      </c>
      <c r="M173">
        <v>-0.10823016200941769</v>
      </c>
    </row>
    <row r="174" spans="1:13" x14ac:dyDescent="0.3">
      <c r="A174" s="34" t="s">
        <v>662</v>
      </c>
      <c r="B174">
        <v>-1</v>
      </c>
      <c r="C174">
        <v>2050</v>
      </c>
      <c r="D174" s="34" t="s">
        <v>197</v>
      </c>
      <c r="E174" s="34" t="s">
        <v>231</v>
      </c>
      <c r="F174" s="34" t="s">
        <v>235</v>
      </c>
      <c r="G174" s="34" t="s">
        <v>236</v>
      </c>
      <c r="H174" s="34" t="s">
        <v>237</v>
      </c>
      <c r="I174" s="34" t="s">
        <v>19</v>
      </c>
      <c r="J174" s="34" t="s">
        <v>27</v>
      </c>
      <c r="K174" s="34" t="s">
        <v>46</v>
      </c>
      <c r="L174" s="34" t="s">
        <v>47</v>
      </c>
      <c r="M174">
        <v>2.0000000000000001E-4</v>
      </c>
    </row>
    <row r="175" spans="1:13" x14ac:dyDescent="0.3">
      <c r="A175" s="34" t="s">
        <v>662</v>
      </c>
      <c r="B175">
        <v>-1</v>
      </c>
      <c r="C175">
        <v>2050</v>
      </c>
      <c r="D175" s="34" t="s">
        <v>197</v>
      </c>
      <c r="E175" s="34" t="s">
        <v>231</v>
      </c>
      <c r="F175" s="34" t="s">
        <v>235</v>
      </c>
      <c r="G175" s="34" t="s">
        <v>236</v>
      </c>
      <c r="H175" s="34" t="s">
        <v>237</v>
      </c>
      <c r="I175" s="34" t="s">
        <v>19</v>
      </c>
      <c r="J175" s="34" t="s">
        <v>27</v>
      </c>
      <c r="K175" s="34" t="s">
        <v>48</v>
      </c>
      <c r="L175" s="34" t="s">
        <v>47</v>
      </c>
      <c r="M175">
        <v>-2.0000000000000001E-4</v>
      </c>
    </row>
    <row r="176" spans="1:13" x14ac:dyDescent="0.3">
      <c r="A176" s="34" t="s">
        <v>662</v>
      </c>
      <c r="B176">
        <v>-1</v>
      </c>
      <c r="C176">
        <v>2050</v>
      </c>
      <c r="D176" s="34" t="s">
        <v>197</v>
      </c>
      <c r="E176" s="34" t="s">
        <v>231</v>
      </c>
      <c r="F176" s="34" t="s">
        <v>235</v>
      </c>
      <c r="G176" s="34" t="s">
        <v>238</v>
      </c>
      <c r="H176" s="34" t="s">
        <v>201</v>
      </c>
      <c r="I176" s="34" t="s">
        <v>19</v>
      </c>
      <c r="J176" s="34" t="s">
        <v>27</v>
      </c>
      <c r="K176" s="34" t="s">
        <v>46</v>
      </c>
      <c r="L176" s="34" t="s">
        <v>47</v>
      </c>
      <c r="M176">
        <v>1.4999999999999999E-2</v>
      </c>
    </row>
    <row r="177" spans="1:13" x14ac:dyDescent="0.3">
      <c r="A177" s="34" t="s">
        <v>662</v>
      </c>
      <c r="B177">
        <v>-1</v>
      </c>
      <c r="C177">
        <v>2050</v>
      </c>
      <c r="D177" s="34" t="s">
        <v>197</v>
      </c>
      <c r="E177" s="34" t="s">
        <v>231</v>
      </c>
      <c r="F177" s="34" t="s">
        <v>235</v>
      </c>
      <c r="G177" s="34" t="s">
        <v>238</v>
      </c>
      <c r="H177" s="34" t="s">
        <v>201</v>
      </c>
      <c r="I177" s="34" t="s">
        <v>19</v>
      </c>
      <c r="J177" s="34" t="s">
        <v>27</v>
      </c>
      <c r="K177" s="34" t="s">
        <v>48</v>
      </c>
      <c r="L177" s="34" t="s">
        <v>47</v>
      </c>
      <c r="M177">
        <v>-1.4999999999999999E-2</v>
      </c>
    </row>
    <row r="178" spans="1:13" x14ac:dyDescent="0.3">
      <c r="A178" s="34" t="s">
        <v>662</v>
      </c>
      <c r="B178">
        <v>-1</v>
      </c>
      <c r="C178">
        <v>2050</v>
      </c>
      <c r="D178" s="34" t="s">
        <v>197</v>
      </c>
      <c r="E178" s="34" t="s">
        <v>231</v>
      </c>
      <c r="F178" s="34" t="s">
        <v>235</v>
      </c>
      <c r="G178" s="34" t="s">
        <v>218</v>
      </c>
      <c r="H178" s="34" t="s">
        <v>201</v>
      </c>
      <c r="I178" s="34" t="s">
        <v>19</v>
      </c>
      <c r="J178" s="34" t="s">
        <v>27</v>
      </c>
      <c r="K178" s="34" t="s">
        <v>46</v>
      </c>
      <c r="L178" s="34" t="s">
        <v>47</v>
      </c>
      <c r="M178">
        <v>1.9600000000000003E-2</v>
      </c>
    </row>
    <row r="179" spans="1:13" x14ac:dyDescent="0.3">
      <c r="A179" s="34" t="s">
        <v>662</v>
      </c>
      <c r="B179">
        <v>-1</v>
      </c>
      <c r="C179">
        <v>2050</v>
      </c>
      <c r="D179" s="34" t="s">
        <v>197</v>
      </c>
      <c r="E179" s="34" t="s">
        <v>231</v>
      </c>
      <c r="F179" s="34" t="s">
        <v>235</v>
      </c>
      <c r="G179" s="34" t="s">
        <v>218</v>
      </c>
      <c r="H179" s="34" t="s">
        <v>201</v>
      </c>
      <c r="I179" s="34" t="s">
        <v>19</v>
      </c>
      <c r="J179" s="34" t="s">
        <v>27</v>
      </c>
      <c r="K179" s="34" t="s">
        <v>48</v>
      </c>
      <c r="L179" s="34" t="s">
        <v>47</v>
      </c>
      <c r="M179">
        <v>-1.9600000000000003E-2</v>
      </c>
    </row>
    <row r="180" spans="1:13" x14ac:dyDescent="0.3">
      <c r="A180" s="34" t="s">
        <v>662</v>
      </c>
      <c r="B180">
        <v>-1</v>
      </c>
      <c r="C180">
        <v>2050</v>
      </c>
      <c r="D180" s="34" t="s">
        <v>197</v>
      </c>
      <c r="E180" s="34" t="s">
        <v>231</v>
      </c>
      <c r="F180" s="34" t="s">
        <v>235</v>
      </c>
      <c r="G180" s="34" t="s">
        <v>219</v>
      </c>
      <c r="H180" s="34" t="s">
        <v>201</v>
      </c>
      <c r="I180" s="34" t="s">
        <v>19</v>
      </c>
      <c r="J180" s="34" t="s">
        <v>27</v>
      </c>
      <c r="K180" s="34" t="s">
        <v>46</v>
      </c>
      <c r="L180" s="34" t="s">
        <v>47</v>
      </c>
      <c r="M180">
        <v>2.8000000000000003E-4</v>
      </c>
    </row>
    <row r="181" spans="1:13" x14ac:dyDescent="0.3">
      <c r="A181" s="34" t="s">
        <v>662</v>
      </c>
      <c r="B181">
        <v>-1</v>
      </c>
      <c r="C181">
        <v>2050</v>
      </c>
      <c r="D181" s="34" t="s">
        <v>197</v>
      </c>
      <c r="E181" s="34" t="s">
        <v>231</v>
      </c>
      <c r="F181" s="34" t="s">
        <v>235</v>
      </c>
      <c r="G181" s="34" t="s">
        <v>219</v>
      </c>
      <c r="H181" s="34" t="s">
        <v>201</v>
      </c>
      <c r="I181" s="34" t="s">
        <v>19</v>
      </c>
      <c r="J181" s="34" t="s">
        <v>27</v>
      </c>
      <c r="K181" s="34" t="s">
        <v>48</v>
      </c>
      <c r="L181" s="34" t="s">
        <v>47</v>
      </c>
      <c r="M181">
        <v>-2.8000000000000003E-4</v>
      </c>
    </row>
    <row r="182" spans="1:13" x14ac:dyDescent="0.3">
      <c r="A182" s="34" t="s">
        <v>662</v>
      </c>
      <c r="B182">
        <v>-1</v>
      </c>
      <c r="C182">
        <v>2050</v>
      </c>
      <c r="D182" s="34" t="s">
        <v>197</v>
      </c>
      <c r="E182" s="34" t="s">
        <v>231</v>
      </c>
      <c r="F182" s="34" t="s">
        <v>235</v>
      </c>
      <c r="G182" s="34" t="s">
        <v>215</v>
      </c>
      <c r="H182" s="34" t="s">
        <v>201</v>
      </c>
      <c r="I182" s="34" t="s">
        <v>19</v>
      </c>
      <c r="J182" s="34" t="s">
        <v>27</v>
      </c>
      <c r="K182" s="34" t="s">
        <v>46</v>
      </c>
      <c r="L182" s="34" t="s">
        <v>47</v>
      </c>
      <c r="M182">
        <v>1.2E-4</v>
      </c>
    </row>
    <row r="183" spans="1:13" x14ac:dyDescent="0.3">
      <c r="A183" s="34" t="s">
        <v>662</v>
      </c>
      <c r="B183">
        <v>-1</v>
      </c>
      <c r="C183">
        <v>2050</v>
      </c>
      <c r="D183" s="34" t="s">
        <v>197</v>
      </c>
      <c r="E183" s="34" t="s">
        <v>231</v>
      </c>
      <c r="F183" s="34" t="s">
        <v>235</v>
      </c>
      <c r="G183" s="34" t="s">
        <v>215</v>
      </c>
      <c r="H183" s="34" t="s">
        <v>201</v>
      </c>
      <c r="I183" s="34" t="s">
        <v>19</v>
      </c>
      <c r="J183" s="34" t="s">
        <v>27</v>
      </c>
      <c r="K183" s="34" t="s">
        <v>48</v>
      </c>
      <c r="L183" s="34" t="s">
        <v>47</v>
      </c>
      <c r="M183">
        <v>-1.2E-4</v>
      </c>
    </row>
    <row r="184" spans="1:13" x14ac:dyDescent="0.3">
      <c r="A184" s="34" t="s">
        <v>662</v>
      </c>
      <c r="B184">
        <v>-1</v>
      </c>
      <c r="C184">
        <v>2050</v>
      </c>
      <c r="D184" s="34" t="s">
        <v>197</v>
      </c>
      <c r="E184" s="34" t="s">
        <v>231</v>
      </c>
      <c r="F184" s="34" t="s">
        <v>235</v>
      </c>
      <c r="G184" s="34" t="s">
        <v>239</v>
      </c>
      <c r="H184" s="34" t="s">
        <v>201</v>
      </c>
      <c r="I184" s="34" t="s">
        <v>19</v>
      </c>
      <c r="J184" s="34" t="s">
        <v>27</v>
      </c>
      <c r="K184" s="34" t="s">
        <v>46</v>
      </c>
      <c r="L184" s="34" t="s">
        <v>47</v>
      </c>
      <c r="M184">
        <v>7.0000000000000007E-2</v>
      </c>
    </row>
    <row r="185" spans="1:13" x14ac:dyDescent="0.3">
      <c r="A185" s="34" t="s">
        <v>662</v>
      </c>
      <c r="B185">
        <v>-1</v>
      </c>
      <c r="C185">
        <v>2050</v>
      </c>
      <c r="D185" s="34" t="s">
        <v>197</v>
      </c>
      <c r="E185" s="34" t="s">
        <v>231</v>
      </c>
      <c r="F185" s="34" t="s">
        <v>235</v>
      </c>
      <c r="G185" s="34" t="s">
        <v>239</v>
      </c>
      <c r="H185" s="34" t="s">
        <v>201</v>
      </c>
      <c r="I185" s="34" t="s">
        <v>19</v>
      </c>
      <c r="J185" s="34" t="s">
        <v>27</v>
      </c>
      <c r="K185" s="34" t="s">
        <v>48</v>
      </c>
      <c r="L185" s="34" t="s">
        <v>47</v>
      </c>
      <c r="M185">
        <v>-7.0000000000000007E-2</v>
      </c>
    </row>
    <row r="186" spans="1:13" x14ac:dyDescent="0.3">
      <c r="A186" s="34" t="s">
        <v>662</v>
      </c>
      <c r="B186">
        <v>-1</v>
      </c>
      <c r="C186">
        <v>2050</v>
      </c>
      <c r="D186" s="34" t="s">
        <v>197</v>
      </c>
      <c r="E186" s="34" t="s">
        <v>231</v>
      </c>
      <c r="F186" s="34" t="s">
        <v>235</v>
      </c>
      <c r="G186" s="34" t="s">
        <v>240</v>
      </c>
      <c r="H186" s="34" t="s">
        <v>237</v>
      </c>
      <c r="I186" s="34" t="s">
        <v>19</v>
      </c>
      <c r="J186" s="34" t="s">
        <v>27</v>
      </c>
      <c r="K186" s="34" t="s">
        <v>46</v>
      </c>
      <c r="L186" s="34" t="s">
        <v>47</v>
      </c>
      <c r="M186">
        <v>2.75E-2</v>
      </c>
    </row>
    <row r="187" spans="1:13" x14ac:dyDescent="0.3">
      <c r="A187" s="34" t="s">
        <v>662</v>
      </c>
      <c r="B187">
        <v>-1</v>
      </c>
      <c r="C187">
        <v>2050</v>
      </c>
      <c r="D187" s="34" t="s">
        <v>197</v>
      </c>
      <c r="E187" s="34" t="s">
        <v>231</v>
      </c>
      <c r="F187" s="34" t="s">
        <v>235</v>
      </c>
      <c r="G187" s="34" t="s">
        <v>240</v>
      </c>
      <c r="H187" s="34" t="s">
        <v>237</v>
      </c>
      <c r="I187" s="34" t="s">
        <v>19</v>
      </c>
      <c r="J187" s="34" t="s">
        <v>27</v>
      </c>
      <c r="K187" s="34" t="s">
        <v>48</v>
      </c>
      <c r="L187" s="34" t="s">
        <v>47</v>
      </c>
      <c r="M187">
        <v>-2.75E-2</v>
      </c>
    </row>
    <row r="188" spans="1:13" x14ac:dyDescent="0.3">
      <c r="A188" s="34" t="s">
        <v>662</v>
      </c>
      <c r="B188">
        <v>-1</v>
      </c>
      <c r="C188">
        <v>2050</v>
      </c>
      <c r="D188" s="34" t="s">
        <v>197</v>
      </c>
      <c r="E188" s="34" t="s">
        <v>231</v>
      </c>
      <c r="F188" s="34" t="s">
        <v>241</v>
      </c>
      <c r="G188" s="34" t="s">
        <v>239</v>
      </c>
      <c r="H188" s="34" t="s">
        <v>201</v>
      </c>
      <c r="I188" s="34" t="s">
        <v>19</v>
      </c>
      <c r="J188" s="34" t="s">
        <v>27</v>
      </c>
      <c r="K188" s="34" t="s">
        <v>46</v>
      </c>
      <c r="L188" s="34" t="s">
        <v>47</v>
      </c>
      <c r="M188">
        <v>6.3E-2</v>
      </c>
    </row>
    <row r="189" spans="1:13" x14ac:dyDescent="0.3">
      <c r="A189" s="34" t="s">
        <v>662</v>
      </c>
      <c r="B189">
        <v>-1</v>
      </c>
      <c r="C189">
        <v>2050</v>
      </c>
      <c r="D189" s="34" t="s">
        <v>197</v>
      </c>
      <c r="E189" s="34" t="s">
        <v>231</v>
      </c>
      <c r="F189" s="34" t="s">
        <v>241</v>
      </c>
      <c r="G189" s="34" t="s">
        <v>239</v>
      </c>
      <c r="H189" s="34" t="s">
        <v>201</v>
      </c>
      <c r="I189" s="34" t="s">
        <v>19</v>
      </c>
      <c r="J189" s="34" t="s">
        <v>27</v>
      </c>
      <c r="K189" s="34" t="s">
        <v>48</v>
      </c>
      <c r="L189" s="34" t="s">
        <v>47</v>
      </c>
      <c r="M189">
        <v>-6.3E-2</v>
      </c>
    </row>
    <row r="190" spans="1:13" x14ac:dyDescent="0.3">
      <c r="A190" s="34" t="s">
        <v>662</v>
      </c>
      <c r="B190">
        <v>-1</v>
      </c>
      <c r="C190">
        <v>2050</v>
      </c>
      <c r="D190" s="34" t="s">
        <v>197</v>
      </c>
      <c r="E190" s="34" t="s">
        <v>231</v>
      </c>
      <c r="F190" s="34" t="s">
        <v>241</v>
      </c>
      <c r="G190" s="34" t="s">
        <v>242</v>
      </c>
      <c r="H190" s="34" t="s">
        <v>39</v>
      </c>
      <c r="I190" s="34" t="s">
        <v>203</v>
      </c>
      <c r="J190" s="34" t="s">
        <v>204</v>
      </c>
      <c r="K190" s="34" t="s">
        <v>46</v>
      </c>
      <c r="L190" s="34" t="s">
        <v>47</v>
      </c>
      <c r="M190">
        <v>0.71111111111111114</v>
      </c>
    </row>
    <row r="191" spans="1:13" x14ac:dyDescent="0.3">
      <c r="A191" s="34" t="s">
        <v>662</v>
      </c>
      <c r="B191">
        <v>-1</v>
      </c>
      <c r="C191">
        <v>2050</v>
      </c>
      <c r="D191" s="34" t="s">
        <v>197</v>
      </c>
      <c r="E191" s="34" t="s">
        <v>231</v>
      </c>
      <c r="F191" s="34" t="s">
        <v>241</v>
      </c>
      <c r="G191" s="34" t="s">
        <v>242</v>
      </c>
      <c r="H191" s="34" t="s">
        <v>39</v>
      </c>
      <c r="I191" s="34" t="s">
        <v>203</v>
      </c>
      <c r="J191" s="34" t="s">
        <v>204</v>
      </c>
      <c r="K191" s="34" t="s">
        <v>48</v>
      </c>
      <c r="L191" s="34" t="s">
        <v>47</v>
      </c>
      <c r="M191">
        <v>-0.71111111111111114</v>
      </c>
    </row>
    <row r="192" spans="1:13" x14ac:dyDescent="0.3">
      <c r="A192" s="34" t="s">
        <v>662</v>
      </c>
      <c r="B192">
        <v>-1</v>
      </c>
      <c r="C192">
        <v>2050</v>
      </c>
      <c r="D192" s="34" t="s">
        <v>197</v>
      </c>
      <c r="E192" s="34" t="s">
        <v>231</v>
      </c>
      <c r="F192" s="34" t="s">
        <v>241</v>
      </c>
      <c r="G192" s="34" t="s">
        <v>242</v>
      </c>
      <c r="H192" s="34" t="s">
        <v>39</v>
      </c>
      <c r="I192" s="34" t="s">
        <v>19</v>
      </c>
      <c r="J192" s="34" t="s">
        <v>204</v>
      </c>
      <c r="K192" s="34" t="s">
        <v>46</v>
      </c>
      <c r="L192" s="34" t="s">
        <v>47</v>
      </c>
      <c r="M192">
        <v>0.64</v>
      </c>
    </row>
    <row r="193" spans="1:13" x14ac:dyDescent="0.3">
      <c r="A193" s="34" t="s">
        <v>662</v>
      </c>
      <c r="B193">
        <v>-1</v>
      </c>
      <c r="C193">
        <v>2050</v>
      </c>
      <c r="D193" s="34" t="s">
        <v>197</v>
      </c>
      <c r="E193" s="34" t="s">
        <v>231</v>
      </c>
      <c r="F193" s="34" t="s">
        <v>241</v>
      </c>
      <c r="G193" s="34" t="s">
        <v>242</v>
      </c>
      <c r="H193" s="34" t="s">
        <v>39</v>
      </c>
      <c r="I193" s="34" t="s">
        <v>19</v>
      </c>
      <c r="J193" s="34" t="s">
        <v>204</v>
      </c>
      <c r="K193" s="34" t="s">
        <v>48</v>
      </c>
      <c r="L193" s="34" t="s">
        <v>47</v>
      </c>
      <c r="M193">
        <v>-0.64</v>
      </c>
    </row>
    <row r="194" spans="1:13" x14ac:dyDescent="0.3">
      <c r="A194" s="34" t="s">
        <v>662</v>
      </c>
      <c r="B194">
        <v>-1</v>
      </c>
      <c r="C194">
        <v>2050</v>
      </c>
      <c r="D194" s="34" t="s">
        <v>197</v>
      </c>
      <c r="E194" s="34" t="s">
        <v>231</v>
      </c>
      <c r="F194" s="34" t="s">
        <v>241</v>
      </c>
      <c r="G194" s="34" t="s">
        <v>243</v>
      </c>
      <c r="H194" s="34" t="s">
        <v>201</v>
      </c>
      <c r="I194" s="34" t="s">
        <v>19</v>
      </c>
      <c r="J194" s="34" t="s">
        <v>27</v>
      </c>
      <c r="K194" s="34" t="s">
        <v>46</v>
      </c>
      <c r="L194" s="34" t="s">
        <v>47</v>
      </c>
      <c r="M194">
        <v>0.52</v>
      </c>
    </row>
    <row r="195" spans="1:13" x14ac:dyDescent="0.3">
      <c r="A195" s="34" t="s">
        <v>662</v>
      </c>
      <c r="B195">
        <v>-1</v>
      </c>
      <c r="C195">
        <v>2050</v>
      </c>
      <c r="D195" s="34" t="s">
        <v>197</v>
      </c>
      <c r="E195" s="34" t="s">
        <v>231</v>
      </c>
      <c r="F195" s="34" t="s">
        <v>241</v>
      </c>
      <c r="G195" s="34" t="s">
        <v>243</v>
      </c>
      <c r="H195" s="34" t="s">
        <v>201</v>
      </c>
      <c r="I195" s="34" t="s">
        <v>19</v>
      </c>
      <c r="J195" s="34" t="s">
        <v>27</v>
      </c>
      <c r="K195" s="34" t="s">
        <v>48</v>
      </c>
      <c r="L195" s="34" t="s">
        <v>47</v>
      </c>
      <c r="M195">
        <v>-0.52</v>
      </c>
    </row>
    <row r="196" spans="1:13" x14ac:dyDescent="0.3">
      <c r="A196" s="34" t="s">
        <v>662</v>
      </c>
      <c r="B196">
        <v>-1</v>
      </c>
      <c r="C196">
        <v>2050</v>
      </c>
      <c r="D196" s="34" t="s">
        <v>197</v>
      </c>
      <c r="E196" s="34" t="s">
        <v>231</v>
      </c>
      <c r="F196" s="34" t="s">
        <v>244</v>
      </c>
      <c r="G196" s="34" t="s">
        <v>238</v>
      </c>
      <c r="H196" s="34" t="s">
        <v>201</v>
      </c>
      <c r="I196" s="34" t="s">
        <v>19</v>
      </c>
      <c r="J196" s="34" t="s">
        <v>27</v>
      </c>
      <c r="K196" s="34" t="s">
        <v>46</v>
      </c>
      <c r="L196" s="34" t="s">
        <v>47</v>
      </c>
      <c r="M196">
        <v>0.02</v>
      </c>
    </row>
    <row r="197" spans="1:13" x14ac:dyDescent="0.3">
      <c r="A197" s="34" t="s">
        <v>662</v>
      </c>
      <c r="B197">
        <v>-1</v>
      </c>
      <c r="C197">
        <v>2050</v>
      </c>
      <c r="D197" s="34" t="s">
        <v>197</v>
      </c>
      <c r="E197" s="34" t="s">
        <v>231</v>
      </c>
      <c r="F197" s="34" t="s">
        <v>244</v>
      </c>
      <c r="G197" s="34" t="s">
        <v>238</v>
      </c>
      <c r="H197" s="34" t="s">
        <v>201</v>
      </c>
      <c r="I197" s="34" t="s">
        <v>19</v>
      </c>
      <c r="J197" s="34" t="s">
        <v>27</v>
      </c>
      <c r="K197" s="34" t="s">
        <v>48</v>
      </c>
      <c r="L197" s="34" t="s">
        <v>47</v>
      </c>
      <c r="M197">
        <v>-0.02</v>
      </c>
    </row>
    <row r="198" spans="1:13" x14ac:dyDescent="0.3">
      <c r="A198" s="34" t="s">
        <v>662</v>
      </c>
      <c r="B198">
        <v>-1</v>
      </c>
      <c r="C198">
        <v>2050</v>
      </c>
      <c r="D198" s="34" t="s">
        <v>197</v>
      </c>
      <c r="E198" s="34" t="s">
        <v>231</v>
      </c>
      <c r="F198" s="34" t="s">
        <v>244</v>
      </c>
      <c r="G198" s="34" t="s">
        <v>180</v>
      </c>
      <c r="H198" s="34" t="s">
        <v>18</v>
      </c>
      <c r="I198" s="34" t="s">
        <v>19</v>
      </c>
      <c r="J198" s="34" t="s">
        <v>181</v>
      </c>
      <c r="K198" s="34" t="s">
        <v>46</v>
      </c>
      <c r="L198" s="34" t="s">
        <v>47</v>
      </c>
      <c r="M198">
        <v>1.5E-5</v>
      </c>
    </row>
    <row r="199" spans="1:13" x14ac:dyDescent="0.3">
      <c r="A199" s="34" t="s">
        <v>662</v>
      </c>
      <c r="B199">
        <v>-1</v>
      </c>
      <c r="C199">
        <v>2050</v>
      </c>
      <c r="D199" s="34" t="s">
        <v>197</v>
      </c>
      <c r="E199" s="34" t="s">
        <v>231</v>
      </c>
      <c r="F199" s="34" t="s">
        <v>245</v>
      </c>
      <c r="G199" s="34" t="s">
        <v>246</v>
      </c>
      <c r="H199" s="34" t="s">
        <v>209</v>
      </c>
      <c r="I199" s="34" t="s">
        <v>19</v>
      </c>
      <c r="J199" s="34" t="s">
        <v>27</v>
      </c>
      <c r="K199" s="34" t="s">
        <v>46</v>
      </c>
      <c r="L199" s="34" t="s">
        <v>47</v>
      </c>
      <c r="M199">
        <v>1.3000000000000002E-4</v>
      </c>
    </row>
    <row r="200" spans="1:13" x14ac:dyDescent="0.3">
      <c r="A200" s="34" t="s">
        <v>662</v>
      </c>
      <c r="B200">
        <v>-1</v>
      </c>
      <c r="C200">
        <v>2050</v>
      </c>
      <c r="D200" s="34" t="s">
        <v>197</v>
      </c>
      <c r="E200" s="34" t="s">
        <v>231</v>
      </c>
      <c r="F200" s="34" t="s">
        <v>245</v>
      </c>
      <c r="G200" s="34" t="s">
        <v>246</v>
      </c>
      <c r="H200" s="34" t="s">
        <v>209</v>
      </c>
      <c r="I200" s="34" t="s">
        <v>19</v>
      </c>
      <c r="J200" s="34" t="s">
        <v>27</v>
      </c>
      <c r="K200" s="34" t="s">
        <v>48</v>
      </c>
      <c r="L200" s="34" t="s">
        <v>47</v>
      </c>
      <c r="M200">
        <v>-1.3000000000000002E-4</v>
      </c>
    </row>
    <row r="201" spans="1:13" x14ac:dyDescent="0.3">
      <c r="A201" s="34" t="s">
        <v>662</v>
      </c>
      <c r="B201">
        <v>-1</v>
      </c>
      <c r="C201">
        <v>2050</v>
      </c>
      <c r="D201" s="34" t="s">
        <v>197</v>
      </c>
      <c r="E201" s="34" t="s">
        <v>231</v>
      </c>
      <c r="F201" s="34" t="s">
        <v>245</v>
      </c>
      <c r="G201" s="34" t="s">
        <v>247</v>
      </c>
      <c r="H201" s="34" t="s">
        <v>209</v>
      </c>
      <c r="I201" s="34" t="s">
        <v>19</v>
      </c>
      <c r="J201" s="34" t="s">
        <v>27</v>
      </c>
      <c r="K201" s="34" t="s">
        <v>46</v>
      </c>
      <c r="L201" s="34" t="s">
        <v>47</v>
      </c>
      <c r="M201">
        <v>3.1E-4</v>
      </c>
    </row>
    <row r="202" spans="1:13" x14ac:dyDescent="0.3">
      <c r="A202" s="34" t="s">
        <v>662</v>
      </c>
      <c r="B202">
        <v>-1</v>
      </c>
      <c r="C202">
        <v>2050</v>
      </c>
      <c r="D202" s="34" t="s">
        <v>197</v>
      </c>
      <c r="E202" s="34" t="s">
        <v>231</v>
      </c>
      <c r="F202" s="34" t="s">
        <v>245</v>
      </c>
      <c r="G202" s="34" t="s">
        <v>247</v>
      </c>
      <c r="H202" s="34" t="s">
        <v>209</v>
      </c>
      <c r="I202" s="34" t="s">
        <v>19</v>
      </c>
      <c r="J202" s="34" t="s">
        <v>27</v>
      </c>
      <c r="K202" s="34" t="s">
        <v>48</v>
      </c>
      <c r="L202" s="34" t="s">
        <v>47</v>
      </c>
      <c r="M202">
        <v>-3.1E-4</v>
      </c>
    </row>
    <row r="203" spans="1:13" x14ac:dyDescent="0.3">
      <c r="A203" s="34" t="s">
        <v>662</v>
      </c>
      <c r="B203">
        <v>-1</v>
      </c>
      <c r="C203">
        <v>2050</v>
      </c>
      <c r="D203" s="34" t="s">
        <v>197</v>
      </c>
      <c r="E203" s="34" t="s">
        <v>231</v>
      </c>
      <c r="F203" s="34" t="s">
        <v>248</v>
      </c>
      <c r="G203" s="34" t="s">
        <v>249</v>
      </c>
      <c r="H203" s="34" t="s">
        <v>201</v>
      </c>
      <c r="I203" s="34" t="s">
        <v>19</v>
      </c>
      <c r="J203" s="34" t="s">
        <v>27</v>
      </c>
      <c r="K203" s="34" t="s">
        <v>46</v>
      </c>
      <c r="L203" s="34" t="s">
        <v>47</v>
      </c>
      <c r="M203">
        <v>1.25E-3</v>
      </c>
    </row>
    <row r="204" spans="1:13" x14ac:dyDescent="0.3">
      <c r="A204" s="34" t="s">
        <v>662</v>
      </c>
      <c r="B204">
        <v>-1</v>
      </c>
      <c r="C204">
        <v>2050</v>
      </c>
      <c r="D204" s="34" t="s">
        <v>197</v>
      </c>
      <c r="E204" s="34" t="s">
        <v>231</v>
      </c>
      <c r="F204" s="34" t="s">
        <v>248</v>
      </c>
      <c r="G204" s="34" t="s">
        <v>249</v>
      </c>
      <c r="H204" s="34" t="s">
        <v>201</v>
      </c>
      <c r="I204" s="34" t="s">
        <v>19</v>
      </c>
      <c r="J204" s="34" t="s">
        <v>27</v>
      </c>
      <c r="K204" s="34" t="s">
        <v>48</v>
      </c>
      <c r="L204" s="34" t="s">
        <v>47</v>
      </c>
      <c r="M204">
        <v>-1.25E-3</v>
      </c>
    </row>
    <row r="205" spans="1:13" x14ac:dyDescent="0.3">
      <c r="A205" s="34" t="s">
        <v>662</v>
      </c>
      <c r="B205">
        <v>-1</v>
      </c>
      <c r="C205">
        <v>2050</v>
      </c>
      <c r="D205" s="34" t="s">
        <v>197</v>
      </c>
      <c r="E205" s="34" t="s">
        <v>231</v>
      </c>
      <c r="F205" s="34" t="s">
        <v>597</v>
      </c>
      <c r="G205" s="34" t="s">
        <v>28</v>
      </c>
      <c r="H205" s="34" t="s">
        <v>23</v>
      </c>
      <c r="I205" s="34" t="s">
        <v>19</v>
      </c>
      <c r="J205" s="34" t="s">
        <v>24</v>
      </c>
      <c r="K205" s="34" t="s">
        <v>46</v>
      </c>
      <c r="L205" s="34" t="s">
        <v>47</v>
      </c>
      <c r="M205">
        <v>0.26548035599999598</v>
      </c>
    </row>
    <row r="206" spans="1:13" x14ac:dyDescent="0.3">
      <c r="A206" s="34" t="s">
        <v>662</v>
      </c>
      <c r="B206">
        <v>-1</v>
      </c>
      <c r="C206">
        <v>2050</v>
      </c>
      <c r="D206" s="34" t="s">
        <v>197</v>
      </c>
      <c r="E206" s="34" t="s">
        <v>231</v>
      </c>
      <c r="F206" s="34" t="s">
        <v>597</v>
      </c>
      <c r="G206" s="34" t="s">
        <v>28</v>
      </c>
      <c r="H206" s="34" t="s">
        <v>23</v>
      </c>
      <c r="I206" s="34" t="s">
        <v>19</v>
      </c>
      <c r="J206" s="34" t="s">
        <v>24</v>
      </c>
      <c r="K206" s="34" t="s">
        <v>48</v>
      </c>
      <c r="L206" s="34" t="s">
        <v>47</v>
      </c>
      <c r="M206">
        <v>-0.26548035599999598</v>
      </c>
    </row>
    <row r="207" spans="1:13" x14ac:dyDescent="0.3">
      <c r="A207" s="34" t="s">
        <v>662</v>
      </c>
      <c r="B207">
        <v>-1</v>
      </c>
      <c r="C207">
        <v>2050</v>
      </c>
      <c r="D207" s="34" t="s">
        <v>197</v>
      </c>
      <c r="E207" s="34" t="s">
        <v>231</v>
      </c>
      <c r="F207" s="34" t="s">
        <v>597</v>
      </c>
      <c r="G207" s="34" t="s">
        <v>222</v>
      </c>
      <c r="H207" s="34" t="s">
        <v>21</v>
      </c>
      <c r="I207" s="34" t="s">
        <v>19</v>
      </c>
      <c r="J207" s="34" t="s">
        <v>223</v>
      </c>
      <c r="K207" s="34" t="s">
        <v>46</v>
      </c>
      <c r="L207" s="34" t="s">
        <v>47</v>
      </c>
      <c r="M207">
        <v>1.0444000000000002</v>
      </c>
    </row>
    <row r="208" spans="1:13" x14ac:dyDescent="0.3">
      <c r="A208" s="34" t="s">
        <v>662</v>
      </c>
      <c r="B208">
        <v>-1</v>
      </c>
      <c r="C208">
        <v>2050</v>
      </c>
      <c r="D208" s="34" t="s">
        <v>197</v>
      </c>
      <c r="E208" s="34" t="s">
        <v>231</v>
      </c>
      <c r="F208" s="34" t="s">
        <v>597</v>
      </c>
      <c r="G208" s="34" t="s">
        <v>222</v>
      </c>
      <c r="H208" s="34" t="s">
        <v>21</v>
      </c>
      <c r="I208" s="34" t="s">
        <v>19</v>
      </c>
      <c r="J208" s="34" t="s">
        <v>223</v>
      </c>
      <c r="K208" s="34" t="s">
        <v>48</v>
      </c>
      <c r="L208" s="34" t="s">
        <v>47</v>
      </c>
      <c r="M208">
        <v>-1.0444000000000002</v>
      </c>
    </row>
    <row r="209" spans="1:13" x14ac:dyDescent="0.3">
      <c r="A209" s="34" t="s">
        <v>662</v>
      </c>
      <c r="B209">
        <v>-1</v>
      </c>
      <c r="C209">
        <v>2050</v>
      </c>
      <c r="D209" s="34" t="s">
        <v>197</v>
      </c>
      <c r="E209" s="34" t="s">
        <v>231</v>
      </c>
      <c r="F209" s="34" t="s">
        <v>597</v>
      </c>
      <c r="G209" s="34" t="s">
        <v>29</v>
      </c>
      <c r="H209" s="34" t="s">
        <v>21</v>
      </c>
      <c r="I209" s="34" t="s">
        <v>19</v>
      </c>
      <c r="J209" s="34" t="s">
        <v>22</v>
      </c>
      <c r="K209" s="34" t="s">
        <v>46</v>
      </c>
      <c r="L209" s="34" t="s">
        <v>47</v>
      </c>
      <c r="M209">
        <v>6.5936682499999802E-2</v>
      </c>
    </row>
    <row r="210" spans="1:13" x14ac:dyDescent="0.3">
      <c r="A210" s="34" t="s">
        <v>662</v>
      </c>
      <c r="B210">
        <v>-1</v>
      </c>
      <c r="C210">
        <v>2050</v>
      </c>
      <c r="D210" s="34" t="s">
        <v>197</v>
      </c>
      <c r="E210" s="34" t="s">
        <v>231</v>
      </c>
      <c r="F210" s="34" t="s">
        <v>597</v>
      </c>
      <c r="G210" s="34" t="s">
        <v>29</v>
      </c>
      <c r="H210" s="34" t="s">
        <v>21</v>
      </c>
      <c r="I210" s="34" t="s">
        <v>19</v>
      </c>
      <c r="J210" s="34" t="s">
        <v>22</v>
      </c>
      <c r="K210" s="34" t="s">
        <v>48</v>
      </c>
      <c r="L210" s="34" t="s">
        <v>47</v>
      </c>
      <c r="M210">
        <v>-6.5936682499999788E-2</v>
      </c>
    </row>
    <row r="211" spans="1:13" x14ac:dyDescent="0.3">
      <c r="A211" s="34" t="s">
        <v>662</v>
      </c>
      <c r="B211">
        <v>-1</v>
      </c>
      <c r="C211">
        <v>2050</v>
      </c>
      <c r="D211" s="34" t="s">
        <v>197</v>
      </c>
      <c r="E211" s="34" t="s">
        <v>231</v>
      </c>
      <c r="F211" s="34" t="s">
        <v>597</v>
      </c>
      <c r="G211" s="34" t="s">
        <v>20</v>
      </c>
      <c r="H211" s="34" t="s">
        <v>21</v>
      </c>
      <c r="I211" s="34" t="s">
        <v>19</v>
      </c>
      <c r="J211" s="34" t="s">
        <v>22</v>
      </c>
      <c r="K211" s="34" t="s">
        <v>46</v>
      </c>
      <c r="L211" s="34" t="s">
        <v>47</v>
      </c>
      <c r="M211">
        <v>0.38602431999999903</v>
      </c>
    </row>
    <row r="212" spans="1:13" x14ac:dyDescent="0.3">
      <c r="A212" s="34" t="s">
        <v>662</v>
      </c>
      <c r="B212">
        <v>-1</v>
      </c>
      <c r="C212">
        <v>2050</v>
      </c>
      <c r="D212" s="34" t="s">
        <v>197</v>
      </c>
      <c r="E212" s="34" t="s">
        <v>231</v>
      </c>
      <c r="F212" s="34" t="s">
        <v>597</v>
      </c>
      <c r="G212" s="34" t="s">
        <v>20</v>
      </c>
      <c r="H212" s="34" t="s">
        <v>21</v>
      </c>
      <c r="I212" s="34" t="s">
        <v>19</v>
      </c>
      <c r="J212" s="34" t="s">
        <v>22</v>
      </c>
      <c r="K212" s="34" t="s">
        <v>48</v>
      </c>
      <c r="L212" s="34" t="s">
        <v>47</v>
      </c>
      <c r="M212">
        <v>-0.38602431999999903</v>
      </c>
    </row>
    <row r="213" spans="1:13" x14ac:dyDescent="0.3">
      <c r="A213" s="34" t="s">
        <v>662</v>
      </c>
      <c r="B213">
        <v>-1</v>
      </c>
      <c r="C213">
        <v>2050</v>
      </c>
      <c r="D213" s="34" t="s">
        <v>197</v>
      </c>
      <c r="E213" s="34" t="s">
        <v>231</v>
      </c>
      <c r="F213" s="34" t="s">
        <v>597</v>
      </c>
      <c r="G213" s="34" t="s">
        <v>30</v>
      </c>
      <c r="H213" s="34" t="s">
        <v>21</v>
      </c>
      <c r="I213" s="34" t="s">
        <v>19</v>
      </c>
      <c r="J213" s="34" t="s">
        <v>22</v>
      </c>
      <c r="K213" s="34" t="s">
        <v>46</v>
      </c>
      <c r="L213" s="34" t="s">
        <v>47</v>
      </c>
      <c r="M213">
        <v>0.23345149749999899</v>
      </c>
    </row>
    <row r="214" spans="1:13" x14ac:dyDescent="0.3">
      <c r="A214" s="34" t="s">
        <v>662</v>
      </c>
      <c r="B214">
        <v>-1</v>
      </c>
      <c r="C214">
        <v>2050</v>
      </c>
      <c r="D214" s="34" t="s">
        <v>197</v>
      </c>
      <c r="E214" s="34" t="s">
        <v>231</v>
      </c>
      <c r="F214" s="34" t="s">
        <v>597</v>
      </c>
      <c r="G214" s="34" t="s">
        <v>30</v>
      </c>
      <c r="H214" s="34" t="s">
        <v>21</v>
      </c>
      <c r="I214" s="34" t="s">
        <v>19</v>
      </c>
      <c r="J214" s="34" t="s">
        <v>22</v>
      </c>
      <c r="K214" s="34" t="s">
        <v>48</v>
      </c>
      <c r="L214" s="34" t="s">
        <v>47</v>
      </c>
      <c r="M214">
        <v>-0.23345149749999905</v>
      </c>
    </row>
    <row r="215" spans="1:13" x14ac:dyDescent="0.3">
      <c r="A215" s="34" t="s">
        <v>662</v>
      </c>
      <c r="B215">
        <v>-1</v>
      </c>
      <c r="C215">
        <v>2050</v>
      </c>
      <c r="D215" s="34" t="s">
        <v>197</v>
      </c>
      <c r="E215" s="34" t="s">
        <v>231</v>
      </c>
      <c r="F215" s="34" t="s">
        <v>597</v>
      </c>
      <c r="G215" s="34" t="s">
        <v>644</v>
      </c>
      <c r="H215" s="34" t="s">
        <v>21</v>
      </c>
      <c r="I215" s="34" t="s">
        <v>19</v>
      </c>
      <c r="J215" s="34" t="s">
        <v>22</v>
      </c>
      <c r="K215" s="34" t="s">
        <v>49</v>
      </c>
      <c r="L215" s="34" t="s">
        <v>47</v>
      </c>
      <c r="M215">
        <v>3.9377162629757816</v>
      </c>
    </row>
    <row r="216" spans="1:13" x14ac:dyDescent="0.3">
      <c r="A216" s="34" t="s">
        <v>662</v>
      </c>
      <c r="B216">
        <v>-1</v>
      </c>
      <c r="C216">
        <v>2050</v>
      </c>
      <c r="D216" s="34" t="s">
        <v>250</v>
      </c>
      <c r="E216" s="34" t="s">
        <v>251</v>
      </c>
      <c r="F216" s="34" t="s">
        <v>444</v>
      </c>
      <c r="G216" s="34" t="s">
        <v>247</v>
      </c>
      <c r="H216" s="34" t="s">
        <v>209</v>
      </c>
      <c r="I216" s="34" t="s">
        <v>19</v>
      </c>
      <c r="J216" s="34" t="s">
        <v>27</v>
      </c>
      <c r="K216" s="34" t="s">
        <v>46</v>
      </c>
      <c r="L216" s="34" t="s">
        <v>47</v>
      </c>
      <c r="M216">
        <v>1.3000000000000002E-3</v>
      </c>
    </row>
    <row r="217" spans="1:13" x14ac:dyDescent="0.3">
      <c r="A217" s="34" t="s">
        <v>662</v>
      </c>
      <c r="B217">
        <v>-1</v>
      </c>
      <c r="C217">
        <v>2050</v>
      </c>
      <c r="D217" s="34" t="s">
        <v>250</v>
      </c>
      <c r="E217" s="34" t="s">
        <v>251</v>
      </c>
      <c r="F217" s="34" t="s">
        <v>444</v>
      </c>
      <c r="G217" s="34" t="s">
        <v>247</v>
      </c>
      <c r="H217" s="34" t="s">
        <v>209</v>
      </c>
      <c r="I217" s="34" t="s">
        <v>19</v>
      </c>
      <c r="J217" s="34" t="s">
        <v>27</v>
      </c>
      <c r="K217" s="34" t="s">
        <v>48</v>
      </c>
      <c r="L217" s="34" t="s">
        <v>47</v>
      </c>
      <c r="M217">
        <v>-1.3000000000000002E-3</v>
      </c>
    </row>
    <row r="218" spans="1:13" x14ac:dyDescent="0.3">
      <c r="A218" s="34" t="s">
        <v>662</v>
      </c>
      <c r="B218">
        <v>-1</v>
      </c>
      <c r="C218">
        <v>2050</v>
      </c>
      <c r="D218" s="34" t="s">
        <v>250</v>
      </c>
      <c r="E218" s="34" t="s">
        <v>251</v>
      </c>
      <c r="F218" s="34" t="s">
        <v>444</v>
      </c>
      <c r="G218" s="34" t="s">
        <v>445</v>
      </c>
      <c r="H218" s="34" t="s">
        <v>40</v>
      </c>
      <c r="I218" s="34" t="s">
        <v>19</v>
      </c>
      <c r="J218" s="34" t="s">
        <v>27</v>
      </c>
      <c r="K218" s="34" t="s">
        <v>46</v>
      </c>
      <c r="L218" s="34" t="s">
        <v>47</v>
      </c>
      <c r="M218">
        <v>2.7000000000000001E-3</v>
      </c>
    </row>
    <row r="219" spans="1:13" x14ac:dyDescent="0.3">
      <c r="A219" s="34" t="s">
        <v>662</v>
      </c>
      <c r="B219">
        <v>-1</v>
      </c>
      <c r="C219">
        <v>2050</v>
      </c>
      <c r="D219" s="34" t="s">
        <v>250</v>
      </c>
      <c r="E219" s="34" t="s">
        <v>251</v>
      </c>
      <c r="F219" s="34" t="s">
        <v>444</v>
      </c>
      <c r="G219" s="34" t="s">
        <v>445</v>
      </c>
      <c r="H219" s="34" t="s">
        <v>40</v>
      </c>
      <c r="I219" s="34" t="s">
        <v>19</v>
      </c>
      <c r="J219" s="34" t="s">
        <v>27</v>
      </c>
      <c r="K219" s="34" t="s">
        <v>48</v>
      </c>
      <c r="L219" s="34" t="s">
        <v>47</v>
      </c>
      <c r="M219">
        <v>-2.7000000000000001E-3</v>
      </c>
    </row>
    <row r="220" spans="1:13" x14ac:dyDescent="0.3">
      <c r="A220" s="34" t="s">
        <v>662</v>
      </c>
      <c r="B220">
        <v>-1</v>
      </c>
      <c r="C220">
        <v>2050</v>
      </c>
      <c r="D220" s="34" t="s">
        <v>250</v>
      </c>
      <c r="E220" s="34" t="s">
        <v>251</v>
      </c>
      <c r="F220" s="34" t="s">
        <v>444</v>
      </c>
      <c r="G220" s="34" t="s">
        <v>252</v>
      </c>
      <c r="H220" s="34" t="s">
        <v>237</v>
      </c>
      <c r="I220" s="34" t="s">
        <v>19</v>
      </c>
      <c r="J220" s="34" t="s">
        <v>27</v>
      </c>
      <c r="K220" s="34" t="s">
        <v>46</v>
      </c>
      <c r="L220" s="34" t="s">
        <v>47</v>
      </c>
      <c r="M220">
        <v>4.7899999999999998E-2</v>
      </c>
    </row>
    <row r="221" spans="1:13" x14ac:dyDescent="0.3">
      <c r="A221" s="34" t="s">
        <v>662</v>
      </c>
      <c r="B221">
        <v>-1</v>
      </c>
      <c r="C221">
        <v>2050</v>
      </c>
      <c r="D221" s="34" t="s">
        <v>250</v>
      </c>
      <c r="E221" s="34" t="s">
        <v>251</v>
      </c>
      <c r="F221" s="34" t="s">
        <v>444</v>
      </c>
      <c r="G221" s="34" t="s">
        <v>252</v>
      </c>
      <c r="H221" s="34" t="s">
        <v>237</v>
      </c>
      <c r="I221" s="34" t="s">
        <v>19</v>
      </c>
      <c r="J221" s="34" t="s">
        <v>27</v>
      </c>
      <c r="K221" s="34" t="s">
        <v>48</v>
      </c>
      <c r="L221" s="34" t="s">
        <v>47</v>
      </c>
      <c r="M221">
        <v>-4.7899999999999998E-2</v>
      </c>
    </row>
    <row r="222" spans="1:13" x14ac:dyDescent="0.3">
      <c r="A222" s="34" t="s">
        <v>662</v>
      </c>
      <c r="B222">
        <v>-1</v>
      </c>
      <c r="C222">
        <v>2050</v>
      </c>
      <c r="D222" s="34" t="s">
        <v>250</v>
      </c>
      <c r="E222" s="34" t="s">
        <v>251</v>
      </c>
      <c r="F222" s="34" t="s">
        <v>444</v>
      </c>
      <c r="G222" s="34" t="s">
        <v>200</v>
      </c>
      <c r="H222" s="34" t="s">
        <v>201</v>
      </c>
      <c r="I222" s="34" t="s">
        <v>19</v>
      </c>
      <c r="J222" s="34" t="s">
        <v>27</v>
      </c>
      <c r="K222" s="34" t="s">
        <v>46</v>
      </c>
      <c r="L222" s="34" t="s">
        <v>47</v>
      </c>
      <c r="M222">
        <v>1.1017999999999999</v>
      </c>
    </row>
    <row r="223" spans="1:13" x14ac:dyDescent="0.3">
      <c r="A223" s="34" t="s">
        <v>662</v>
      </c>
      <c r="B223">
        <v>-1</v>
      </c>
      <c r="C223">
        <v>2050</v>
      </c>
      <c r="D223" s="34" t="s">
        <v>250</v>
      </c>
      <c r="E223" s="34" t="s">
        <v>251</v>
      </c>
      <c r="F223" s="34" t="s">
        <v>444</v>
      </c>
      <c r="G223" s="34" t="s">
        <v>200</v>
      </c>
      <c r="H223" s="34" t="s">
        <v>201</v>
      </c>
      <c r="I223" s="34" t="s">
        <v>19</v>
      </c>
      <c r="J223" s="34" t="s">
        <v>27</v>
      </c>
      <c r="K223" s="34" t="s">
        <v>48</v>
      </c>
      <c r="L223" s="34" t="s">
        <v>47</v>
      </c>
      <c r="M223">
        <v>-1.1018000000000001</v>
      </c>
    </row>
    <row r="224" spans="1:13" x14ac:dyDescent="0.3">
      <c r="A224" s="34" t="s">
        <v>662</v>
      </c>
      <c r="B224">
        <v>-1</v>
      </c>
      <c r="C224">
        <v>2050</v>
      </c>
      <c r="D224" s="34" t="s">
        <v>250</v>
      </c>
      <c r="E224" s="34" t="s">
        <v>251</v>
      </c>
      <c r="F224" s="34" t="s">
        <v>444</v>
      </c>
      <c r="G224" s="34" t="s">
        <v>170</v>
      </c>
      <c r="H224" s="34" t="s">
        <v>18</v>
      </c>
      <c r="I224" s="34" t="s">
        <v>19</v>
      </c>
      <c r="J224" s="34" t="s">
        <v>32</v>
      </c>
      <c r="K224" s="34" t="s">
        <v>46</v>
      </c>
      <c r="L224" s="34" t="s">
        <v>47</v>
      </c>
      <c r="M224">
        <v>0.15694999999999998</v>
      </c>
    </row>
    <row r="225" spans="1:13" x14ac:dyDescent="0.3">
      <c r="A225" s="34" t="s">
        <v>662</v>
      </c>
      <c r="B225">
        <v>-1</v>
      </c>
      <c r="C225">
        <v>2050</v>
      </c>
      <c r="D225" s="34" t="s">
        <v>250</v>
      </c>
      <c r="E225" s="34" t="s">
        <v>251</v>
      </c>
      <c r="F225" s="34" t="s">
        <v>444</v>
      </c>
      <c r="G225" s="34" t="s">
        <v>171</v>
      </c>
      <c r="H225" s="34" t="s">
        <v>18</v>
      </c>
      <c r="I225" s="34" t="s">
        <v>19</v>
      </c>
      <c r="J225" s="34" t="s">
        <v>32</v>
      </c>
      <c r="K225" s="34" t="s">
        <v>46</v>
      </c>
      <c r="L225" s="34" t="s">
        <v>47</v>
      </c>
      <c r="M225">
        <v>0.15694999999999998</v>
      </c>
    </row>
    <row r="226" spans="1:13" x14ac:dyDescent="0.3">
      <c r="A226" s="34" t="s">
        <v>662</v>
      </c>
      <c r="B226">
        <v>-1</v>
      </c>
      <c r="C226">
        <v>2050</v>
      </c>
      <c r="D226" s="34" t="s">
        <v>250</v>
      </c>
      <c r="E226" s="34" t="s">
        <v>251</v>
      </c>
      <c r="F226" s="34" t="s">
        <v>444</v>
      </c>
      <c r="G226" s="34" t="s">
        <v>172</v>
      </c>
      <c r="H226" s="34" t="s">
        <v>18</v>
      </c>
      <c r="I226" s="34" t="s">
        <v>19</v>
      </c>
      <c r="J226" s="34" t="s">
        <v>32</v>
      </c>
      <c r="K226" s="34" t="s">
        <v>46</v>
      </c>
      <c r="L226" s="34" t="s">
        <v>47</v>
      </c>
      <c r="M226">
        <v>0.15694999999999998</v>
      </c>
    </row>
    <row r="227" spans="1:13" x14ac:dyDescent="0.3">
      <c r="A227" s="34" t="s">
        <v>662</v>
      </c>
      <c r="B227">
        <v>-1</v>
      </c>
      <c r="C227">
        <v>2050</v>
      </c>
      <c r="D227" s="34" t="s">
        <v>250</v>
      </c>
      <c r="E227" s="34" t="s">
        <v>251</v>
      </c>
      <c r="F227" s="34" t="s">
        <v>444</v>
      </c>
      <c r="G227" s="34" t="s">
        <v>173</v>
      </c>
      <c r="H227" s="34" t="s">
        <v>18</v>
      </c>
      <c r="I227" s="34" t="s">
        <v>19</v>
      </c>
      <c r="J227" s="34" t="s">
        <v>32</v>
      </c>
      <c r="K227" s="34" t="s">
        <v>46</v>
      </c>
      <c r="L227" s="34" t="s">
        <v>47</v>
      </c>
      <c r="M227">
        <v>0.15694999999999998</v>
      </c>
    </row>
    <row r="228" spans="1:13" x14ac:dyDescent="0.3">
      <c r="A228" s="34" t="s">
        <v>662</v>
      </c>
      <c r="B228">
        <v>-1</v>
      </c>
      <c r="C228">
        <v>2050</v>
      </c>
      <c r="D228" s="34" t="s">
        <v>250</v>
      </c>
      <c r="E228" s="34" t="s">
        <v>251</v>
      </c>
      <c r="F228" s="34" t="s">
        <v>444</v>
      </c>
      <c r="G228" s="34" t="s">
        <v>174</v>
      </c>
      <c r="H228" s="34" t="s">
        <v>18</v>
      </c>
      <c r="I228" s="34" t="s">
        <v>19</v>
      </c>
      <c r="J228" s="34" t="s">
        <v>32</v>
      </c>
      <c r="K228" s="34" t="s">
        <v>46</v>
      </c>
      <c r="L228" s="34" t="s">
        <v>47</v>
      </c>
      <c r="M228">
        <v>0.15694999999999998</v>
      </c>
    </row>
    <row r="229" spans="1:13" x14ac:dyDescent="0.3">
      <c r="A229" s="34" t="s">
        <v>662</v>
      </c>
      <c r="B229">
        <v>-1</v>
      </c>
      <c r="C229">
        <v>2050</v>
      </c>
      <c r="D229" s="34" t="s">
        <v>250</v>
      </c>
      <c r="E229" s="34" t="s">
        <v>251</v>
      </c>
      <c r="F229" s="34" t="s">
        <v>444</v>
      </c>
      <c r="G229" s="34" t="s">
        <v>175</v>
      </c>
      <c r="H229" s="34" t="s">
        <v>18</v>
      </c>
      <c r="I229" s="34" t="s">
        <v>19</v>
      </c>
      <c r="J229" s="34" t="s">
        <v>32</v>
      </c>
      <c r="K229" s="34" t="s">
        <v>46</v>
      </c>
      <c r="L229" s="34" t="s">
        <v>47</v>
      </c>
      <c r="M229">
        <v>0.15694999999999998</v>
      </c>
    </row>
    <row r="230" spans="1:13" x14ac:dyDescent="0.3">
      <c r="A230" s="34" t="s">
        <v>662</v>
      </c>
      <c r="B230">
        <v>-1</v>
      </c>
      <c r="C230">
        <v>2050</v>
      </c>
      <c r="D230" s="34" t="s">
        <v>250</v>
      </c>
      <c r="E230" s="34" t="s">
        <v>251</v>
      </c>
      <c r="F230" s="34" t="s">
        <v>444</v>
      </c>
      <c r="G230" s="34" t="s">
        <v>176</v>
      </c>
      <c r="H230" s="34" t="s">
        <v>18</v>
      </c>
      <c r="I230" s="34" t="s">
        <v>19</v>
      </c>
      <c r="J230" s="34" t="s">
        <v>32</v>
      </c>
      <c r="K230" s="34" t="s">
        <v>46</v>
      </c>
      <c r="L230" s="34" t="s">
        <v>47</v>
      </c>
      <c r="M230">
        <v>0.15694999999999998</v>
      </c>
    </row>
    <row r="231" spans="1:13" x14ac:dyDescent="0.3">
      <c r="A231" s="34" t="s">
        <v>662</v>
      </c>
      <c r="B231">
        <v>-1</v>
      </c>
      <c r="C231">
        <v>2050</v>
      </c>
      <c r="D231" s="34" t="s">
        <v>250</v>
      </c>
      <c r="E231" s="34" t="s">
        <v>251</v>
      </c>
      <c r="F231" s="34" t="s">
        <v>444</v>
      </c>
      <c r="G231" s="34" t="s">
        <v>177</v>
      </c>
      <c r="H231" s="34" t="s">
        <v>18</v>
      </c>
      <c r="I231" s="34" t="s">
        <v>19</v>
      </c>
      <c r="J231" s="34" t="s">
        <v>32</v>
      </c>
      <c r="K231" s="34" t="s">
        <v>46</v>
      </c>
      <c r="L231" s="34" t="s">
        <v>47</v>
      </c>
      <c r="M231">
        <v>0.15694999999999998</v>
      </c>
    </row>
    <row r="232" spans="1:13" x14ac:dyDescent="0.3">
      <c r="A232" s="34" t="s">
        <v>662</v>
      </c>
      <c r="B232">
        <v>-1</v>
      </c>
      <c r="C232">
        <v>2050</v>
      </c>
      <c r="D232" s="34" t="s">
        <v>250</v>
      </c>
      <c r="E232" s="34" t="s">
        <v>251</v>
      </c>
      <c r="F232" s="34" t="s">
        <v>444</v>
      </c>
      <c r="G232" s="34" t="s">
        <v>178</v>
      </c>
      <c r="H232" s="34" t="s">
        <v>18</v>
      </c>
      <c r="I232" s="34" t="s">
        <v>19</v>
      </c>
      <c r="J232" s="34" t="s">
        <v>32</v>
      </c>
      <c r="K232" s="34" t="s">
        <v>46</v>
      </c>
      <c r="L232" s="34" t="s">
        <v>47</v>
      </c>
      <c r="M232">
        <v>0.15694999999999998</v>
      </c>
    </row>
    <row r="233" spans="1:13" x14ac:dyDescent="0.3">
      <c r="A233" s="34" t="s">
        <v>662</v>
      </c>
      <c r="B233">
        <v>-1</v>
      </c>
      <c r="C233">
        <v>2050</v>
      </c>
      <c r="D233" s="34" t="s">
        <v>250</v>
      </c>
      <c r="E233" s="34" t="s">
        <v>251</v>
      </c>
      <c r="F233" s="34" t="s">
        <v>444</v>
      </c>
      <c r="G233" s="34" t="s">
        <v>179</v>
      </c>
      <c r="H233" s="34" t="s">
        <v>18</v>
      </c>
      <c r="I233" s="34" t="s">
        <v>19</v>
      </c>
      <c r="J233" s="34" t="s">
        <v>32</v>
      </c>
      <c r="K233" s="34" t="s">
        <v>46</v>
      </c>
      <c r="L233" s="34" t="s">
        <v>47</v>
      </c>
      <c r="M233">
        <v>0.15694999999999998</v>
      </c>
    </row>
    <row r="234" spans="1:13" x14ac:dyDescent="0.3">
      <c r="A234" s="34" t="s">
        <v>662</v>
      </c>
      <c r="B234">
        <v>-1</v>
      </c>
      <c r="C234">
        <v>2050</v>
      </c>
      <c r="D234" s="34" t="s">
        <v>250</v>
      </c>
      <c r="E234" s="34" t="s">
        <v>251</v>
      </c>
      <c r="F234" s="34" t="s">
        <v>444</v>
      </c>
      <c r="G234" s="34" t="s">
        <v>180</v>
      </c>
      <c r="H234" s="34" t="s">
        <v>18</v>
      </c>
      <c r="I234" s="34" t="s">
        <v>19</v>
      </c>
      <c r="J234" s="34" t="s">
        <v>181</v>
      </c>
      <c r="K234" s="34" t="s">
        <v>46</v>
      </c>
      <c r="L234" s="34" t="s">
        <v>47</v>
      </c>
      <c r="M234">
        <v>1.8567</v>
      </c>
    </row>
    <row r="235" spans="1:13" x14ac:dyDescent="0.3">
      <c r="A235" s="34" t="s">
        <v>662</v>
      </c>
      <c r="B235">
        <v>-1</v>
      </c>
      <c r="C235">
        <v>2050</v>
      </c>
      <c r="D235" s="34" t="s">
        <v>250</v>
      </c>
      <c r="E235" s="34" t="s">
        <v>251</v>
      </c>
      <c r="F235" s="34" t="s">
        <v>444</v>
      </c>
      <c r="G235" s="34" t="s">
        <v>446</v>
      </c>
      <c r="H235" s="34" t="s">
        <v>39</v>
      </c>
      <c r="I235" s="34" t="s">
        <v>19</v>
      </c>
      <c r="J235" s="34" t="s">
        <v>27</v>
      </c>
      <c r="K235" s="34" t="s">
        <v>46</v>
      </c>
      <c r="L235" s="34" t="s">
        <v>47</v>
      </c>
      <c r="M235">
        <v>0.56500000000000006</v>
      </c>
    </row>
    <row r="236" spans="1:13" x14ac:dyDescent="0.3">
      <c r="A236" s="34" t="s">
        <v>662</v>
      </c>
      <c r="B236">
        <v>-1</v>
      </c>
      <c r="C236">
        <v>2050</v>
      </c>
      <c r="D236" s="34" t="s">
        <v>250</v>
      </c>
      <c r="E236" s="34" t="s">
        <v>251</v>
      </c>
      <c r="F236" s="34" t="s">
        <v>444</v>
      </c>
      <c r="G236" s="34" t="s">
        <v>446</v>
      </c>
      <c r="H236" s="34" t="s">
        <v>39</v>
      </c>
      <c r="I236" s="34" t="s">
        <v>19</v>
      </c>
      <c r="J236" s="34" t="s">
        <v>27</v>
      </c>
      <c r="K236" s="34" t="s">
        <v>48</v>
      </c>
      <c r="L236" s="34" t="s">
        <v>47</v>
      </c>
      <c r="M236">
        <v>-0.56500000000000006</v>
      </c>
    </row>
    <row r="237" spans="1:13" x14ac:dyDescent="0.3">
      <c r="A237" s="34" t="s">
        <v>662</v>
      </c>
      <c r="B237">
        <v>-1</v>
      </c>
      <c r="C237">
        <v>2050</v>
      </c>
      <c r="D237" s="34" t="s">
        <v>250</v>
      </c>
      <c r="E237" s="34" t="s">
        <v>251</v>
      </c>
      <c r="F237" s="34" t="s">
        <v>444</v>
      </c>
      <c r="G237" s="34" t="s">
        <v>253</v>
      </c>
      <c r="H237" s="34" t="s">
        <v>254</v>
      </c>
      <c r="I237" s="34" t="s">
        <v>19</v>
      </c>
      <c r="J237" s="34" t="s">
        <v>27</v>
      </c>
      <c r="K237" s="34" t="s">
        <v>46</v>
      </c>
      <c r="L237" s="34" t="s">
        <v>47</v>
      </c>
      <c r="M237">
        <v>5.569</v>
      </c>
    </row>
    <row r="238" spans="1:13" x14ac:dyDescent="0.3">
      <c r="A238" s="34" t="s">
        <v>662</v>
      </c>
      <c r="B238">
        <v>-1</v>
      </c>
      <c r="C238">
        <v>2050</v>
      </c>
      <c r="D238" s="34" t="s">
        <v>250</v>
      </c>
      <c r="E238" s="34" t="s">
        <v>251</v>
      </c>
      <c r="F238" s="34" t="s">
        <v>444</v>
      </c>
      <c r="G238" s="34" t="s">
        <v>253</v>
      </c>
      <c r="H238" s="34" t="s">
        <v>254</v>
      </c>
      <c r="I238" s="34" t="s">
        <v>19</v>
      </c>
      <c r="J238" s="34" t="s">
        <v>27</v>
      </c>
      <c r="K238" s="34" t="s">
        <v>48</v>
      </c>
      <c r="L238" s="34" t="s">
        <v>47</v>
      </c>
      <c r="M238">
        <v>-5.415848028318301</v>
      </c>
    </row>
    <row r="239" spans="1:13" x14ac:dyDescent="0.3">
      <c r="A239" s="34" t="s">
        <v>662</v>
      </c>
      <c r="B239">
        <v>-1</v>
      </c>
      <c r="C239">
        <v>2050</v>
      </c>
      <c r="D239" s="34" t="s">
        <v>250</v>
      </c>
      <c r="E239" s="34" t="s">
        <v>251</v>
      </c>
      <c r="F239" s="34" t="s">
        <v>444</v>
      </c>
      <c r="G239" s="34" t="s">
        <v>447</v>
      </c>
      <c r="H239" s="34" t="s">
        <v>448</v>
      </c>
      <c r="I239" s="34" t="s">
        <v>19</v>
      </c>
      <c r="J239" s="34" t="s">
        <v>27</v>
      </c>
      <c r="K239" s="34" t="s">
        <v>46</v>
      </c>
      <c r="L239" s="34" t="s">
        <v>47</v>
      </c>
      <c r="M239">
        <v>0.15</v>
      </c>
    </row>
    <row r="240" spans="1:13" x14ac:dyDescent="0.3">
      <c r="A240" s="34" t="s">
        <v>662</v>
      </c>
      <c r="B240">
        <v>-1</v>
      </c>
      <c r="C240">
        <v>2050</v>
      </c>
      <c r="D240" s="34" t="s">
        <v>250</v>
      </c>
      <c r="E240" s="34" t="s">
        <v>251</v>
      </c>
      <c r="F240" s="34" t="s">
        <v>444</v>
      </c>
      <c r="G240" s="34" t="s">
        <v>447</v>
      </c>
      <c r="H240" s="34" t="s">
        <v>448</v>
      </c>
      <c r="I240" s="34" t="s">
        <v>19</v>
      </c>
      <c r="J240" s="34" t="s">
        <v>27</v>
      </c>
      <c r="K240" s="34" t="s">
        <v>48</v>
      </c>
      <c r="L240" s="34" t="s">
        <v>47</v>
      </c>
      <c r="M240">
        <v>-0.15</v>
      </c>
    </row>
    <row r="241" spans="1:13" x14ac:dyDescent="0.3">
      <c r="A241" s="34" t="s">
        <v>662</v>
      </c>
      <c r="B241">
        <v>-1</v>
      </c>
      <c r="C241">
        <v>2050</v>
      </c>
      <c r="D241" s="34" t="s">
        <v>250</v>
      </c>
      <c r="E241" s="34" t="s">
        <v>251</v>
      </c>
      <c r="F241" s="34" t="s">
        <v>449</v>
      </c>
      <c r="G241" s="34" t="s">
        <v>450</v>
      </c>
      <c r="H241" s="34" t="s">
        <v>203</v>
      </c>
      <c r="I241" s="34" t="s">
        <v>203</v>
      </c>
      <c r="J241" s="34" t="s">
        <v>451</v>
      </c>
      <c r="K241" s="34" t="s">
        <v>46</v>
      </c>
      <c r="L241" s="34" t="s">
        <v>47</v>
      </c>
      <c r="M241">
        <v>0.12121212121212122</v>
      </c>
    </row>
    <row r="242" spans="1:13" x14ac:dyDescent="0.3">
      <c r="A242" s="34" t="s">
        <v>662</v>
      </c>
      <c r="B242">
        <v>-1</v>
      </c>
      <c r="C242">
        <v>2050</v>
      </c>
      <c r="D242" s="34" t="s">
        <v>250</v>
      </c>
      <c r="E242" s="34" t="s">
        <v>251</v>
      </c>
      <c r="F242" s="34" t="s">
        <v>449</v>
      </c>
      <c r="G242" s="34" t="s">
        <v>450</v>
      </c>
      <c r="H242" s="34" t="s">
        <v>203</v>
      </c>
      <c r="I242" s="34" t="s">
        <v>203</v>
      </c>
      <c r="J242" s="34" t="s">
        <v>451</v>
      </c>
      <c r="K242" s="34" t="s">
        <v>48</v>
      </c>
      <c r="L242" s="34" t="s">
        <v>47</v>
      </c>
      <c r="M242">
        <v>-0.12121212121212122</v>
      </c>
    </row>
    <row r="243" spans="1:13" x14ac:dyDescent="0.3">
      <c r="A243" s="34" t="s">
        <v>662</v>
      </c>
      <c r="B243">
        <v>-1</v>
      </c>
      <c r="C243">
        <v>2050</v>
      </c>
      <c r="D243" s="34" t="s">
        <v>250</v>
      </c>
      <c r="E243" s="34" t="s">
        <v>251</v>
      </c>
      <c r="F243" s="34" t="s">
        <v>449</v>
      </c>
      <c r="G243" s="34" t="s">
        <v>452</v>
      </c>
      <c r="H243" s="34" t="s">
        <v>448</v>
      </c>
      <c r="I243" s="34" t="s">
        <v>203</v>
      </c>
      <c r="J243" s="34" t="s">
        <v>204</v>
      </c>
      <c r="K243" s="34" t="s">
        <v>46</v>
      </c>
      <c r="L243" s="34" t="s">
        <v>47</v>
      </c>
      <c r="M243">
        <v>0.23712499999999997</v>
      </c>
    </row>
    <row r="244" spans="1:13" x14ac:dyDescent="0.3">
      <c r="A244" s="34" t="s">
        <v>662</v>
      </c>
      <c r="B244">
        <v>-1</v>
      </c>
      <c r="C244">
        <v>2050</v>
      </c>
      <c r="D244" s="34" t="s">
        <v>250</v>
      </c>
      <c r="E244" s="34" t="s">
        <v>251</v>
      </c>
      <c r="F244" s="34" t="s">
        <v>449</v>
      </c>
      <c r="G244" s="34" t="s">
        <v>452</v>
      </c>
      <c r="H244" s="34" t="s">
        <v>448</v>
      </c>
      <c r="I244" s="34" t="s">
        <v>203</v>
      </c>
      <c r="J244" s="34" t="s">
        <v>204</v>
      </c>
      <c r="K244" s="34" t="s">
        <v>48</v>
      </c>
      <c r="L244" s="34" t="s">
        <v>47</v>
      </c>
      <c r="M244">
        <v>-0.23712499999999997</v>
      </c>
    </row>
    <row r="245" spans="1:13" x14ac:dyDescent="0.3">
      <c r="A245" s="34" t="s">
        <v>662</v>
      </c>
      <c r="B245">
        <v>-1</v>
      </c>
      <c r="C245">
        <v>2050</v>
      </c>
      <c r="D245" s="34" t="s">
        <v>250</v>
      </c>
      <c r="E245" s="34" t="s">
        <v>251</v>
      </c>
      <c r="F245" s="34" t="s">
        <v>449</v>
      </c>
      <c r="G245" s="34" t="s">
        <v>452</v>
      </c>
      <c r="H245" s="34" t="s">
        <v>448</v>
      </c>
      <c r="I245" s="34" t="s">
        <v>19</v>
      </c>
      <c r="J245" s="34" t="s">
        <v>204</v>
      </c>
      <c r="K245" s="34" t="s">
        <v>46</v>
      </c>
      <c r="L245" s="34" t="s">
        <v>47</v>
      </c>
      <c r="M245">
        <v>0.18969999999999998</v>
      </c>
    </row>
    <row r="246" spans="1:13" x14ac:dyDescent="0.3">
      <c r="A246" s="34" t="s">
        <v>662</v>
      </c>
      <c r="B246">
        <v>-1</v>
      </c>
      <c r="C246">
        <v>2050</v>
      </c>
      <c r="D246" s="34" t="s">
        <v>250</v>
      </c>
      <c r="E246" s="34" t="s">
        <v>251</v>
      </c>
      <c r="F246" s="34" t="s">
        <v>449</v>
      </c>
      <c r="G246" s="34" t="s">
        <v>452</v>
      </c>
      <c r="H246" s="34" t="s">
        <v>448</v>
      </c>
      <c r="I246" s="34" t="s">
        <v>19</v>
      </c>
      <c r="J246" s="34" t="s">
        <v>204</v>
      </c>
      <c r="K246" s="34" t="s">
        <v>48</v>
      </c>
      <c r="L246" s="34" t="s">
        <v>47</v>
      </c>
      <c r="M246">
        <v>-0.18969999999999998</v>
      </c>
    </row>
    <row r="247" spans="1:13" x14ac:dyDescent="0.3">
      <c r="A247" s="34" t="s">
        <v>662</v>
      </c>
      <c r="B247">
        <v>-1</v>
      </c>
      <c r="C247">
        <v>2050</v>
      </c>
      <c r="D247" s="34" t="s">
        <v>250</v>
      </c>
      <c r="E247" s="34" t="s">
        <v>251</v>
      </c>
      <c r="F247" s="34" t="s">
        <v>449</v>
      </c>
      <c r="G247" s="34" t="s">
        <v>453</v>
      </c>
      <c r="H247" s="34" t="s">
        <v>39</v>
      </c>
      <c r="I247" s="34" t="s">
        <v>203</v>
      </c>
      <c r="J247" s="34" t="s">
        <v>204</v>
      </c>
      <c r="K247" s="34" t="s">
        <v>46</v>
      </c>
      <c r="L247" s="34" t="s">
        <v>47</v>
      </c>
      <c r="M247">
        <v>0.10476190476190476</v>
      </c>
    </row>
    <row r="248" spans="1:13" x14ac:dyDescent="0.3">
      <c r="A248" s="34" t="s">
        <v>662</v>
      </c>
      <c r="B248">
        <v>-1</v>
      </c>
      <c r="C248">
        <v>2050</v>
      </c>
      <c r="D248" s="34" t="s">
        <v>250</v>
      </c>
      <c r="E248" s="34" t="s">
        <v>251</v>
      </c>
      <c r="F248" s="34" t="s">
        <v>449</v>
      </c>
      <c r="G248" s="34" t="s">
        <v>453</v>
      </c>
      <c r="H248" s="34" t="s">
        <v>39</v>
      </c>
      <c r="I248" s="34" t="s">
        <v>203</v>
      </c>
      <c r="J248" s="34" t="s">
        <v>204</v>
      </c>
      <c r="K248" s="34" t="s">
        <v>48</v>
      </c>
      <c r="L248" s="34" t="s">
        <v>47</v>
      </c>
      <c r="M248">
        <v>-0.10476190476190476</v>
      </c>
    </row>
    <row r="249" spans="1:13" x14ac:dyDescent="0.3">
      <c r="A249" s="34" t="s">
        <v>662</v>
      </c>
      <c r="B249">
        <v>-1</v>
      </c>
      <c r="C249">
        <v>2050</v>
      </c>
      <c r="D249" s="34" t="s">
        <v>250</v>
      </c>
      <c r="E249" s="34" t="s">
        <v>251</v>
      </c>
      <c r="F249" s="34" t="s">
        <v>449</v>
      </c>
      <c r="G249" s="34" t="s">
        <v>453</v>
      </c>
      <c r="H249" s="34" t="s">
        <v>39</v>
      </c>
      <c r="I249" s="34" t="s">
        <v>19</v>
      </c>
      <c r="J249" s="34" t="s">
        <v>204</v>
      </c>
      <c r="K249" s="34" t="s">
        <v>46</v>
      </c>
      <c r="L249" s="34" t="s">
        <v>47</v>
      </c>
      <c r="M249">
        <v>0.11</v>
      </c>
    </row>
    <row r="250" spans="1:13" x14ac:dyDescent="0.3">
      <c r="A250" s="34" t="s">
        <v>662</v>
      </c>
      <c r="B250">
        <v>-1</v>
      </c>
      <c r="C250">
        <v>2050</v>
      </c>
      <c r="D250" s="34" t="s">
        <v>250</v>
      </c>
      <c r="E250" s="34" t="s">
        <v>251</v>
      </c>
      <c r="F250" s="34" t="s">
        <v>449</v>
      </c>
      <c r="G250" s="34" t="s">
        <v>453</v>
      </c>
      <c r="H250" s="34" t="s">
        <v>39</v>
      </c>
      <c r="I250" s="34" t="s">
        <v>19</v>
      </c>
      <c r="J250" s="34" t="s">
        <v>204</v>
      </c>
      <c r="K250" s="34" t="s">
        <v>48</v>
      </c>
      <c r="L250" s="34" t="s">
        <v>47</v>
      </c>
      <c r="M250">
        <v>-0.11</v>
      </c>
    </row>
    <row r="251" spans="1:13" x14ac:dyDescent="0.3">
      <c r="A251" s="34" t="s">
        <v>662</v>
      </c>
      <c r="B251">
        <v>-1</v>
      </c>
      <c r="C251">
        <v>2050</v>
      </c>
      <c r="D251" s="34" t="s">
        <v>250</v>
      </c>
      <c r="E251" s="34" t="s">
        <v>251</v>
      </c>
      <c r="F251" s="34" t="s">
        <v>449</v>
      </c>
      <c r="G251" s="34" t="s">
        <v>454</v>
      </c>
      <c r="H251" s="34" t="s">
        <v>39</v>
      </c>
      <c r="I251" s="34" t="s">
        <v>203</v>
      </c>
      <c r="J251" s="34" t="s">
        <v>204</v>
      </c>
      <c r="K251" s="34" t="s">
        <v>46</v>
      </c>
      <c r="L251" s="34" t="s">
        <v>47</v>
      </c>
      <c r="M251">
        <v>0.36666666666666664</v>
      </c>
    </row>
    <row r="252" spans="1:13" x14ac:dyDescent="0.3">
      <c r="A252" s="34" t="s">
        <v>662</v>
      </c>
      <c r="B252">
        <v>-1</v>
      </c>
      <c r="C252">
        <v>2050</v>
      </c>
      <c r="D252" s="34" t="s">
        <v>250</v>
      </c>
      <c r="E252" s="34" t="s">
        <v>251</v>
      </c>
      <c r="F252" s="34" t="s">
        <v>449</v>
      </c>
      <c r="G252" s="34" t="s">
        <v>454</v>
      </c>
      <c r="H252" s="34" t="s">
        <v>39</v>
      </c>
      <c r="I252" s="34" t="s">
        <v>203</v>
      </c>
      <c r="J252" s="34" t="s">
        <v>204</v>
      </c>
      <c r="K252" s="34" t="s">
        <v>48</v>
      </c>
      <c r="L252" s="34" t="s">
        <v>47</v>
      </c>
      <c r="M252">
        <v>-0.36666666666666664</v>
      </c>
    </row>
    <row r="253" spans="1:13" x14ac:dyDescent="0.3">
      <c r="A253" s="34" t="s">
        <v>662</v>
      </c>
      <c r="B253">
        <v>-1</v>
      </c>
      <c r="C253">
        <v>2050</v>
      </c>
      <c r="D253" s="34" t="s">
        <v>250</v>
      </c>
      <c r="E253" s="34" t="s">
        <v>251</v>
      </c>
      <c r="F253" s="34" t="s">
        <v>449</v>
      </c>
      <c r="G253" s="34" t="s">
        <v>454</v>
      </c>
      <c r="H253" s="34" t="s">
        <v>39</v>
      </c>
      <c r="I253" s="34" t="s">
        <v>19</v>
      </c>
      <c r="J253" s="34" t="s">
        <v>204</v>
      </c>
      <c r="K253" s="34" t="s">
        <v>46</v>
      </c>
      <c r="L253" s="34" t="s">
        <v>47</v>
      </c>
      <c r="M253">
        <v>0.22</v>
      </c>
    </row>
    <row r="254" spans="1:13" x14ac:dyDescent="0.3">
      <c r="A254" s="34" t="s">
        <v>662</v>
      </c>
      <c r="B254">
        <v>-1</v>
      </c>
      <c r="C254">
        <v>2050</v>
      </c>
      <c r="D254" s="34" t="s">
        <v>250</v>
      </c>
      <c r="E254" s="34" t="s">
        <v>251</v>
      </c>
      <c r="F254" s="34" t="s">
        <v>449</v>
      </c>
      <c r="G254" s="34" t="s">
        <v>454</v>
      </c>
      <c r="H254" s="34" t="s">
        <v>39</v>
      </c>
      <c r="I254" s="34" t="s">
        <v>19</v>
      </c>
      <c r="J254" s="34" t="s">
        <v>204</v>
      </c>
      <c r="K254" s="34" t="s">
        <v>48</v>
      </c>
      <c r="L254" s="34" t="s">
        <v>47</v>
      </c>
      <c r="M254">
        <v>-0.22</v>
      </c>
    </row>
    <row r="255" spans="1:13" x14ac:dyDescent="0.3">
      <c r="A255" s="34" t="s">
        <v>662</v>
      </c>
      <c r="B255">
        <v>-1</v>
      </c>
      <c r="C255">
        <v>2050</v>
      </c>
      <c r="D255" s="34" t="s">
        <v>250</v>
      </c>
      <c r="E255" s="34" t="s">
        <v>251</v>
      </c>
      <c r="F255" s="34" t="s">
        <v>449</v>
      </c>
      <c r="G255" s="34" t="s">
        <v>455</v>
      </c>
      <c r="H255" s="34" t="s">
        <v>448</v>
      </c>
      <c r="I255" s="34" t="s">
        <v>203</v>
      </c>
      <c r="J255" s="34" t="s">
        <v>204</v>
      </c>
      <c r="K255" s="34" t="s">
        <v>46</v>
      </c>
      <c r="L255" s="34" t="s">
        <v>47</v>
      </c>
      <c r="M255">
        <v>0.18000000000000002</v>
      </c>
    </row>
    <row r="256" spans="1:13" x14ac:dyDescent="0.3">
      <c r="A256" s="34" t="s">
        <v>662</v>
      </c>
      <c r="B256">
        <v>-1</v>
      </c>
      <c r="C256">
        <v>2050</v>
      </c>
      <c r="D256" s="34" t="s">
        <v>250</v>
      </c>
      <c r="E256" s="34" t="s">
        <v>251</v>
      </c>
      <c r="F256" s="34" t="s">
        <v>449</v>
      </c>
      <c r="G256" s="34" t="s">
        <v>455</v>
      </c>
      <c r="H256" s="34" t="s">
        <v>448</v>
      </c>
      <c r="I256" s="34" t="s">
        <v>203</v>
      </c>
      <c r="J256" s="34" t="s">
        <v>204</v>
      </c>
      <c r="K256" s="34" t="s">
        <v>48</v>
      </c>
      <c r="L256" s="34" t="s">
        <v>47</v>
      </c>
      <c r="M256">
        <v>-0.18000000000000002</v>
      </c>
    </row>
    <row r="257" spans="1:13" x14ac:dyDescent="0.3">
      <c r="A257" s="34" t="s">
        <v>662</v>
      </c>
      <c r="B257">
        <v>-1</v>
      </c>
      <c r="C257">
        <v>2050</v>
      </c>
      <c r="D257" s="34" t="s">
        <v>250</v>
      </c>
      <c r="E257" s="34" t="s">
        <v>251</v>
      </c>
      <c r="F257" s="34" t="s">
        <v>449</v>
      </c>
      <c r="G257" s="34" t="s">
        <v>455</v>
      </c>
      <c r="H257" s="34" t="s">
        <v>448</v>
      </c>
      <c r="I257" s="34" t="s">
        <v>19</v>
      </c>
      <c r="J257" s="34" t="s">
        <v>204</v>
      </c>
      <c r="K257" s="34" t="s">
        <v>46</v>
      </c>
      <c r="L257" s="34" t="s">
        <v>47</v>
      </c>
      <c r="M257">
        <v>0.13500000000000001</v>
      </c>
    </row>
    <row r="258" spans="1:13" x14ac:dyDescent="0.3">
      <c r="A258" s="34" t="s">
        <v>662</v>
      </c>
      <c r="B258">
        <v>-1</v>
      </c>
      <c r="C258">
        <v>2050</v>
      </c>
      <c r="D258" s="34" t="s">
        <v>250</v>
      </c>
      <c r="E258" s="34" t="s">
        <v>251</v>
      </c>
      <c r="F258" s="34" t="s">
        <v>449</v>
      </c>
      <c r="G258" s="34" t="s">
        <v>455</v>
      </c>
      <c r="H258" s="34" t="s">
        <v>448</v>
      </c>
      <c r="I258" s="34" t="s">
        <v>19</v>
      </c>
      <c r="J258" s="34" t="s">
        <v>204</v>
      </c>
      <c r="K258" s="34" t="s">
        <v>48</v>
      </c>
      <c r="L258" s="34" t="s">
        <v>47</v>
      </c>
      <c r="M258">
        <v>-0.13500000000000001</v>
      </c>
    </row>
    <row r="259" spans="1:13" x14ac:dyDescent="0.3">
      <c r="A259" s="34" t="s">
        <v>662</v>
      </c>
      <c r="B259">
        <v>-1</v>
      </c>
      <c r="C259">
        <v>2050</v>
      </c>
      <c r="D259" s="34" t="s">
        <v>250</v>
      </c>
      <c r="E259" s="34" t="s">
        <v>251</v>
      </c>
      <c r="F259" s="34" t="s">
        <v>449</v>
      </c>
      <c r="G259" s="34" t="s">
        <v>16</v>
      </c>
      <c r="H259" s="34" t="s">
        <v>12</v>
      </c>
      <c r="I259" s="34" t="s">
        <v>13</v>
      </c>
      <c r="J259" s="34" t="s">
        <v>14</v>
      </c>
      <c r="K259" s="34" t="s">
        <v>49</v>
      </c>
      <c r="L259" s="34" t="s">
        <v>47</v>
      </c>
      <c r="M259">
        <v>0.1641192061559896</v>
      </c>
    </row>
    <row r="260" spans="1:13" x14ac:dyDescent="0.3">
      <c r="A260" s="34" t="s">
        <v>662</v>
      </c>
      <c r="B260">
        <v>-1</v>
      </c>
      <c r="C260">
        <v>2050</v>
      </c>
      <c r="D260" s="34" t="s">
        <v>250</v>
      </c>
      <c r="E260" s="34" t="s">
        <v>251</v>
      </c>
      <c r="F260" s="34" t="s">
        <v>449</v>
      </c>
      <c r="G260" s="34" t="s">
        <v>41</v>
      </c>
      <c r="H260" s="34" t="s">
        <v>40</v>
      </c>
      <c r="I260" s="34" t="s">
        <v>13</v>
      </c>
      <c r="J260" s="34" t="s">
        <v>42</v>
      </c>
      <c r="K260" s="34" t="s">
        <v>46</v>
      </c>
      <c r="L260" s="34" t="s">
        <v>47</v>
      </c>
      <c r="M260">
        <v>0.63014878890530346</v>
      </c>
    </row>
    <row r="261" spans="1:13" x14ac:dyDescent="0.3">
      <c r="A261" s="34" t="s">
        <v>662</v>
      </c>
      <c r="B261">
        <v>-1</v>
      </c>
      <c r="C261">
        <v>2050</v>
      </c>
      <c r="D261" s="34" t="s">
        <v>250</v>
      </c>
      <c r="E261" s="34" t="s">
        <v>251</v>
      </c>
      <c r="F261" s="34" t="s">
        <v>449</v>
      </c>
      <c r="G261" s="34" t="s">
        <v>41</v>
      </c>
      <c r="H261" s="34" t="s">
        <v>40</v>
      </c>
      <c r="I261" s="34" t="s">
        <v>13</v>
      </c>
      <c r="J261" s="34" t="s">
        <v>42</v>
      </c>
      <c r="K261" s="34" t="s">
        <v>48</v>
      </c>
      <c r="L261" s="34" t="s">
        <v>47</v>
      </c>
      <c r="M261">
        <v>-0.63014878890530346</v>
      </c>
    </row>
    <row r="262" spans="1:13" x14ac:dyDescent="0.3">
      <c r="A262" s="34" t="s">
        <v>662</v>
      </c>
      <c r="B262">
        <v>-1</v>
      </c>
      <c r="C262">
        <v>2050</v>
      </c>
      <c r="D262" s="34" t="s">
        <v>250</v>
      </c>
      <c r="E262" s="34" t="s">
        <v>251</v>
      </c>
      <c r="F262" s="34" t="s">
        <v>456</v>
      </c>
      <c r="G262" s="34" t="s">
        <v>450</v>
      </c>
      <c r="H262" s="34" t="s">
        <v>203</v>
      </c>
      <c r="I262" s="34" t="s">
        <v>203</v>
      </c>
      <c r="J262" s="34" t="s">
        <v>451</v>
      </c>
      <c r="K262" s="34" t="s">
        <v>46</v>
      </c>
      <c r="L262" s="34" t="s">
        <v>47</v>
      </c>
      <c r="M262">
        <v>0.1406060606060606</v>
      </c>
    </row>
    <row r="263" spans="1:13" x14ac:dyDescent="0.3">
      <c r="A263" s="34" t="s">
        <v>662</v>
      </c>
      <c r="B263">
        <v>-1</v>
      </c>
      <c r="C263">
        <v>2050</v>
      </c>
      <c r="D263" s="34" t="s">
        <v>250</v>
      </c>
      <c r="E263" s="34" t="s">
        <v>251</v>
      </c>
      <c r="F263" s="34" t="s">
        <v>456</v>
      </c>
      <c r="G263" s="34" t="s">
        <v>450</v>
      </c>
      <c r="H263" s="34" t="s">
        <v>203</v>
      </c>
      <c r="I263" s="34" t="s">
        <v>203</v>
      </c>
      <c r="J263" s="34" t="s">
        <v>451</v>
      </c>
      <c r="K263" s="34" t="s">
        <v>48</v>
      </c>
      <c r="L263" s="34" t="s">
        <v>47</v>
      </c>
      <c r="M263">
        <v>-0.1406060606060606</v>
      </c>
    </row>
    <row r="264" spans="1:13" x14ac:dyDescent="0.3">
      <c r="A264" s="34" t="s">
        <v>662</v>
      </c>
      <c r="B264">
        <v>-1</v>
      </c>
      <c r="C264">
        <v>2050</v>
      </c>
      <c r="D264" s="34" t="s">
        <v>250</v>
      </c>
      <c r="E264" s="34" t="s">
        <v>251</v>
      </c>
      <c r="F264" s="34" t="s">
        <v>456</v>
      </c>
      <c r="G264" s="34" t="s">
        <v>457</v>
      </c>
      <c r="H264" s="34" t="s">
        <v>40</v>
      </c>
      <c r="I264" s="34" t="s">
        <v>203</v>
      </c>
      <c r="J264" s="34" t="s">
        <v>204</v>
      </c>
      <c r="K264" s="34" t="s">
        <v>46</v>
      </c>
      <c r="L264" s="34" t="s">
        <v>47</v>
      </c>
      <c r="M264">
        <v>0.4292035398230088</v>
      </c>
    </row>
    <row r="265" spans="1:13" x14ac:dyDescent="0.3">
      <c r="A265" s="34" t="s">
        <v>662</v>
      </c>
      <c r="B265">
        <v>-1</v>
      </c>
      <c r="C265">
        <v>2050</v>
      </c>
      <c r="D265" s="34" t="s">
        <v>250</v>
      </c>
      <c r="E265" s="34" t="s">
        <v>251</v>
      </c>
      <c r="F265" s="34" t="s">
        <v>456</v>
      </c>
      <c r="G265" s="34" t="s">
        <v>457</v>
      </c>
      <c r="H265" s="34" t="s">
        <v>40</v>
      </c>
      <c r="I265" s="34" t="s">
        <v>203</v>
      </c>
      <c r="J265" s="34" t="s">
        <v>204</v>
      </c>
      <c r="K265" s="34" t="s">
        <v>48</v>
      </c>
      <c r="L265" s="34" t="s">
        <v>47</v>
      </c>
      <c r="M265">
        <v>-0.4292035398230088</v>
      </c>
    </row>
    <row r="266" spans="1:13" x14ac:dyDescent="0.3">
      <c r="A266" s="34" t="s">
        <v>662</v>
      </c>
      <c r="B266">
        <v>-1</v>
      </c>
      <c r="C266">
        <v>2050</v>
      </c>
      <c r="D266" s="34" t="s">
        <v>250</v>
      </c>
      <c r="E266" s="34" t="s">
        <v>251</v>
      </c>
      <c r="F266" s="34" t="s">
        <v>456</v>
      </c>
      <c r="G266" s="34" t="s">
        <v>457</v>
      </c>
      <c r="H266" s="34" t="s">
        <v>40</v>
      </c>
      <c r="I266" s="34" t="s">
        <v>19</v>
      </c>
      <c r="J266" s="34" t="s">
        <v>204</v>
      </c>
      <c r="K266" s="34" t="s">
        <v>46</v>
      </c>
      <c r="L266" s="34" t="s">
        <v>47</v>
      </c>
      <c r="M266">
        <v>0.48499999999999999</v>
      </c>
    </row>
    <row r="267" spans="1:13" x14ac:dyDescent="0.3">
      <c r="A267" s="34" t="s">
        <v>662</v>
      </c>
      <c r="B267">
        <v>-1</v>
      </c>
      <c r="C267">
        <v>2050</v>
      </c>
      <c r="D267" s="34" t="s">
        <v>250</v>
      </c>
      <c r="E267" s="34" t="s">
        <v>251</v>
      </c>
      <c r="F267" s="34" t="s">
        <v>456</v>
      </c>
      <c r="G267" s="34" t="s">
        <v>457</v>
      </c>
      <c r="H267" s="34" t="s">
        <v>40</v>
      </c>
      <c r="I267" s="34" t="s">
        <v>19</v>
      </c>
      <c r="J267" s="34" t="s">
        <v>204</v>
      </c>
      <c r="K267" s="34" t="s">
        <v>48</v>
      </c>
      <c r="L267" s="34" t="s">
        <v>47</v>
      </c>
      <c r="M267">
        <v>-0.48499999999999999</v>
      </c>
    </row>
    <row r="268" spans="1:13" x14ac:dyDescent="0.3">
      <c r="A268" s="34" t="s">
        <v>662</v>
      </c>
      <c r="B268">
        <v>-1</v>
      </c>
      <c r="C268">
        <v>2050</v>
      </c>
      <c r="D268" s="34" t="s">
        <v>250</v>
      </c>
      <c r="E268" s="34" t="s">
        <v>251</v>
      </c>
      <c r="F268" s="34" t="s">
        <v>458</v>
      </c>
      <c r="G268" s="34" t="s">
        <v>459</v>
      </c>
      <c r="H268" s="34" t="s">
        <v>448</v>
      </c>
      <c r="I268" s="34" t="s">
        <v>203</v>
      </c>
      <c r="J268" s="34" t="s">
        <v>204</v>
      </c>
      <c r="K268" s="34" t="s">
        <v>46</v>
      </c>
      <c r="L268" s="34" t="s">
        <v>47</v>
      </c>
      <c r="M268">
        <v>0.16228571428571428</v>
      </c>
    </row>
    <row r="269" spans="1:13" x14ac:dyDescent="0.3">
      <c r="A269" s="34" t="s">
        <v>662</v>
      </c>
      <c r="B269">
        <v>-1</v>
      </c>
      <c r="C269">
        <v>2050</v>
      </c>
      <c r="D269" s="34" t="s">
        <v>250</v>
      </c>
      <c r="E269" s="34" t="s">
        <v>251</v>
      </c>
      <c r="F269" s="34" t="s">
        <v>458</v>
      </c>
      <c r="G269" s="34" t="s">
        <v>459</v>
      </c>
      <c r="H269" s="34" t="s">
        <v>448</v>
      </c>
      <c r="I269" s="34" t="s">
        <v>203</v>
      </c>
      <c r="J269" s="34" t="s">
        <v>204</v>
      </c>
      <c r="K269" s="34" t="s">
        <v>48</v>
      </c>
      <c r="L269" s="34" t="s">
        <v>47</v>
      </c>
      <c r="M269">
        <v>-0.16228571428571428</v>
      </c>
    </row>
    <row r="270" spans="1:13" x14ac:dyDescent="0.3">
      <c r="A270" s="34" t="s">
        <v>662</v>
      </c>
      <c r="B270">
        <v>-1</v>
      </c>
      <c r="C270">
        <v>2050</v>
      </c>
      <c r="D270" s="34" t="s">
        <v>250</v>
      </c>
      <c r="E270" s="34" t="s">
        <v>251</v>
      </c>
      <c r="F270" s="34" t="s">
        <v>458</v>
      </c>
      <c r="G270" s="34" t="s">
        <v>459</v>
      </c>
      <c r="H270" s="34" t="s">
        <v>448</v>
      </c>
      <c r="I270" s="34" t="s">
        <v>19</v>
      </c>
      <c r="J270" s="34" t="s">
        <v>204</v>
      </c>
      <c r="K270" s="34" t="s">
        <v>46</v>
      </c>
      <c r="L270" s="34" t="s">
        <v>47</v>
      </c>
      <c r="M270">
        <v>5.6799999999999996E-2</v>
      </c>
    </row>
    <row r="271" spans="1:13" x14ac:dyDescent="0.3">
      <c r="A271" s="34" t="s">
        <v>662</v>
      </c>
      <c r="B271">
        <v>-1</v>
      </c>
      <c r="C271">
        <v>2050</v>
      </c>
      <c r="D271" s="34" t="s">
        <v>250</v>
      </c>
      <c r="E271" s="34" t="s">
        <v>251</v>
      </c>
      <c r="F271" s="34" t="s">
        <v>458</v>
      </c>
      <c r="G271" s="34" t="s">
        <v>459</v>
      </c>
      <c r="H271" s="34" t="s">
        <v>448</v>
      </c>
      <c r="I271" s="34" t="s">
        <v>19</v>
      </c>
      <c r="J271" s="34" t="s">
        <v>204</v>
      </c>
      <c r="K271" s="34" t="s">
        <v>48</v>
      </c>
      <c r="L271" s="34" t="s">
        <v>47</v>
      </c>
      <c r="M271">
        <v>-5.6799999999999996E-2</v>
      </c>
    </row>
    <row r="272" spans="1:13" x14ac:dyDescent="0.3">
      <c r="A272" s="34" t="s">
        <v>662</v>
      </c>
      <c r="B272">
        <v>-1</v>
      </c>
      <c r="C272">
        <v>2050</v>
      </c>
      <c r="D272" s="34" t="s">
        <v>250</v>
      </c>
      <c r="E272" s="34" t="s">
        <v>251</v>
      </c>
      <c r="F272" s="34" t="s">
        <v>458</v>
      </c>
      <c r="G272" s="34" t="s">
        <v>460</v>
      </c>
      <c r="H272" s="34" t="s">
        <v>448</v>
      </c>
      <c r="I272" s="34" t="s">
        <v>203</v>
      </c>
      <c r="J272" s="34" t="s">
        <v>204</v>
      </c>
      <c r="K272" s="34" t="s">
        <v>46</v>
      </c>
      <c r="L272" s="34" t="s">
        <v>47</v>
      </c>
      <c r="M272">
        <v>0.15894039735099338</v>
      </c>
    </row>
    <row r="273" spans="1:13" x14ac:dyDescent="0.3">
      <c r="A273" s="34" t="s">
        <v>662</v>
      </c>
      <c r="B273">
        <v>-1</v>
      </c>
      <c r="C273">
        <v>2050</v>
      </c>
      <c r="D273" s="34" t="s">
        <v>250</v>
      </c>
      <c r="E273" s="34" t="s">
        <v>251</v>
      </c>
      <c r="F273" s="34" t="s">
        <v>458</v>
      </c>
      <c r="G273" s="34" t="s">
        <v>460</v>
      </c>
      <c r="H273" s="34" t="s">
        <v>448</v>
      </c>
      <c r="I273" s="34" t="s">
        <v>203</v>
      </c>
      <c r="J273" s="34" t="s">
        <v>204</v>
      </c>
      <c r="K273" s="34" t="s">
        <v>48</v>
      </c>
      <c r="L273" s="34" t="s">
        <v>47</v>
      </c>
      <c r="M273">
        <v>-0.15894039735099338</v>
      </c>
    </row>
    <row r="274" spans="1:13" x14ac:dyDescent="0.3">
      <c r="A274" s="34" t="s">
        <v>662</v>
      </c>
      <c r="B274">
        <v>-1</v>
      </c>
      <c r="C274">
        <v>2050</v>
      </c>
      <c r="D274" s="34" t="s">
        <v>250</v>
      </c>
      <c r="E274" s="34" t="s">
        <v>251</v>
      </c>
      <c r="F274" s="34" t="s">
        <v>458</v>
      </c>
      <c r="G274" s="34" t="s">
        <v>460</v>
      </c>
      <c r="H274" s="34" t="s">
        <v>448</v>
      </c>
      <c r="I274" s="34" t="s">
        <v>19</v>
      </c>
      <c r="J274" s="34" t="s">
        <v>204</v>
      </c>
      <c r="K274" s="34" t="s">
        <v>46</v>
      </c>
      <c r="L274" s="34" t="s">
        <v>47</v>
      </c>
      <c r="M274">
        <v>0.24</v>
      </c>
    </row>
    <row r="275" spans="1:13" x14ac:dyDescent="0.3">
      <c r="A275" s="34" t="s">
        <v>662</v>
      </c>
      <c r="B275">
        <v>-1</v>
      </c>
      <c r="C275">
        <v>2050</v>
      </c>
      <c r="D275" s="34" t="s">
        <v>250</v>
      </c>
      <c r="E275" s="34" t="s">
        <v>251</v>
      </c>
      <c r="F275" s="34" t="s">
        <v>458</v>
      </c>
      <c r="G275" s="34" t="s">
        <v>460</v>
      </c>
      <c r="H275" s="34" t="s">
        <v>448</v>
      </c>
      <c r="I275" s="34" t="s">
        <v>19</v>
      </c>
      <c r="J275" s="34" t="s">
        <v>204</v>
      </c>
      <c r="K275" s="34" t="s">
        <v>48</v>
      </c>
      <c r="L275" s="34" t="s">
        <v>47</v>
      </c>
      <c r="M275">
        <v>-0.24</v>
      </c>
    </row>
    <row r="276" spans="1:13" x14ac:dyDescent="0.3">
      <c r="A276" s="34" t="s">
        <v>662</v>
      </c>
      <c r="B276">
        <v>-1</v>
      </c>
      <c r="C276">
        <v>2050</v>
      </c>
      <c r="D276" s="34" t="s">
        <v>250</v>
      </c>
      <c r="E276" s="34" t="s">
        <v>251</v>
      </c>
      <c r="F276" s="34" t="s">
        <v>458</v>
      </c>
      <c r="G276" s="34" t="s">
        <v>461</v>
      </c>
      <c r="H276" s="34" t="s">
        <v>462</v>
      </c>
      <c r="I276" s="34" t="s">
        <v>203</v>
      </c>
      <c r="J276" s="34" t="s">
        <v>204</v>
      </c>
      <c r="K276" s="34" t="s">
        <v>46</v>
      </c>
      <c r="L276" s="34" t="s">
        <v>47</v>
      </c>
      <c r="M276">
        <v>0.13235294117647059</v>
      </c>
    </row>
    <row r="277" spans="1:13" x14ac:dyDescent="0.3">
      <c r="A277" s="34" t="s">
        <v>662</v>
      </c>
      <c r="B277">
        <v>-1</v>
      </c>
      <c r="C277">
        <v>2050</v>
      </c>
      <c r="D277" s="34" t="s">
        <v>250</v>
      </c>
      <c r="E277" s="34" t="s">
        <v>251</v>
      </c>
      <c r="F277" s="34" t="s">
        <v>458</v>
      </c>
      <c r="G277" s="34" t="s">
        <v>461</v>
      </c>
      <c r="H277" s="34" t="s">
        <v>462</v>
      </c>
      <c r="I277" s="34" t="s">
        <v>203</v>
      </c>
      <c r="J277" s="34" t="s">
        <v>204</v>
      </c>
      <c r="K277" s="34" t="s">
        <v>48</v>
      </c>
      <c r="L277" s="34" t="s">
        <v>47</v>
      </c>
      <c r="M277">
        <v>-0.13235294117647059</v>
      </c>
    </row>
    <row r="278" spans="1:13" x14ac:dyDescent="0.3">
      <c r="A278" s="34" t="s">
        <v>662</v>
      </c>
      <c r="B278">
        <v>-1</v>
      </c>
      <c r="C278">
        <v>2050</v>
      </c>
      <c r="D278" s="34" t="s">
        <v>250</v>
      </c>
      <c r="E278" s="34" t="s">
        <v>251</v>
      </c>
      <c r="F278" s="34" t="s">
        <v>458</v>
      </c>
      <c r="G278" s="34" t="s">
        <v>461</v>
      </c>
      <c r="H278" s="34" t="s">
        <v>462</v>
      </c>
      <c r="I278" s="34" t="s">
        <v>19</v>
      </c>
      <c r="J278" s="34" t="s">
        <v>204</v>
      </c>
      <c r="K278" s="34" t="s">
        <v>46</v>
      </c>
      <c r="L278" s="34" t="s">
        <v>47</v>
      </c>
      <c r="M278">
        <v>0.09</v>
      </c>
    </row>
    <row r="279" spans="1:13" x14ac:dyDescent="0.3">
      <c r="A279" s="34" t="s">
        <v>662</v>
      </c>
      <c r="B279">
        <v>-1</v>
      </c>
      <c r="C279">
        <v>2050</v>
      </c>
      <c r="D279" s="34" t="s">
        <v>250</v>
      </c>
      <c r="E279" s="34" t="s">
        <v>251</v>
      </c>
      <c r="F279" s="34" t="s">
        <v>458</v>
      </c>
      <c r="G279" s="34" t="s">
        <v>461</v>
      </c>
      <c r="H279" s="34" t="s">
        <v>462</v>
      </c>
      <c r="I279" s="34" t="s">
        <v>19</v>
      </c>
      <c r="J279" s="34" t="s">
        <v>204</v>
      </c>
      <c r="K279" s="34" t="s">
        <v>48</v>
      </c>
      <c r="L279" s="34" t="s">
        <v>47</v>
      </c>
      <c r="M279">
        <v>-0.09</v>
      </c>
    </row>
    <row r="280" spans="1:13" x14ac:dyDescent="0.3">
      <c r="A280" s="34" t="s">
        <v>662</v>
      </c>
      <c r="B280">
        <v>-1</v>
      </c>
      <c r="C280">
        <v>2050</v>
      </c>
      <c r="D280" s="34" t="s">
        <v>250</v>
      </c>
      <c r="E280" s="34" t="s">
        <v>251</v>
      </c>
      <c r="F280" s="34" t="s">
        <v>598</v>
      </c>
      <c r="G280" s="34" t="s">
        <v>29</v>
      </c>
      <c r="H280" s="34" t="s">
        <v>21</v>
      </c>
      <c r="I280" s="34" t="s">
        <v>19</v>
      </c>
      <c r="J280" s="34" t="s">
        <v>22</v>
      </c>
      <c r="K280" s="34" t="s">
        <v>46</v>
      </c>
      <c r="L280" s="34" t="s">
        <v>47</v>
      </c>
      <c r="M280">
        <v>0.14011334350000001</v>
      </c>
    </row>
    <row r="281" spans="1:13" x14ac:dyDescent="0.3">
      <c r="A281" s="34" t="s">
        <v>662</v>
      </c>
      <c r="B281">
        <v>-1</v>
      </c>
      <c r="C281">
        <v>2050</v>
      </c>
      <c r="D281" s="34" t="s">
        <v>250</v>
      </c>
      <c r="E281" s="34" t="s">
        <v>251</v>
      </c>
      <c r="F281" s="34" t="s">
        <v>598</v>
      </c>
      <c r="G281" s="34" t="s">
        <v>29</v>
      </c>
      <c r="H281" s="34" t="s">
        <v>21</v>
      </c>
      <c r="I281" s="34" t="s">
        <v>19</v>
      </c>
      <c r="J281" s="34" t="s">
        <v>22</v>
      </c>
      <c r="K281" s="34" t="s">
        <v>48</v>
      </c>
      <c r="L281" s="34" t="s">
        <v>47</v>
      </c>
      <c r="M281">
        <v>-0.14011334350000001</v>
      </c>
    </row>
    <row r="282" spans="1:13" x14ac:dyDescent="0.3">
      <c r="A282" s="34" t="s">
        <v>662</v>
      </c>
      <c r="B282">
        <v>-1</v>
      </c>
      <c r="C282">
        <v>2050</v>
      </c>
      <c r="D282" s="34" t="s">
        <v>250</v>
      </c>
      <c r="E282" s="34" t="s">
        <v>251</v>
      </c>
      <c r="F282" s="34" t="s">
        <v>598</v>
      </c>
      <c r="G282" s="34" t="s">
        <v>20</v>
      </c>
      <c r="H282" s="34" t="s">
        <v>21</v>
      </c>
      <c r="I282" s="34" t="s">
        <v>19</v>
      </c>
      <c r="J282" s="34" t="s">
        <v>22</v>
      </c>
      <c r="K282" s="34" t="s">
        <v>46</v>
      </c>
      <c r="L282" s="34" t="s">
        <v>47</v>
      </c>
      <c r="M282">
        <v>1.8862398165000001</v>
      </c>
    </row>
    <row r="283" spans="1:13" x14ac:dyDescent="0.3">
      <c r="A283" s="34" t="s">
        <v>662</v>
      </c>
      <c r="B283">
        <v>-1</v>
      </c>
      <c r="C283">
        <v>2050</v>
      </c>
      <c r="D283" s="34" t="s">
        <v>250</v>
      </c>
      <c r="E283" s="34" t="s">
        <v>251</v>
      </c>
      <c r="F283" s="34" t="s">
        <v>598</v>
      </c>
      <c r="G283" s="34" t="s">
        <v>20</v>
      </c>
      <c r="H283" s="34" t="s">
        <v>21</v>
      </c>
      <c r="I283" s="34" t="s">
        <v>19</v>
      </c>
      <c r="J283" s="34" t="s">
        <v>22</v>
      </c>
      <c r="K283" s="34" t="s">
        <v>48</v>
      </c>
      <c r="L283" s="34" t="s">
        <v>47</v>
      </c>
      <c r="M283">
        <v>-1.8862398165000001</v>
      </c>
    </row>
    <row r="284" spans="1:13" x14ac:dyDescent="0.3">
      <c r="A284" s="34" t="s">
        <v>662</v>
      </c>
      <c r="B284">
        <v>-1</v>
      </c>
      <c r="C284">
        <v>2050</v>
      </c>
      <c r="D284" s="34" t="s">
        <v>250</v>
      </c>
      <c r="E284" s="34" t="s">
        <v>251</v>
      </c>
      <c r="F284" s="34" t="s">
        <v>598</v>
      </c>
      <c r="G284" s="34" t="s">
        <v>30</v>
      </c>
      <c r="H284" s="34" t="s">
        <v>21</v>
      </c>
      <c r="I284" s="34" t="s">
        <v>19</v>
      </c>
      <c r="J284" s="34" t="s">
        <v>22</v>
      </c>
      <c r="K284" s="34" t="s">
        <v>46</v>
      </c>
      <c r="L284" s="34" t="s">
        <v>47</v>
      </c>
      <c r="M284">
        <v>1.1799018400000001</v>
      </c>
    </row>
    <row r="285" spans="1:13" x14ac:dyDescent="0.3">
      <c r="A285" s="34" t="s">
        <v>662</v>
      </c>
      <c r="B285">
        <v>-1</v>
      </c>
      <c r="C285">
        <v>2050</v>
      </c>
      <c r="D285" s="34" t="s">
        <v>250</v>
      </c>
      <c r="E285" s="34" t="s">
        <v>251</v>
      </c>
      <c r="F285" s="34" t="s">
        <v>598</v>
      </c>
      <c r="G285" s="34" t="s">
        <v>30</v>
      </c>
      <c r="H285" s="34" t="s">
        <v>21</v>
      </c>
      <c r="I285" s="34" t="s">
        <v>19</v>
      </c>
      <c r="J285" s="34" t="s">
        <v>22</v>
      </c>
      <c r="K285" s="34" t="s">
        <v>48</v>
      </c>
      <c r="L285" s="34" t="s">
        <v>47</v>
      </c>
      <c r="M285">
        <v>-1.1799018400000001</v>
      </c>
    </row>
    <row r="286" spans="1:13" x14ac:dyDescent="0.3">
      <c r="A286" s="34" t="s">
        <v>662</v>
      </c>
      <c r="B286">
        <v>-1</v>
      </c>
      <c r="C286">
        <v>2050</v>
      </c>
      <c r="D286" s="34" t="s">
        <v>250</v>
      </c>
      <c r="E286" s="34" t="s">
        <v>251</v>
      </c>
      <c r="F286" s="34" t="s">
        <v>598</v>
      </c>
      <c r="G286" s="34" t="s">
        <v>644</v>
      </c>
      <c r="H286" s="34" t="s">
        <v>21</v>
      </c>
      <c r="I286" s="34" t="s">
        <v>19</v>
      </c>
      <c r="J286" s="34" t="s">
        <v>22</v>
      </c>
      <c r="K286" s="34" t="s">
        <v>49</v>
      </c>
      <c r="L286" s="34" t="s">
        <v>47</v>
      </c>
      <c r="M286">
        <v>14.999999999999998</v>
      </c>
    </row>
    <row r="287" spans="1:13" x14ac:dyDescent="0.3">
      <c r="A287" s="34" t="s">
        <v>662</v>
      </c>
      <c r="B287">
        <v>-1</v>
      </c>
      <c r="C287">
        <v>2050</v>
      </c>
      <c r="D287" s="34" t="s">
        <v>255</v>
      </c>
      <c r="E287" s="34" t="s">
        <v>396</v>
      </c>
      <c r="F287" s="34" t="s">
        <v>257</v>
      </c>
      <c r="G287" s="34" t="s">
        <v>259</v>
      </c>
      <c r="H287" s="34" t="s">
        <v>40</v>
      </c>
      <c r="I287" s="34" t="s">
        <v>19</v>
      </c>
      <c r="J287" s="34" t="s">
        <v>27</v>
      </c>
      <c r="K287" s="34" t="s">
        <v>46</v>
      </c>
      <c r="L287" s="34" t="s">
        <v>47</v>
      </c>
      <c r="M287">
        <v>0.16</v>
      </c>
    </row>
    <row r="288" spans="1:13" x14ac:dyDescent="0.3">
      <c r="A288" s="34" t="s">
        <v>662</v>
      </c>
      <c r="B288">
        <v>-1</v>
      </c>
      <c r="C288">
        <v>2050</v>
      </c>
      <c r="D288" s="34" t="s">
        <v>255</v>
      </c>
      <c r="E288" s="34" t="s">
        <v>396</v>
      </c>
      <c r="F288" s="34" t="s">
        <v>257</v>
      </c>
      <c r="G288" s="34" t="s">
        <v>259</v>
      </c>
      <c r="H288" s="34" t="s">
        <v>40</v>
      </c>
      <c r="I288" s="34" t="s">
        <v>19</v>
      </c>
      <c r="J288" s="34" t="s">
        <v>27</v>
      </c>
      <c r="K288" s="34" t="s">
        <v>48</v>
      </c>
      <c r="L288" s="34" t="s">
        <v>47</v>
      </c>
      <c r="M288">
        <v>-0.16</v>
      </c>
    </row>
    <row r="289" spans="1:13" x14ac:dyDescent="0.3">
      <c r="A289" s="34" t="s">
        <v>662</v>
      </c>
      <c r="B289">
        <v>-1</v>
      </c>
      <c r="C289">
        <v>2050</v>
      </c>
      <c r="D289" s="34" t="s">
        <v>255</v>
      </c>
      <c r="E289" s="34" t="s">
        <v>396</v>
      </c>
      <c r="F289" s="34" t="s">
        <v>257</v>
      </c>
      <c r="G289" s="34" t="s">
        <v>43</v>
      </c>
      <c r="H289" s="34" t="s">
        <v>40</v>
      </c>
      <c r="I289" s="34" t="s">
        <v>19</v>
      </c>
      <c r="J289" s="34" t="s">
        <v>27</v>
      </c>
      <c r="K289" s="34" t="s">
        <v>46</v>
      </c>
      <c r="L289" s="34" t="s">
        <v>47</v>
      </c>
      <c r="M289">
        <v>8.8999999999999996E-2</v>
      </c>
    </row>
    <row r="290" spans="1:13" x14ac:dyDescent="0.3">
      <c r="A290" s="34" t="s">
        <v>662</v>
      </c>
      <c r="B290">
        <v>-1</v>
      </c>
      <c r="C290">
        <v>2050</v>
      </c>
      <c r="D290" s="34" t="s">
        <v>255</v>
      </c>
      <c r="E290" s="34" t="s">
        <v>396</v>
      </c>
      <c r="F290" s="34" t="s">
        <v>257</v>
      </c>
      <c r="G290" s="34" t="s">
        <v>43</v>
      </c>
      <c r="H290" s="34" t="s">
        <v>40</v>
      </c>
      <c r="I290" s="34" t="s">
        <v>19</v>
      </c>
      <c r="J290" s="34" t="s">
        <v>27</v>
      </c>
      <c r="K290" s="34" t="s">
        <v>48</v>
      </c>
      <c r="L290" s="34" t="s">
        <v>47</v>
      </c>
      <c r="M290">
        <v>-8.8999999999999996E-2</v>
      </c>
    </row>
    <row r="291" spans="1:13" x14ac:dyDescent="0.3">
      <c r="A291" s="34" t="s">
        <v>662</v>
      </c>
      <c r="B291">
        <v>-1</v>
      </c>
      <c r="C291">
        <v>2050</v>
      </c>
      <c r="D291" s="34" t="s">
        <v>255</v>
      </c>
      <c r="E291" s="34" t="s">
        <v>396</v>
      </c>
      <c r="F291" s="34" t="s">
        <v>257</v>
      </c>
      <c r="G291" s="34" t="s">
        <v>226</v>
      </c>
      <c r="H291" s="34" t="s">
        <v>209</v>
      </c>
      <c r="I291" s="34" t="s">
        <v>19</v>
      </c>
      <c r="J291" s="34" t="s">
        <v>27</v>
      </c>
      <c r="K291" s="34" t="s">
        <v>46</v>
      </c>
      <c r="L291" s="34" t="s">
        <v>47</v>
      </c>
      <c r="M291">
        <v>1.82674</v>
      </c>
    </row>
    <row r="292" spans="1:13" x14ac:dyDescent="0.3">
      <c r="A292" s="34" t="s">
        <v>662</v>
      </c>
      <c r="B292">
        <v>-1</v>
      </c>
      <c r="C292">
        <v>2050</v>
      </c>
      <c r="D292" s="34" t="s">
        <v>255</v>
      </c>
      <c r="E292" s="34" t="s">
        <v>396</v>
      </c>
      <c r="F292" s="34" t="s">
        <v>257</v>
      </c>
      <c r="G292" s="34" t="s">
        <v>226</v>
      </c>
      <c r="H292" s="34" t="s">
        <v>209</v>
      </c>
      <c r="I292" s="34" t="s">
        <v>19</v>
      </c>
      <c r="J292" s="34" t="s">
        <v>27</v>
      </c>
      <c r="K292" s="34" t="s">
        <v>48</v>
      </c>
      <c r="L292" s="34" t="s">
        <v>47</v>
      </c>
      <c r="M292">
        <v>-1.82674</v>
      </c>
    </row>
    <row r="293" spans="1:13" x14ac:dyDescent="0.3">
      <c r="A293" s="34" t="s">
        <v>662</v>
      </c>
      <c r="B293">
        <v>-1</v>
      </c>
      <c r="C293">
        <v>2050</v>
      </c>
      <c r="D293" s="34" t="s">
        <v>255</v>
      </c>
      <c r="E293" s="34" t="s">
        <v>396</v>
      </c>
      <c r="F293" s="34" t="s">
        <v>257</v>
      </c>
      <c r="G293" s="34" t="s">
        <v>44</v>
      </c>
      <c r="H293" s="34" t="s">
        <v>45</v>
      </c>
      <c r="I293" s="34" t="s">
        <v>19</v>
      </c>
      <c r="J293" s="34" t="s">
        <v>27</v>
      </c>
      <c r="K293" s="34" t="s">
        <v>46</v>
      </c>
      <c r="L293" s="34" t="s">
        <v>47</v>
      </c>
      <c r="M293">
        <v>2.2000000000000001E-4</v>
      </c>
    </row>
    <row r="294" spans="1:13" x14ac:dyDescent="0.3">
      <c r="A294" s="34" t="s">
        <v>662</v>
      </c>
      <c r="B294">
        <v>-1</v>
      </c>
      <c r="C294">
        <v>2050</v>
      </c>
      <c r="D294" s="34" t="s">
        <v>255</v>
      </c>
      <c r="E294" s="34" t="s">
        <v>396</v>
      </c>
      <c r="F294" s="34" t="s">
        <v>257</v>
      </c>
      <c r="G294" s="34" t="s">
        <v>44</v>
      </c>
      <c r="H294" s="34" t="s">
        <v>45</v>
      </c>
      <c r="I294" s="34" t="s">
        <v>19</v>
      </c>
      <c r="J294" s="34" t="s">
        <v>27</v>
      </c>
      <c r="K294" s="34" t="s">
        <v>48</v>
      </c>
      <c r="L294" s="34" t="s">
        <v>47</v>
      </c>
      <c r="M294">
        <v>-2.2000000000000001E-4</v>
      </c>
    </row>
    <row r="295" spans="1:13" x14ac:dyDescent="0.3">
      <c r="A295" s="34" t="s">
        <v>662</v>
      </c>
      <c r="B295">
        <v>-1</v>
      </c>
      <c r="C295">
        <v>2050</v>
      </c>
      <c r="D295" s="34" t="s">
        <v>255</v>
      </c>
      <c r="E295" s="34" t="s">
        <v>396</v>
      </c>
      <c r="F295" s="34" t="s">
        <v>257</v>
      </c>
      <c r="G295" s="34" t="s">
        <v>260</v>
      </c>
      <c r="H295" s="34" t="s">
        <v>237</v>
      </c>
      <c r="I295" s="34" t="s">
        <v>19</v>
      </c>
      <c r="J295" s="34" t="s">
        <v>27</v>
      </c>
      <c r="K295" s="34" t="s">
        <v>46</v>
      </c>
      <c r="L295" s="34" t="s">
        <v>47</v>
      </c>
      <c r="M295">
        <v>5.1000000000000004E-2</v>
      </c>
    </row>
    <row r="296" spans="1:13" x14ac:dyDescent="0.3">
      <c r="A296" s="34" t="s">
        <v>662</v>
      </c>
      <c r="B296">
        <v>-1</v>
      </c>
      <c r="C296">
        <v>2050</v>
      </c>
      <c r="D296" s="34" t="s">
        <v>255</v>
      </c>
      <c r="E296" s="34" t="s">
        <v>396</v>
      </c>
      <c r="F296" s="34" t="s">
        <v>257</v>
      </c>
      <c r="G296" s="34" t="s">
        <v>260</v>
      </c>
      <c r="H296" s="34" t="s">
        <v>237</v>
      </c>
      <c r="I296" s="34" t="s">
        <v>19</v>
      </c>
      <c r="J296" s="34" t="s">
        <v>27</v>
      </c>
      <c r="K296" s="34" t="s">
        <v>48</v>
      </c>
      <c r="L296" s="34" t="s">
        <v>47</v>
      </c>
      <c r="M296">
        <v>-5.1000000000000004E-2</v>
      </c>
    </row>
    <row r="297" spans="1:13" x14ac:dyDescent="0.3">
      <c r="A297" s="34" t="s">
        <v>662</v>
      </c>
      <c r="B297">
        <v>-1</v>
      </c>
      <c r="C297">
        <v>2050</v>
      </c>
      <c r="D297" s="34" t="s">
        <v>255</v>
      </c>
      <c r="E297" s="34" t="s">
        <v>396</v>
      </c>
      <c r="F297" s="34" t="s">
        <v>257</v>
      </c>
      <c r="G297" s="34" t="s">
        <v>261</v>
      </c>
      <c r="H297" s="34" t="s">
        <v>237</v>
      </c>
      <c r="I297" s="34" t="s">
        <v>19</v>
      </c>
      <c r="J297" s="34" t="s">
        <v>27</v>
      </c>
      <c r="K297" s="34" t="s">
        <v>46</v>
      </c>
      <c r="L297" s="34" t="s">
        <v>47</v>
      </c>
      <c r="M297">
        <v>0.12</v>
      </c>
    </row>
    <row r="298" spans="1:13" x14ac:dyDescent="0.3">
      <c r="A298" s="34" t="s">
        <v>662</v>
      </c>
      <c r="B298">
        <v>-1</v>
      </c>
      <c r="C298">
        <v>2050</v>
      </c>
      <c r="D298" s="34" t="s">
        <v>255</v>
      </c>
      <c r="E298" s="34" t="s">
        <v>396</v>
      </c>
      <c r="F298" s="34" t="s">
        <v>257</v>
      </c>
      <c r="G298" s="34" t="s">
        <v>261</v>
      </c>
      <c r="H298" s="34" t="s">
        <v>237</v>
      </c>
      <c r="I298" s="34" t="s">
        <v>19</v>
      </c>
      <c r="J298" s="34" t="s">
        <v>27</v>
      </c>
      <c r="K298" s="34" t="s">
        <v>48</v>
      </c>
      <c r="L298" s="34" t="s">
        <v>47</v>
      </c>
      <c r="M298">
        <v>-0.12</v>
      </c>
    </row>
    <row r="299" spans="1:13" x14ac:dyDescent="0.3">
      <c r="A299" s="34" t="s">
        <v>662</v>
      </c>
      <c r="B299">
        <v>-1</v>
      </c>
      <c r="C299">
        <v>2050</v>
      </c>
      <c r="D299" s="34" t="s">
        <v>255</v>
      </c>
      <c r="E299" s="34" t="s">
        <v>396</v>
      </c>
      <c r="F299" s="34" t="s">
        <v>257</v>
      </c>
      <c r="G299" s="34" t="s">
        <v>189</v>
      </c>
      <c r="H299" s="34" t="s">
        <v>40</v>
      </c>
      <c r="I299" s="34" t="s">
        <v>19</v>
      </c>
      <c r="J299" s="34" t="s">
        <v>27</v>
      </c>
      <c r="K299" s="34" t="s">
        <v>46</v>
      </c>
      <c r="L299" s="34" t="s">
        <v>47</v>
      </c>
      <c r="M299">
        <v>0.44600000000000001</v>
      </c>
    </row>
    <row r="300" spans="1:13" x14ac:dyDescent="0.3">
      <c r="A300" s="34" t="s">
        <v>662</v>
      </c>
      <c r="B300">
        <v>-1</v>
      </c>
      <c r="C300">
        <v>2050</v>
      </c>
      <c r="D300" s="34" t="s">
        <v>255</v>
      </c>
      <c r="E300" s="34" t="s">
        <v>396</v>
      </c>
      <c r="F300" s="34" t="s">
        <v>257</v>
      </c>
      <c r="G300" s="34" t="s">
        <v>189</v>
      </c>
      <c r="H300" s="34" t="s">
        <v>40</v>
      </c>
      <c r="I300" s="34" t="s">
        <v>19</v>
      </c>
      <c r="J300" s="34" t="s">
        <v>27</v>
      </c>
      <c r="K300" s="34" t="s">
        <v>48</v>
      </c>
      <c r="L300" s="34" t="s">
        <v>47</v>
      </c>
      <c r="M300">
        <v>-0.44600000000000001</v>
      </c>
    </row>
    <row r="301" spans="1:13" x14ac:dyDescent="0.3">
      <c r="A301" s="34" t="s">
        <v>662</v>
      </c>
      <c r="B301">
        <v>-1</v>
      </c>
      <c r="C301">
        <v>2050</v>
      </c>
      <c r="D301" s="34" t="s">
        <v>255</v>
      </c>
      <c r="E301" s="34" t="s">
        <v>396</v>
      </c>
      <c r="F301" s="34" t="s">
        <v>257</v>
      </c>
      <c r="G301" s="34" t="s">
        <v>180</v>
      </c>
      <c r="H301" s="34" t="s">
        <v>18</v>
      </c>
      <c r="I301" s="34" t="s">
        <v>19</v>
      </c>
      <c r="J301" s="34" t="s">
        <v>181</v>
      </c>
      <c r="K301" s="34" t="s">
        <v>46</v>
      </c>
      <c r="L301" s="34" t="s">
        <v>47</v>
      </c>
      <c r="M301">
        <v>0.55007000000000006</v>
      </c>
    </row>
    <row r="302" spans="1:13" x14ac:dyDescent="0.3">
      <c r="A302" s="34" t="s">
        <v>662</v>
      </c>
      <c r="B302">
        <v>-1</v>
      </c>
      <c r="C302">
        <v>2050</v>
      </c>
      <c r="D302" s="34" t="s">
        <v>255</v>
      </c>
      <c r="E302" s="34" t="s">
        <v>396</v>
      </c>
      <c r="F302" s="34" t="s">
        <v>257</v>
      </c>
      <c r="G302" s="34" t="s">
        <v>262</v>
      </c>
      <c r="H302" s="34" t="s">
        <v>209</v>
      </c>
      <c r="I302" s="34" t="s">
        <v>19</v>
      </c>
      <c r="J302" s="34" t="s">
        <v>27</v>
      </c>
      <c r="K302" s="34" t="s">
        <v>46</v>
      </c>
      <c r="L302" s="34" t="s">
        <v>47</v>
      </c>
      <c r="M302">
        <v>5.5200000000000006E-2</v>
      </c>
    </row>
    <row r="303" spans="1:13" x14ac:dyDescent="0.3">
      <c r="A303" s="34" t="s">
        <v>662</v>
      </c>
      <c r="B303">
        <v>-1</v>
      </c>
      <c r="C303">
        <v>2050</v>
      </c>
      <c r="D303" s="34" t="s">
        <v>255</v>
      </c>
      <c r="E303" s="34" t="s">
        <v>396</v>
      </c>
      <c r="F303" s="34" t="s">
        <v>257</v>
      </c>
      <c r="G303" s="34" t="s">
        <v>262</v>
      </c>
      <c r="H303" s="34" t="s">
        <v>209</v>
      </c>
      <c r="I303" s="34" t="s">
        <v>19</v>
      </c>
      <c r="J303" s="34" t="s">
        <v>27</v>
      </c>
      <c r="K303" s="34" t="s">
        <v>48</v>
      </c>
      <c r="L303" s="34" t="s">
        <v>47</v>
      </c>
      <c r="M303">
        <v>-5.5200000000000006E-2</v>
      </c>
    </row>
    <row r="304" spans="1:13" x14ac:dyDescent="0.3">
      <c r="A304" s="34" t="s">
        <v>662</v>
      </c>
      <c r="B304">
        <v>-1</v>
      </c>
      <c r="C304">
        <v>2050</v>
      </c>
      <c r="D304" s="34" t="s">
        <v>255</v>
      </c>
      <c r="E304" s="34" t="s">
        <v>396</v>
      </c>
      <c r="F304" s="34" t="s">
        <v>257</v>
      </c>
      <c r="G304" s="34" t="s">
        <v>263</v>
      </c>
      <c r="H304" s="34" t="s">
        <v>209</v>
      </c>
      <c r="I304" s="34" t="s">
        <v>203</v>
      </c>
      <c r="J304" s="34" t="s">
        <v>204</v>
      </c>
      <c r="K304" s="34" t="s">
        <v>46</v>
      </c>
      <c r="L304" s="34" t="s">
        <v>47</v>
      </c>
      <c r="M304">
        <v>0.16734939759036144</v>
      </c>
    </row>
    <row r="305" spans="1:13" x14ac:dyDescent="0.3">
      <c r="A305" s="34" t="s">
        <v>662</v>
      </c>
      <c r="B305">
        <v>-1</v>
      </c>
      <c r="C305">
        <v>2050</v>
      </c>
      <c r="D305" s="34" t="s">
        <v>255</v>
      </c>
      <c r="E305" s="34" t="s">
        <v>396</v>
      </c>
      <c r="F305" s="34" t="s">
        <v>257</v>
      </c>
      <c r="G305" s="34" t="s">
        <v>263</v>
      </c>
      <c r="H305" s="34" t="s">
        <v>209</v>
      </c>
      <c r="I305" s="34" t="s">
        <v>203</v>
      </c>
      <c r="J305" s="34" t="s">
        <v>204</v>
      </c>
      <c r="K305" s="34" t="s">
        <v>48</v>
      </c>
      <c r="L305" s="34" t="s">
        <v>47</v>
      </c>
      <c r="M305">
        <v>-0.16734939759036144</v>
      </c>
    </row>
    <row r="306" spans="1:13" x14ac:dyDescent="0.3">
      <c r="A306" s="34" t="s">
        <v>662</v>
      </c>
      <c r="B306">
        <v>-1</v>
      </c>
      <c r="C306">
        <v>2050</v>
      </c>
      <c r="D306" s="34" t="s">
        <v>255</v>
      </c>
      <c r="E306" s="34" t="s">
        <v>396</v>
      </c>
      <c r="F306" s="34" t="s">
        <v>257</v>
      </c>
      <c r="G306" s="34" t="s">
        <v>263</v>
      </c>
      <c r="H306" s="34" t="s">
        <v>209</v>
      </c>
      <c r="I306" s="34" t="s">
        <v>19</v>
      </c>
      <c r="J306" s="34" t="s">
        <v>204</v>
      </c>
      <c r="K306" s="34" t="s">
        <v>46</v>
      </c>
      <c r="L306" s="34" t="s">
        <v>47</v>
      </c>
      <c r="M306">
        <v>0.1389</v>
      </c>
    </row>
    <row r="307" spans="1:13" x14ac:dyDescent="0.3">
      <c r="A307" s="34" t="s">
        <v>662</v>
      </c>
      <c r="B307">
        <v>-1</v>
      </c>
      <c r="C307">
        <v>2050</v>
      </c>
      <c r="D307" s="34" t="s">
        <v>255</v>
      </c>
      <c r="E307" s="34" t="s">
        <v>396</v>
      </c>
      <c r="F307" s="34" t="s">
        <v>257</v>
      </c>
      <c r="G307" s="34" t="s">
        <v>263</v>
      </c>
      <c r="H307" s="34" t="s">
        <v>209</v>
      </c>
      <c r="I307" s="34" t="s">
        <v>19</v>
      </c>
      <c r="J307" s="34" t="s">
        <v>204</v>
      </c>
      <c r="K307" s="34" t="s">
        <v>48</v>
      </c>
      <c r="L307" s="34" t="s">
        <v>47</v>
      </c>
      <c r="M307">
        <v>-0.1389</v>
      </c>
    </row>
    <row r="308" spans="1:13" x14ac:dyDescent="0.3">
      <c r="A308" s="34" t="s">
        <v>662</v>
      </c>
      <c r="B308">
        <v>-1</v>
      </c>
      <c r="C308">
        <v>2050</v>
      </c>
      <c r="D308" s="34" t="s">
        <v>255</v>
      </c>
      <c r="E308" s="34" t="s">
        <v>396</v>
      </c>
      <c r="F308" s="34" t="s">
        <v>257</v>
      </c>
      <c r="G308" s="34" t="s">
        <v>264</v>
      </c>
      <c r="H308" s="34" t="s">
        <v>39</v>
      </c>
      <c r="I308" s="34" t="s">
        <v>203</v>
      </c>
      <c r="J308" s="34" t="s">
        <v>204</v>
      </c>
      <c r="K308" s="34" t="s">
        <v>46</v>
      </c>
      <c r="L308" s="34" t="s">
        <v>47</v>
      </c>
      <c r="M308">
        <v>0.13777777777777778</v>
      </c>
    </row>
    <row r="309" spans="1:13" x14ac:dyDescent="0.3">
      <c r="A309" s="34" t="s">
        <v>662</v>
      </c>
      <c r="B309">
        <v>-1</v>
      </c>
      <c r="C309">
        <v>2050</v>
      </c>
      <c r="D309" s="34" t="s">
        <v>255</v>
      </c>
      <c r="E309" s="34" t="s">
        <v>396</v>
      </c>
      <c r="F309" s="34" t="s">
        <v>257</v>
      </c>
      <c r="G309" s="34" t="s">
        <v>264</v>
      </c>
      <c r="H309" s="34" t="s">
        <v>39</v>
      </c>
      <c r="I309" s="34" t="s">
        <v>203</v>
      </c>
      <c r="J309" s="34" t="s">
        <v>204</v>
      </c>
      <c r="K309" s="34" t="s">
        <v>48</v>
      </c>
      <c r="L309" s="34" t="s">
        <v>47</v>
      </c>
      <c r="M309">
        <v>-0.13777777777777778</v>
      </c>
    </row>
    <row r="310" spans="1:13" x14ac:dyDescent="0.3">
      <c r="A310" s="34" t="s">
        <v>662</v>
      </c>
      <c r="B310">
        <v>-1</v>
      </c>
      <c r="C310">
        <v>2050</v>
      </c>
      <c r="D310" s="34" t="s">
        <v>255</v>
      </c>
      <c r="E310" s="34" t="s">
        <v>396</v>
      </c>
      <c r="F310" s="34" t="s">
        <v>257</v>
      </c>
      <c r="G310" s="34" t="s">
        <v>264</v>
      </c>
      <c r="H310" s="34" t="s">
        <v>39</v>
      </c>
      <c r="I310" s="34" t="s">
        <v>19</v>
      </c>
      <c r="J310" s="34" t="s">
        <v>204</v>
      </c>
      <c r="K310" s="34" t="s">
        <v>46</v>
      </c>
      <c r="L310" s="34" t="s">
        <v>47</v>
      </c>
      <c r="M310">
        <v>0.124</v>
      </c>
    </row>
    <row r="311" spans="1:13" x14ac:dyDescent="0.3">
      <c r="A311" s="34" t="s">
        <v>662</v>
      </c>
      <c r="B311">
        <v>-1</v>
      </c>
      <c r="C311">
        <v>2050</v>
      </c>
      <c r="D311" s="34" t="s">
        <v>255</v>
      </c>
      <c r="E311" s="34" t="s">
        <v>396</v>
      </c>
      <c r="F311" s="34" t="s">
        <v>257</v>
      </c>
      <c r="G311" s="34" t="s">
        <v>264</v>
      </c>
      <c r="H311" s="34" t="s">
        <v>39</v>
      </c>
      <c r="I311" s="34" t="s">
        <v>19</v>
      </c>
      <c r="J311" s="34" t="s">
        <v>204</v>
      </c>
      <c r="K311" s="34" t="s">
        <v>48</v>
      </c>
      <c r="L311" s="34" t="s">
        <v>47</v>
      </c>
      <c r="M311">
        <v>-0.124</v>
      </c>
    </row>
    <row r="312" spans="1:13" x14ac:dyDescent="0.3">
      <c r="A312" s="34" t="s">
        <v>662</v>
      </c>
      <c r="B312">
        <v>-1</v>
      </c>
      <c r="C312">
        <v>2050</v>
      </c>
      <c r="D312" s="34" t="s">
        <v>255</v>
      </c>
      <c r="E312" s="34" t="s">
        <v>396</v>
      </c>
      <c r="F312" s="34" t="s">
        <v>257</v>
      </c>
      <c r="G312" s="34" t="s">
        <v>265</v>
      </c>
      <c r="H312" s="34" t="s">
        <v>39</v>
      </c>
      <c r="I312" s="34" t="s">
        <v>203</v>
      </c>
      <c r="J312" s="34" t="s">
        <v>204</v>
      </c>
      <c r="K312" s="34" t="s">
        <v>46</v>
      </c>
      <c r="L312" s="34" t="s">
        <v>47</v>
      </c>
      <c r="M312">
        <v>1.1977777777777778</v>
      </c>
    </row>
    <row r="313" spans="1:13" x14ac:dyDescent="0.3">
      <c r="A313" s="34" t="s">
        <v>662</v>
      </c>
      <c r="B313">
        <v>-1</v>
      </c>
      <c r="C313">
        <v>2050</v>
      </c>
      <c r="D313" s="34" t="s">
        <v>255</v>
      </c>
      <c r="E313" s="34" t="s">
        <v>396</v>
      </c>
      <c r="F313" s="34" t="s">
        <v>257</v>
      </c>
      <c r="G313" s="34" t="s">
        <v>265</v>
      </c>
      <c r="H313" s="34" t="s">
        <v>39</v>
      </c>
      <c r="I313" s="34" t="s">
        <v>203</v>
      </c>
      <c r="J313" s="34" t="s">
        <v>204</v>
      </c>
      <c r="K313" s="34" t="s">
        <v>48</v>
      </c>
      <c r="L313" s="34" t="s">
        <v>47</v>
      </c>
      <c r="M313">
        <v>-1.1977777777777778</v>
      </c>
    </row>
    <row r="314" spans="1:13" x14ac:dyDescent="0.3">
      <c r="A314" s="34" t="s">
        <v>662</v>
      </c>
      <c r="B314">
        <v>-1</v>
      </c>
      <c r="C314">
        <v>2050</v>
      </c>
      <c r="D314" s="34" t="s">
        <v>255</v>
      </c>
      <c r="E314" s="34" t="s">
        <v>396</v>
      </c>
      <c r="F314" s="34" t="s">
        <v>257</v>
      </c>
      <c r="G314" s="34" t="s">
        <v>265</v>
      </c>
      <c r="H314" s="34" t="s">
        <v>39</v>
      </c>
      <c r="I314" s="34" t="s">
        <v>19</v>
      </c>
      <c r="J314" s="34" t="s">
        <v>204</v>
      </c>
      <c r="K314" s="34" t="s">
        <v>46</v>
      </c>
      <c r="L314" s="34" t="s">
        <v>47</v>
      </c>
      <c r="M314">
        <v>1.0780000000000001</v>
      </c>
    </row>
    <row r="315" spans="1:13" x14ac:dyDescent="0.3">
      <c r="A315" s="34" t="s">
        <v>662</v>
      </c>
      <c r="B315">
        <v>-1</v>
      </c>
      <c r="C315">
        <v>2050</v>
      </c>
      <c r="D315" s="34" t="s">
        <v>255</v>
      </c>
      <c r="E315" s="34" t="s">
        <v>396</v>
      </c>
      <c r="F315" s="34" t="s">
        <v>257</v>
      </c>
      <c r="G315" s="34" t="s">
        <v>265</v>
      </c>
      <c r="H315" s="34" t="s">
        <v>39</v>
      </c>
      <c r="I315" s="34" t="s">
        <v>19</v>
      </c>
      <c r="J315" s="34" t="s">
        <v>204</v>
      </c>
      <c r="K315" s="34" t="s">
        <v>48</v>
      </c>
      <c r="L315" s="34" t="s">
        <v>47</v>
      </c>
      <c r="M315">
        <v>-1.0780000000000001</v>
      </c>
    </row>
    <row r="316" spans="1:13" x14ac:dyDescent="0.3">
      <c r="A316" s="34" t="s">
        <v>662</v>
      </c>
      <c r="B316">
        <v>-1</v>
      </c>
      <c r="C316">
        <v>2050</v>
      </c>
      <c r="D316" s="34" t="s">
        <v>255</v>
      </c>
      <c r="E316" s="34" t="s">
        <v>396</v>
      </c>
      <c r="F316" s="34" t="s">
        <v>257</v>
      </c>
      <c r="G316" s="34" t="s">
        <v>266</v>
      </c>
      <c r="H316" s="34" t="s">
        <v>237</v>
      </c>
      <c r="I316" s="34" t="s">
        <v>19</v>
      </c>
      <c r="J316" s="34" t="s">
        <v>27</v>
      </c>
      <c r="K316" s="34" t="s">
        <v>46</v>
      </c>
      <c r="L316" s="34" t="s">
        <v>47</v>
      </c>
      <c r="M316">
        <v>0.1105</v>
      </c>
    </row>
    <row r="317" spans="1:13" x14ac:dyDescent="0.3">
      <c r="A317" s="34" t="s">
        <v>662</v>
      </c>
      <c r="B317">
        <v>-1</v>
      </c>
      <c r="C317">
        <v>2050</v>
      </c>
      <c r="D317" s="34" t="s">
        <v>255</v>
      </c>
      <c r="E317" s="34" t="s">
        <v>396</v>
      </c>
      <c r="F317" s="34" t="s">
        <v>257</v>
      </c>
      <c r="G317" s="34" t="s">
        <v>266</v>
      </c>
      <c r="H317" s="34" t="s">
        <v>237</v>
      </c>
      <c r="I317" s="34" t="s">
        <v>19</v>
      </c>
      <c r="J317" s="34" t="s">
        <v>27</v>
      </c>
      <c r="K317" s="34" t="s">
        <v>48</v>
      </c>
      <c r="L317" s="34" t="s">
        <v>47</v>
      </c>
      <c r="M317">
        <v>-0.1105</v>
      </c>
    </row>
    <row r="318" spans="1:13" x14ac:dyDescent="0.3">
      <c r="A318" s="34" t="s">
        <v>662</v>
      </c>
      <c r="B318">
        <v>-1</v>
      </c>
      <c r="C318">
        <v>2050</v>
      </c>
      <c r="D318" s="34" t="s">
        <v>255</v>
      </c>
      <c r="E318" s="34" t="s">
        <v>396</v>
      </c>
      <c r="F318" s="34" t="s">
        <v>257</v>
      </c>
      <c r="G318" s="34" t="s">
        <v>267</v>
      </c>
      <c r="H318" s="34" t="s">
        <v>268</v>
      </c>
      <c r="I318" s="34" t="s">
        <v>19</v>
      </c>
      <c r="J318" s="34" t="s">
        <v>27</v>
      </c>
      <c r="K318" s="34" t="s">
        <v>46</v>
      </c>
      <c r="L318" s="34" t="s">
        <v>47</v>
      </c>
      <c r="M318">
        <v>0.64</v>
      </c>
    </row>
    <row r="319" spans="1:13" x14ac:dyDescent="0.3">
      <c r="A319" s="34" t="s">
        <v>662</v>
      </c>
      <c r="B319">
        <v>-1</v>
      </c>
      <c r="C319">
        <v>2050</v>
      </c>
      <c r="D319" s="34" t="s">
        <v>255</v>
      </c>
      <c r="E319" s="34" t="s">
        <v>396</v>
      </c>
      <c r="F319" s="34" t="s">
        <v>257</v>
      </c>
      <c r="G319" s="34" t="s">
        <v>267</v>
      </c>
      <c r="H319" s="34" t="s">
        <v>268</v>
      </c>
      <c r="I319" s="34" t="s">
        <v>19</v>
      </c>
      <c r="J319" s="34" t="s">
        <v>27</v>
      </c>
      <c r="K319" s="34" t="s">
        <v>48</v>
      </c>
      <c r="L319" s="34" t="s">
        <v>47</v>
      </c>
      <c r="M319">
        <v>-0.64</v>
      </c>
    </row>
    <row r="320" spans="1:13" x14ac:dyDescent="0.3">
      <c r="A320" s="34" t="s">
        <v>662</v>
      </c>
      <c r="B320">
        <v>-1</v>
      </c>
      <c r="C320">
        <v>2050</v>
      </c>
      <c r="D320" s="34" t="s">
        <v>255</v>
      </c>
      <c r="E320" s="34" t="s">
        <v>396</v>
      </c>
      <c r="F320" s="34" t="s">
        <v>257</v>
      </c>
      <c r="G320" s="34" t="s">
        <v>269</v>
      </c>
      <c r="H320" s="34" t="s">
        <v>268</v>
      </c>
      <c r="I320" s="34" t="s">
        <v>203</v>
      </c>
      <c r="J320" s="34" t="s">
        <v>204</v>
      </c>
      <c r="K320" s="34" t="s">
        <v>46</v>
      </c>
      <c r="L320" s="34" t="s">
        <v>47</v>
      </c>
      <c r="M320">
        <v>9.6966666666666672</v>
      </c>
    </row>
    <row r="321" spans="1:13" x14ac:dyDescent="0.3">
      <c r="A321" s="34" t="s">
        <v>662</v>
      </c>
      <c r="B321">
        <v>-1</v>
      </c>
      <c r="C321">
        <v>2050</v>
      </c>
      <c r="D321" s="34" t="s">
        <v>255</v>
      </c>
      <c r="E321" s="34" t="s">
        <v>396</v>
      </c>
      <c r="F321" s="34" t="s">
        <v>257</v>
      </c>
      <c r="G321" s="34" t="s">
        <v>269</v>
      </c>
      <c r="H321" s="34" t="s">
        <v>268</v>
      </c>
      <c r="I321" s="34" t="s">
        <v>203</v>
      </c>
      <c r="J321" s="34" t="s">
        <v>204</v>
      </c>
      <c r="K321" s="34" t="s">
        <v>48</v>
      </c>
      <c r="L321" s="34" t="s">
        <v>47</v>
      </c>
      <c r="M321">
        <v>-9.6966666666666672</v>
      </c>
    </row>
    <row r="322" spans="1:13" x14ac:dyDescent="0.3">
      <c r="A322" s="34" t="s">
        <v>662</v>
      </c>
      <c r="B322">
        <v>-1</v>
      </c>
      <c r="C322">
        <v>2050</v>
      </c>
      <c r="D322" s="34" t="s">
        <v>255</v>
      </c>
      <c r="E322" s="34" t="s">
        <v>396</v>
      </c>
      <c r="F322" s="34" t="s">
        <v>257</v>
      </c>
      <c r="G322" s="34" t="s">
        <v>269</v>
      </c>
      <c r="H322" s="34" t="s">
        <v>268</v>
      </c>
      <c r="I322" s="34" t="s">
        <v>19</v>
      </c>
      <c r="J322" s="34" t="s">
        <v>204</v>
      </c>
      <c r="K322" s="34" t="s">
        <v>46</v>
      </c>
      <c r="L322" s="34" t="s">
        <v>47</v>
      </c>
      <c r="M322">
        <v>8.7270000000000003</v>
      </c>
    </row>
    <row r="323" spans="1:13" x14ac:dyDescent="0.3">
      <c r="A323" s="34" t="s">
        <v>662</v>
      </c>
      <c r="B323">
        <v>-1</v>
      </c>
      <c r="C323">
        <v>2050</v>
      </c>
      <c r="D323" s="34" t="s">
        <v>255</v>
      </c>
      <c r="E323" s="34" t="s">
        <v>396</v>
      </c>
      <c r="F323" s="34" t="s">
        <v>257</v>
      </c>
      <c r="G323" s="34" t="s">
        <v>269</v>
      </c>
      <c r="H323" s="34" t="s">
        <v>268</v>
      </c>
      <c r="I323" s="34" t="s">
        <v>19</v>
      </c>
      <c r="J323" s="34" t="s">
        <v>204</v>
      </c>
      <c r="K323" s="34" t="s">
        <v>48</v>
      </c>
      <c r="L323" s="34" t="s">
        <v>47</v>
      </c>
      <c r="M323">
        <v>-8.7270000000000003</v>
      </c>
    </row>
    <row r="324" spans="1:13" x14ac:dyDescent="0.3">
      <c r="A324" s="34" t="s">
        <v>662</v>
      </c>
      <c r="B324">
        <v>-1</v>
      </c>
      <c r="C324">
        <v>2050</v>
      </c>
      <c r="D324" s="34" t="s">
        <v>255</v>
      </c>
      <c r="E324" s="34" t="s">
        <v>396</v>
      </c>
      <c r="F324" s="34" t="s">
        <v>257</v>
      </c>
      <c r="G324" s="34" t="s">
        <v>270</v>
      </c>
      <c r="H324" s="34" t="s">
        <v>26</v>
      </c>
      <c r="I324" s="34" t="s">
        <v>19</v>
      </c>
      <c r="J324" s="34" t="s">
        <v>27</v>
      </c>
      <c r="K324" s="34" t="s">
        <v>46</v>
      </c>
      <c r="L324" s="34" t="s">
        <v>47</v>
      </c>
      <c r="M324">
        <v>6.5099999999999991E-2</v>
      </c>
    </row>
    <row r="325" spans="1:13" x14ac:dyDescent="0.3">
      <c r="A325" s="34" t="s">
        <v>662</v>
      </c>
      <c r="B325">
        <v>-1</v>
      </c>
      <c r="C325">
        <v>2050</v>
      </c>
      <c r="D325" s="34" t="s">
        <v>255</v>
      </c>
      <c r="E325" s="34" t="s">
        <v>396</v>
      </c>
      <c r="F325" s="34" t="s">
        <v>257</v>
      </c>
      <c r="G325" s="34" t="s">
        <v>270</v>
      </c>
      <c r="H325" s="34" t="s">
        <v>26</v>
      </c>
      <c r="I325" s="34" t="s">
        <v>19</v>
      </c>
      <c r="J325" s="34" t="s">
        <v>27</v>
      </c>
      <c r="K325" s="34" t="s">
        <v>48</v>
      </c>
      <c r="L325" s="34" t="s">
        <v>47</v>
      </c>
      <c r="M325">
        <v>-6.5099999999999991E-2</v>
      </c>
    </row>
    <row r="326" spans="1:13" x14ac:dyDescent="0.3">
      <c r="A326" s="34" t="s">
        <v>662</v>
      </c>
      <c r="B326">
        <v>-1</v>
      </c>
      <c r="C326">
        <v>2050</v>
      </c>
      <c r="D326" s="34" t="s">
        <v>255</v>
      </c>
      <c r="E326" s="34" t="s">
        <v>396</v>
      </c>
      <c r="F326" s="34" t="s">
        <v>257</v>
      </c>
      <c r="G326" s="34" t="s">
        <v>271</v>
      </c>
      <c r="H326" s="34" t="s">
        <v>40</v>
      </c>
      <c r="I326" s="34" t="s">
        <v>19</v>
      </c>
      <c r="J326" s="34" t="s">
        <v>27</v>
      </c>
      <c r="K326" s="34" t="s">
        <v>46</v>
      </c>
      <c r="L326" s="34" t="s">
        <v>47</v>
      </c>
      <c r="M326">
        <v>6.3399999999999998E-2</v>
      </c>
    </row>
    <row r="327" spans="1:13" x14ac:dyDescent="0.3">
      <c r="A327" s="34" t="s">
        <v>662</v>
      </c>
      <c r="B327">
        <v>-1</v>
      </c>
      <c r="C327">
        <v>2050</v>
      </c>
      <c r="D327" s="34" t="s">
        <v>255</v>
      </c>
      <c r="E327" s="34" t="s">
        <v>396</v>
      </c>
      <c r="F327" s="34" t="s">
        <v>257</v>
      </c>
      <c r="G327" s="34" t="s">
        <v>271</v>
      </c>
      <c r="H327" s="34" t="s">
        <v>40</v>
      </c>
      <c r="I327" s="34" t="s">
        <v>19</v>
      </c>
      <c r="J327" s="34" t="s">
        <v>27</v>
      </c>
      <c r="K327" s="34" t="s">
        <v>48</v>
      </c>
      <c r="L327" s="34" t="s">
        <v>47</v>
      </c>
      <c r="M327">
        <v>-6.3399999999999998E-2</v>
      </c>
    </row>
    <row r="328" spans="1:13" x14ac:dyDescent="0.3">
      <c r="A328" s="34" t="s">
        <v>662</v>
      </c>
      <c r="B328">
        <v>-1</v>
      </c>
      <c r="C328">
        <v>2050</v>
      </c>
      <c r="D328" s="34" t="s">
        <v>255</v>
      </c>
      <c r="E328" s="34" t="s">
        <v>396</v>
      </c>
      <c r="F328" s="34" t="s">
        <v>257</v>
      </c>
      <c r="G328" s="34" t="s">
        <v>272</v>
      </c>
      <c r="H328" s="34" t="s">
        <v>40</v>
      </c>
      <c r="I328" s="34" t="s">
        <v>203</v>
      </c>
      <c r="J328" s="34" t="s">
        <v>204</v>
      </c>
      <c r="K328" s="34" t="s">
        <v>46</v>
      </c>
      <c r="L328" s="34" t="s">
        <v>47</v>
      </c>
      <c r="M328">
        <v>0.9999563777419106</v>
      </c>
    </row>
    <row r="329" spans="1:13" x14ac:dyDescent="0.3">
      <c r="A329" s="34" t="s">
        <v>662</v>
      </c>
      <c r="B329">
        <v>-1</v>
      </c>
      <c r="C329">
        <v>2050</v>
      </c>
      <c r="D329" s="34" t="s">
        <v>255</v>
      </c>
      <c r="E329" s="34" t="s">
        <v>396</v>
      </c>
      <c r="F329" s="34" t="s">
        <v>257</v>
      </c>
      <c r="G329" s="34" t="s">
        <v>272</v>
      </c>
      <c r="H329" s="34" t="s">
        <v>40</v>
      </c>
      <c r="I329" s="34" t="s">
        <v>203</v>
      </c>
      <c r="J329" s="34" t="s">
        <v>204</v>
      </c>
      <c r="K329" s="34" t="s">
        <v>48</v>
      </c>
      <c r="L329" s="34" t="s">
        <v>47</v>
      </c>
      <c r="M329">
        <v>-0.9999563777419106</v>
      </c>
    </row>
    <row r="330" spans="1:13" x14ac:dyDescent="0.3">
      <c r="A330" s="34" t="s">
        <v>662</v>
      </c>
      <c r="B330">
        <v>-1</v>
      </c>
      <c r="C330">
        <v>2050</v>
      </c>
      <c r="D330" s="34" t="s">
        <v>255</v>
      </c>
      <c r="E330" s="34" t="s">
        <v>396</v>
      </c>
      <c r="F330" s="34" t="s">
        <v>257</v>
      </c>
      <c r="G330" s="34" t="s">
        <v>272</v>
      </c>
      <c r="H330" s="34" t="s">
        <v>40</v>
      </c>
      <c r="I330" s="34" t="s">
        <v>19</v>
      </c>
      <c r="J330" s="34" t="s">
        <v>204</v>
      </c>
      <c r="K330" s="34" t="s">
        <v>46</v>
      </c>
      <c r="L330" s="34" t="s">
        <v>47</v>
      </c>
      <c r="M330">
        <v>0.59599999999999997</v>
      </c>
    </row>
    <row r="331" spans="1:13" x14ac:dyDescent="0.3">
      <c r="A331" s="34" t="s">
        <v>662</v>
      </c>
      <c r="B331">
        <v>-1</v>
      </c>
      <c r="C331">
        <v>2050</v>
      </c>
      <c r="D331" s="34" t="s">
        <v>255</v>
      </c>
      <c r="E331" s="34" t="s">
        <v>396</v>
      </c>
      <c r="F331" s="34" t="s">
        <v>257</v>
      </c>
      <c r="G331" s="34" t="s">
        <v>272</v>
      </c>
      <c r="H331" s="34" t="s">
        <v>40</v>
      </c>
      <c r="I331" s="34" t="s">
        <v>19</v>
      </c>
      <c r="J331" s="34" t="s">
        <v>204</v>
      </c>
      <c r="K331" s="34" t="s">
        <v>48</v>
      </c>
      <c r="L331" s="34" t="s">
        <v>47</v>
      </c>
      <c r="M331">
        <v>-0.59599999999999997</v>
      </c>
    </row>
    <row r="332" spans="1:13" x14ac:dyDescent="0.3">
      <c r="A332" s="34" t="s">
        <v>662</v>
      </c>
      <c r="B332">
        <v>-1</v>
      </c>
      <c r="C332">
        <v>2050</v>
      </c>
      <c r="D332" s="34" t="s">
        <v>255</v>
      </c>
      <c r="E332" s="34" t="s">
        <v>396</v>
      </c>
      <c r="F332" s="34" t="s">
        <v>257</v>
      </c>
      <c r="G332" s="34" t="s">
        <v>11</v>
      </c>
      <c r="H332" s="34" t="s">
        <v>12</v>
      </c>
      <c r="I332" s="34" t="s">
        <v>13</v>
      </c>
      <c r="J332" s="34" t="s">
        <v>14</v>
      </c>
      <c r="K332" s="34" t="s">
        <v>46</v>
      </c>
      <c r="L332" s="34" t="s">
        <v>47</v>
      </c>
      <c r="M332">
        <v>2.6559999999999997</v>
      </c>
    </row>
    <row r="333" spans="1:13" x14ac:dyDescent="0.3">
      <c r="A333" s="34" t="s">
        <v>662</v>
      </c>
      <c r="B333">
        <v>-1</v>
      </c>
      <c r="C333">
        <v>2050</v>
      </c>
      <c r="D333" s="34" t="s">
        <v>255</v>
      </c>
      <c r="E333" s="34" t="s">
        <v>396</v>
      </c>
      <c r="F333" s="34" t="s">
        <v>257</v>
      </c>
      <c r="G333" s="34" t="s">
        <v>11</v>
      </c>
      <c r="H333" s="34" t="s">
        <v>12</v>
      </c>
      <c r="I333" s="34" t="s">
        <v>13</v>
      </c>
      <c r="J333" s="34" t="s">
        <v>14</v>
      </c>
      <c r="K333" s="34" t="s">
        <v>48</v>
      </c>
      <c r="L333" s="34" t="s">
        <v>47</v>
      </c>
      <c r="M333">
        <v>-0.66400000000000159</v>
      </c>
    </row>
    <row r="334" spans="1:13" x14ac:dyDescent="0.3">
      <c r="A334" s="34" t="s">
        <v>662</v>
      </c>
      <c r="B334">
        <v>-1</v>
      </c>
      <c r="C334">
        <v>2050</v>
      </c>
      <c r="D334" s="34" t="s">
        <v>255</v>
      </c>
      <c r="E334" s="34" t="s">
        <v>396</v>
      </c>
      <c r="F334" s="34" t="s">
        <v>257</v>
      </c>
      <c r="G334" s="34" t="s">
        <v>392</v>
      </c>
      <c r="H334" s="34" t="s">
        <v>13</v>
      </c>
      <c r="I334" s="34" t="s">
        <v>13</v>
      </c>
      <c r="J334" s="34" t="s">
        <v>17</v>
      </c>
      <c r="K334" s="34" t="s">
        <v>49</v>
      </c>
      <c r="L334" s="34" t="s">
        <v>47</v>
      </c>
      <c r="M334">
        <v>4.0712480429190148</v>
      </c>
    </row>
    <row r="335" spans="1:13" x14ac:dyDescent="0.3">
      <c r="A335" s="34" t="s">
        <v>662</v>
      </c>
      <c r="B335">
        <v>-1</v>
      </c>
      <c r="C335">
        <v>2050</v>
      </c>
      <c r="D335" s="34" t="s">
        <v>255</v>
      </c>
      <c r="E335" s="34" t="s">
        <v>396</v>
      </c>
      <c r="F335" s="34" t="s">
        <v>257</v>
      </c>
      <c r="G335" s="34" t="s">
        <v>41</v>
      </c>
      <c r="H335" s="34" t="s">
        <v>40</v>
      </c>
      <c r="I335" s="34" t="s">
        <v>13</v>
      </c>
      <c r="J335" s="34" t="s">
        <v>42</v>
      </c>
      <c r="K335" s="34" t="s">
        <v>46</v>
      </c>
      <c r="L335" s="34" t="s">
        <v>47</v>
      </c>
      <c r="M335">
        <v>0.84973883174720399</v>
      </c>
    </row>
    <row r="336" spans="1:13" x14ac:dyDescent="0.3">
      <c r="A336" s="34" t="s">
        <v>662</v>
      </c>
      <c r="B336">
        <v>-1</v>
      </c>
      <c r="C336">
        <v>2050</v>
      </c>
      <c r="D336" s="34" t="s">
        <v>255</v>
      </c>
      <c r="E336" s="34" t="s">
        <v>396</v>
      </c>
      <c r="F336" s="34" t="s">
        <v>257</v>
      </c>
      <c r="G336" s="34" t="s">
        <v>41</v>
      </c>
      <c r="H336" s="34" t="s">
        <v>40</v>
      </c>
      <c r="I336" s="34" t="s">
        <v>13</v>
      </c>
      <c r="J336" s="34" t="s">
        <v>42</v>
      </c>
      <c r="K336" s="34" t="s">
        <v>49</v>
      </c>
      <c r="L336" s="34" t="s">
        <v>47</v>
      </c>
      <c r="M336">
        <v>-1.5916157281026244E-16</v>
      </c>
    </row>
    <row r="337" spans="1:13" x14ac:dyDescent="0.3">
      <c r="A337" s="34" t="s">
        <v>662</v>
      </c>
      <c r="B337">
        <v>-1</v>
      </c>
      <c r="C337">
        <v>2050</v>
      </c>
      <c r="D337" s="34" t="s">
        <v>255</v>
      </c>
      <c r="E337" s="34" t="s">
        <v>396</v>
      </c>
      <c r="F337" s="34" t="s">
        <v>257</v>
      </c>
      <c r="G337" s="34" t="s">
        <v>41</v>
      </c>
      <c r="H337" s="34" t="s">
        <v>40</v>
      </c>
      <c r="I337" s="34" t="s">
        <v>13</v>
      </c>
      <c r="J337" s="34" t="s">
        <v>42</v>
      </c>
      <c r="K337" s="34" t="s">
        <v>48</v>
      </c>
      <c r="L337" s="34" t="s">
        <v>47</v>
      </c>
      <c r="M337">
        <v>-0.84973883174720377</v>
      </c>
    </row>
    <row r="338" spans="1:13" x14ac:dyDescent="0.3">
      <c r="A338" s="34" t="s">
        <v>662</v>
      </c>
      <c r="B338">
        <v>-1</v>
      </c>
      <c r="C338">
        <v>2050</v>
      </c>
      <c r="D338" s="34" t="s">
        <v>255</v>
      </c>
      <c r="E338" s="34" t="s">
        <v>396</v>
      </c>
      <c r="F338" s="34" t="s">
        <v>274</v>
      </c>
      <c r="G338" s="34" t="s">
        <v>226</v>
      </c>
      <c r="H338" s="34" t="s">
        <v>209</v>
      </c>
      <c r="I338" s="34" t="s">
        <v>19</v>
      </c>
      <c r="J338" s="34" t="s">
        <v>27</v>
      </c>
      <c r="K338" s="34" t="s">
        <v>46</v>
      </c>
      <c r="L338" s="34" t="s">
        <v>47</v>
      </c>
      <c r="M338">
        <v>0.48417000000000004</v>
      </c>
    </row>
    <row r="339" spans="1:13" x14ac:dyDescent="0.3">
      <c r="A339" s="34" t="s">
        <v>662</v>
      </c>
      <c r="B339">
        <v>-1</v>
      </c>
      <c r="C339">
        <v>2050</v>
      </c>
      <c r="D339" s="34" t="s">
        <v>255</v>
      </c>
      <c r="E339" s="34" t="s">
        <v>396</v>
      </c>
      <c r="F339" s="34" t="s">
        <v>274</v>
      </c>
      <c r="G339" s="34" t="s">
        <v>226</v>
      </c>
      <c r="H339" s="34" t="s">
        <v>209</v>
      </c>
      <c r="I339" s="34" t="s">
        <v>19</v>
      </c>
      <c r="J339" s="34" t="s">
        <v>27</v>
      </c>
      <c r="K339" s="34" t="s">
        <v>48</v>
      </c>
      <c r="L339" s="34" t="s">
        <v>47</v>
      </c>
      <c r="M339">
        <v>-0.4841700000000001</v>
      </c>
    </row>
    <row r="340" spans="1:13" x14ac:dyDescent="0.3">
      <c r="A340" s="34" t="s">
        <v>662</v>
      </c>
      <c r="B340">
        <v>-1</v>
      </c>
      <c r="C340">
        <v>2050</v>
      </c>
      <c r="D340" s="34" t="s">
        <v>255</v>
      </c>
      <c r="E340" s="34" t="s">
        <v>396</v>
      </c>
      <c r="F340" s="34" t="s">
        <v>274</v>
      </c>
      <c r="G340" s="34" t="s">
        <v>44</v>
      </c>
      <c r="H340" s="34" t="s">
        <v>45</v>
      </c>
      <c r="I340" s="34" t="s">
        <v>19</v>
      </c>
      <c r="J340" s="34" t="s">
        <v>27</v>
      </c>
      <c r="K340" s="34" t="s">
        <v>46</v>
      </c>
      <c r="L340" s="34" t="s">
        <v>47</v>
      </c>
      <c r="M340">
        <v>1.0000000000000001E-5</v>
      </c>
    </row>
    <row r="341" spans="1:13" x14ac:dyDescent="0.3">
      <c r="A341" s="34" t="s">
        <v>662</v>
      </c>
      <c r="B341">
        <v>-1</v>
      </c>
      <c r="C341">
        <v>2050</v>
      </c>
      <c r="D341" s="34" t="s">
        <v>255</v>
      </c>
      <c r="E341" s="34" t="s">
        <v>396</v>
      </c>
      <c r="F341" s="34" t="s">
        <v>274</v>
      </c>
      <c r="G341" s="34" t="s">
        <v>44</v>
      </c>
      <c r="H341" s="34" t="s">
        <v>45</v>
      </c>
      <c r="I341" s="34" t="s">
        <v>19</v>
      </c>
      <c r="J341" s="34" t="s">
        <v>27</v>
      </c>
      <c r="K341" s="34" t="s">
        <v>48</v>
      </c>
      <c r="L341" s="34" t="s">
        <v>47</v>
      </c>
      <c r="M341">
        <v>-1.0000000000000001E-5</v>
      </c>
    </row>
    <row r="342" spans="1:13" x14ac:dyDescent="0.3">
      <c r="A342" s="34" t="s">
        <v>662</v>
      </c>
      <c r="B342">
        <v>-1</v>
      </c>
      <c r="C342">
        <v>2050</v>
      </c>
      <c r="D342" s="34" t="s">
        <v>255</v>
      </c>
      <c r="E342" s="34" t="s">
        <v>396</v>
      </c>
      <c r="F342" s="34" t="s">
        <v>274</v>
      </c>
      <c r="G342" s="34" t="s">
        <v>252</v>
      </c>
      <c r="H342" s="34" t="s">
        <v>237</v>
      </c>
      <c r="I342" s="34" t="s">
        <v>19</v>
      </c>
      <c r="J342" s="34" t="s">
        <v>27</v>
      </c>
      <c r="K342" s="34" t="s">
        <v>46</v>
      </c>
      <c r="L342" s="34" t="s">
        <v>47</v>
      </c>
      <c r="M342">
        <v>0.29149999999999998</v>
      </c>
    </row>
    <row r="343" spans="1:13" x14ac:dyDescent="0.3">
      <c r="A343" s="34" t="s">
        <v>662</v>
      </c>
      <c r="B343">
        <v>-1</v>
      </c>
      <c r="C343">
        <v>2050</v>
      </c>
      <c r="D343" s="34" t="s">
        <v>255</v>
      </c>
      <c r="E343" s="34" t="s">
        <v>396</v>
      </c>
      <c r="F343" s="34" t="s">
        <v>274</v>
      </c>
      <c r="G343" s="34" t="s">
        <v>252</v>
      </c>
      <c r="H343" s="34" t="s">
        <v>237</v>
      </c>
      <c r="I343" s="34" t="s">
        <v>19</v>
      </c>
      <c r="J343" s="34" t="s">
        <v>27</v>
      </c>
      <c r="K343" s="34" t="s">
        <v>48</v>
      </c>
      <c r="L343" s="34" t="s">
        <v>47</v>
      </c>
      <c r="M343">
        <v>-0.29149999999999998</v>
      </c>
    </row>
    <row r="344" spans="1:13" x14ac:dyDescent="0.3">
      <c r="A344" s="34" t="s">
        <v>662</v>
      </c>
      <c r="B344">
        <v>-1</v>
      </c>
      <c r="C344">
        <v>2050</v>
      </c>
      <c r="D344" s="34" t="s">
        <v>255</v>
      </c>
      <c r="E344" s="34" t="s">
        <v>396</v>
      </c>
      <c r="F344" s="34" t="s">
        <v>274</v>
      </c>
      <c r="G344" s="34" t="s">
        <v>180</v>
      </c>
      <c r="H344" s="34" t="s">
        <v>18</v>
      </c>
      <c r="I344" s="34" t="s">
        <v>19</v>
      </c>
      <c r="J344" s="34" t="s">
        <v>181</v>
      </c>
      <c r="K344" s="34" t="s">
        <v>46</v>
      </c>
      <c r="L344" s="34" t="s">
        <v>47</v>
      </c>
      <c r="M344">
        <v>4.8399999999999997E-3</v>
      </c>
    </row>
    <row r="345" spans="1:13" x14ac:dyDescent="0.3">
      <c r="A345" s="34" t="s">
        <v>662</v>
      </c>
      <c r="B345">
        <v>-1</v>
      </c>
      <c r="C345">
        <v>2050</v>
      </c>
      <c r="D345" s="34" t="s">
        <v>255</v>
      </c>
      <c r="E345" s="34" t="s">
        <v>396</v>
      </c>
      <c r="F345" s="34" t="s">
        <v>274</v>
      </c>
      <c r="G345" s="34" t="s">
        <v>275</v>
      </c>
      <c r="H345" s="34" t="s">
        <v>39</v>
      </c>
      <c r="I345" s="34" t="s">
        <v>203</v>
      </c>
      <c r="J345" s="34" t="s">
        <v>204</v>
      </c>
      <c r="K345" s="34" t="s">
        <v>46</v>
      </c>
      <c r="L345" s="34" t="s">
        <v>47</v>
      </c>
      <c r="M345">
        <v>2.6411111111111114</v>
      </c>
    </row>
    <row r="346" spans="1:13" x14ac:dyDescent="0.3">
      <c r="A346" s="34" t="s">
        <v>662</v>
      </c>
      <c r="B346">
        <v>-1</v>
      </c>
      <c r="C346">
        <v>2050</v>
      </c>
      <c r="D346" s="34" t="s">
        <v>255</v>
      </c>
      <c r="E346" s="34" t="s">
        <v>396</v>
      </c>
      <c r="F346" s="34" t="s">
        <v>274</v>
      </c>
      <c r="G346" s="34" t="s">
        <v>275</v>
      </c>
      <c r="H346" s="34" t="s">
        <v>39</v>
      </c>
      <c r="I346" s="34" t="s">
        <v>203</v>
      </c>
      <c r="J346" s="34" t="s">
        <v>204</v>
      </c>
      <c r="K346" s="34" t="s">
        <v>48</v>
      </c>
      <c r="L346" s="34" t="s">
        <v>47</v>
      </c>
      <c r="M346">
        <v>-2.6411111111111114</v>
      </c>
    </row>
    <row r="347" spans="1:13" x14ac:dyDescent="0.3">
      <c r="A347" s="34" t="s">
        <v>662</v>
      </c>
      <c r="B347">
        <v>-1</v>
      </c>
      <c r="C347">
        <v>2050</v>
      </c>
      <c r="D347" s="34" t="s">
        <v>255</v>
      </c>
      <c r="E347" s="34" t="s">
        <v>396</v>
      </c>
      <c r="F347" s="34" t="s">
        <v>274</v>
      </c>
      <c r="G347" s="34" t="s">
        <v>275</v>
      </c>
      <c r="H347" s="34" t="s">
        <v>39</v>
      </c>
      <c r="I347" s="34" t="s">
        <v>19</v>
      </c>
      <c r="J347" s="34" t="s">
        <v>204</v>
      </c>
      <c r="K347" s="34" t="s">
        <v>46</v>
      </c>
      <c r="L347" s="34" t="s">
        <v>47</v>
      </c>
      <c r="M347">
        <v>2.3770000000000002</v>
      </c>
    </row>
    <row r="348" spans="1:13" x14ac:dyDescent="0.3">
      <c r="A348" s="34" t="s">
        <v>662</v>
      </c>
      <c r="B348">
        <v>-1</v>
      </c>
      <c r="C348">
        <v>2050</v>
      </c>
      <c r="D348" s="34" t="s">
        <v>255</v>
      </c>
      <c r="E348" s="34" t="s">
        <v>396</v>
      </c>
      <c r="F348" s="34" t="s">
        <v>274</v>
      </c>
      <c r="G348" s="34" t="s">
        <v>275</v>
      </c>
      <c r="H348" s="34" t="s">
        <v>39</v>
      </c>
      <c r="I348" s="34" t="s">
        <v>19</v>
      </c>
      <c r="J348" s="34" t="s">
        <v>204</v>
      </c>
      <c r="K348" s="34" t="s">
        <v>48</v>
      </c>
      <c r="L348" s="34" t="s">
        <v>47</v>
      </c>
      <c r="M348">
        <v>-2.3770000000000002</v>
      </c>
    </row>
    <row r="349" spans="1:13" x14ac:dyDescent="0.3">
      <c r="A349" s="34" t="s">
        <v>662</v>
      </c>
      <c r="B349">
        <v>-1</v>
      </c>
      <c r="C349">
        <v>2050</v>
      </c>
      <c r="D349" s="34" t="s">
        <v>255</v>
      </c>
      <c r="E349" s="34" t="s">
        <v>396</v>
      </c>
      <c r="F349" s="34" t="s">
        <v>274</v>
      </c>
      <c r="G349" s="34" t="s">
        <v>276</v>
      </c>
      <c r="H349" s="34" t="s">
        <v>237</v>
      </c>
      <c r="I349" s="34" t="s">
        <v>19</v>
      </c>
      <c r="J349" s="34" t="s">
        <v>27</v>
      </c>
      <c r="K349" s="34" t="s">
        <v>46</v>
      </c>
      <c r="L349" s="34" t="s">
        <v>47</v>
      </c>
      <c r="M349">
        <v>0.17500000000000002</v>
      </c>
    </row>
    <row r="350" spans="1:13" x14ac:dyDescent="0.3">
      <c r="A350" s="34" t="s">
        <v>662</v>
      </c>
      <c r="B350">
        <v>-1</v>
      </c>
      <c r="C350">
        <v>2050</v>
      </c>
      <c r="D350" s="34" t="s">
        <v>255</v>
      </c>
      <c r="E350" s="34" t="s">
        <v>396</v>
      </c>
      <c r="F350" s="34" t="s">
        <v>274</v>
      </c>
      <c r="G350" s="34" t="s">
        <v>276</v>
      </c>
      <c r="H350" s="34" t="s">
        <v>237</v>
      </c>
      <c r="I350" s="34" t="s">
        <v>19</v>
      </c>
      <c r="J350" s="34" t="s">
        <v>27</v>
      </c>
      <c r="K350" s="34" t="s">
        <v>48</v>
      </c>
      <c r="L350" s="34" t="s">
        <v>47</v>
      </c>
      <c r="M350">
        <v>-0.17500000000000002</v>
      </c>
    </row>
    <row r="351" spans="1:13" x14ac:dyDescent="0.3">
      <c r="A351" s="34" t="s">
        <v>662</v>
      </c>
      <c r="B351">
        <v>-1</v>
      </c>
      <c r="C351">
        <v>2050</v>
      </c>
      <c r="D351" s="34" t="s">
        <v>255</v>
      </c>
      <c r="E351" s="34" t="s">
        <v>396</v>
      </c>
      <c r="F351" s="34" t="s">
        <v>274</v>
      </c>
      <c r="G351" s="34" t="s">
        <v>253</v>
      </c>
      <c r="H351" s="34" t="s">
        <v>254</v>
      </c>
      <c r="I351" s="34" t="s">
        <v>19</v>
      </c>
      <c r="J351" s="34" t="s">
        <v>27</v>
      </c>
      <c r="K351" s="34" t="s">
        <v>46</v>
      </c>
      <c r="L351" s="34" t="s">
        <v>47</v>
      </c>
      <c r="M351">
        <v>1.41</v>
      </c>
    </row>
    <row r="352" spans="1:13" x14ac:dyDescent="0.3">
      <c r="A352" s="34" t="s">
        <v>662</v>
      </c>
      <c r="B352">
        <v>-1</v>
      </c>
      <c r="C352">
        <v>2050</v>
      </c>
      <c r="D352" s="34" t="s">
        <v>255</v>
      </c>
      <c r="E352" s="34" t="s">
        <v>396</v>
      </c>
      <c r="F352" s="34" t="s">
        <v>274</v>
      </c>
      <c r="G352" s="34" t="s">
        <v>253</v>
      </c>
      <c r="H352" s="34" t="s">
        <v>254</v>
      </c>
      <c r="I352" s="34" t="s">
        <v>19</v>
      </c>
      <c r="J352" s="34" t="s">
        <v>27</v>
      </c>
      <c r="K352" s="34" t="s">
        <v>48</v>
      </c>
      <c r="L352" s="34" t="s">
        <v>47</v>
      </c>
      <c r="M352">
        <v>-1.41</v>
      </c>
    </row>
    <row r="353" spans="1:13" x14ac:dyDescent="0.3">
      <c r="A353" s="34" t="s">
        <v>662</v>
      </c>
      <c r="B353">
        <v>-1</v>
      </c>
      <c r="C353">
        <v>2050</v>
      </c>
      <c r="D353" s="34" t="s">
        <v>255</v>
      </c>
      <c r="E353" s="34" t="s">
        <v>396</v>
      </c>
      <c r="F353" s="34" t="s">
        <v>274</v>
      </c>
      <c r="G353" s="34" t="s">
        <v>11</v>
      </c>
      <c r="H353" s="34" t="s">
        <v>12</v>
      </c>
      <c r="I353" s="34" t="s">
        <v>13</v>
      </c>
      <c r="J353" s="34" t="s">
        <v>14</v>
      </c>
      <c r="K353" s="34" t="s">
        <v>46</v>
      </c>
      <c r="L353" s="34" t="s">
        <v>47</v>
      </c>
      <c r="M353">
        <v>0.24100000000000027</v>
      </c>
    </row>
    <row r="354" spans="1:13" x14ac:dyDescent="0.3">
      <c r="A354" s="34" t="s">
        <v>662</v>
      </c>
      <c r="B354">
        <v>-1</v>
      </c>
      <c r="C354">
        <v>2050</v>
      </c>
      <c r="D354" s="34" t="s">
        <v>255</v>
      </c>
      <c r="E354" s="34" t="s">
        <v>396</v>
      </c>
      <c r="F354" s="34" t="s">
        <v>274</v>
      </c>
      <c r="G354" s="34" t="s">
        <v>11</v>
      </c>
      <c r="H354" s="34" t="s">
        <v>12</v>
      </c>
      <c r="I354" s="34" t="s">
        <v>13</v>
      </c>
      <c r="J354" s="34" t="s">
        <v>14</v>
      </c>
      <c r="K354" s="34" t="s">
        <v>48</v>
      </c>
      <c r="L354" s="34" t="s">
        <v>47</v>
      </c>
      <c r="M354">
        <v>-5.999999999999997E-2</v>
      </c>
    </row>
    <row r="355" spans="1:13" x14ac:dyDescent="0.3">
      <c r="A355" s="34" t="s">
        <v>662</v>
      </c>
      <c r="B355">
        <v>-1</v>
      </c>
      <c r="C355">
        <v>2050</v>
      </c>
      <c r="D355" s="34" t="s">
        <v>255</v>
      </c>
      <c r="E355" s="34" t="s">
        <v>396</v>
      </c>
      <c r="F355" s="34" t="s">
        <v>274</v>
      </c>
      <c r="G355" s="34" t="s">
        <v>392</v>
      </c>
      <c r="H355" s="34" t="s">
        <v>13</v>
      </c>
      <c r="I355" s="34" t="s">
        <v>13</v>
      </c>
      <c r="J355" s="34" t="s">
        <v>17</v>
      </c>
      <c r="K355" s="34" t="s">
        <v>49</v>
      </c>
      <c r="L355" s="34" t="s">
        <v>47</v>
      </c>
      <c r="M355">
        <v>4.1816621756434236</v>
      </c>
    </row>
    <row r="356" spans="1:13" x14ac:dyDescent="0.3">
      <c r="A356" s="34" t="s">
        <v>662</v>
      </c>
      <c r="B356">
        <v>-1</v>
      </c>
      <c r="C356">
        <v>2050</v>
      </c>
      <c r="D356" s="34" t="s">
        <v>255</v>
      </c>
      <c r="E356" s="34" t="s">
        <v>396</v>
      </c>
      <c r="F356" s="34" t="s">
        <v>274</v>
      </c>
      <c r="G356" s="34" t="s">
        <v>41</v>
      </c>
      <c r="H356" s="34" t="s">
        <v>40</v>
      </c>
      <c r="I356" s="34" t="s">
        <v>13</v>
      </c>
      <c r="J356" s="34" t="s">
        <v>42</v>
      </c>
      <c r="K356" s="34" t="s">
        <v>46</v>
      </c>
      <c r="L356" s="34" t="s">
        <v>47</v>
      </c>
      <c r="M356">
        <v>0.26145810207606246</v>
      </c>
    </row>
    <row r="357" spans="1:13" x14ac:dyDescent="0.3">
      <c r="A357" s="34" t="s">
        <v>662</v>
      </c>
      <c r="B357">
        <v>-1</v>
      </c>
      <c r="C357">
        <v>2050</v>
      </c>
      <c r="D357" s="34" t="s">
        <v>255</v>
      </c>
      <c r="E357" s="34" t="s">
        <v>396</v>
      </c>
      <c r="F357" s="34" t="s">
        <v>274</v>
      </c>
      <c r="G357" s="34" t="s">
        <v>41</v>
      </c>
      <c r="H357" s="34" t="s">
        <v>40</v>
      </c>
      <c r="I357" s="34" t="s">
        <v>13</v>
      </c>
      <c r="J357" s="34" t="s">
        <v>42</v>
      </c>
      <c r="K357" s="34" t="s">
        <v>48</v>
      </c>
      <c r="L357" s="34" t="s">
        <v>47</v>
      </c>
      <c r="M357">
        <v>-0.26145810207606246</v>
      </c>
    </row>
    <row r="358" spans="1:13" x14ac:dyDescent="0.3">
      <c r="A358" s="34" t="s">
        <v>662</v>
      </c>
      <c r="B358">
        <v>-1</v>
      </c>
      <c r="C358">
        <v>2050</v>
      </c>
      <c r="D358" s="34" t="s">
        <v>255</v>
      </c>
      <c r="E358" s="34" t="s">
        <v>396</v>
      </c>
      <c r="F358" s="34" t="s">
        <v>278</v>
      </c>
      <c r="G358" s="34" t="s">
        <v>279</v>
      </c>
      <c r="H358" s="34" t="s">
        <v>237</v>
      </c>
      <c r="I358" s="34" t="s">
        <v>19</v>
      </c>
      <c r="J358" s="34" t="s">
        <v>27</v>
      </c>
      <c r="K358" s="34" t="s">
        <v>46</v>
      </c>
      <c r="L358" s="34" t="s">
        <v>47</v>
      </c>
      <c r="M358">
        <v>0.34850000000000003</v>
      </c>
    </row>
    <row r="359" spans="1:13" x14ac:dyDescent="0.3">
      <c r="A359" s="34" t="s">
        <v>662</v>
      </c>
      <c r="B359">
        <v>-1</v>
      </c>
      <c r="C359">
        <v>2050</v>
      </c>
      <c r="D359" s="34" t="s">
        <v>255</v>
      </c>
      <c r="E359" s="34" t="s">
        <v>396</v>
      </c>
      <c r="F359" s="34" t="s">
        <v>278</v>
      </c>
      <c r="G359" s="34" t="s">
        <v>279</v>
      </c>
      <c r="H359" s="34" t="s">
        <v>237</v>
      </c>
      <c r="I359" s="34" t="s">
        <v>19</v>
      </c>
      <c r="J359" s="34" t="s">
        <v>27</v>
      </c>
      <c r="K359" s="34" t="s">
        <v>48</v>
      </c>
      <c r="L359" s="34" t="s">
        <v>47</v>
      </c>
      <c r="M359">
        <v>-0.34850000000000003</v>
      </c>
    </row>
    <row r="360" spans="1:13" x14ac:dyDescent="0.3">
      <c r="A360" s="34" t="s">
        <v>662</v>
      </c>
      <c r="B360">
        <v>-1</v>
      </c>
      <c r="C360">
        <v>2050</v>
      </c>
      <c r="D360" s="34" t="s">
        <v>255</v>
      </c>
      <c r="E360" s="34" t="s">
        <v>396</v>
      </c>
      <c r="F360" s="34" t="s">
        <v>278</v>
      </c>
      <c r="G360" s="34" t="s">
        <v>280</v>
      </c>
      <c r="H360" s="34" t="s">
        <v>40</v>
      </c>
      <c r="I360" s="34" t="s">
        <v>19</v>
      </c>
      <c r="J360" s="34" t="s">
        <v>27</v>
      </c>
      <c r="K360" s="34" t="s">
        <v>46</v>
      </c>
      <c r="L360" s="34" t="s">
        <v>47</v>
      </c>
      <c r="M360">
        <v>0.82300000000000006</v>
      </c>
    </row>
    <row r="361" spans="1:13" x14ac:dyDescent="0.3">
      <c r="A361" s="34" t="s">
        <v>662</v>
      </c>
      <c r="B361">
        <v>-1</v>
      </c>
      <c r="C361">
        <v>2050</v>
      </c>
      <c r="D361" s="34" t="s">
        <v>255</v>
      </c>
      <c r="E361" s="34" t="s">
        <v>396</v>
      </c>
      <c r="F361" s="34" t="s">
        <v>278</v>
      </c>
      <c r="G361" s="34" t="s">
        <v>280</v>
      </c>
      <c r="H361" s="34" t="s">
        <v>40</v>
      </c>
      <c r="I361" s="34" t="s">
        <v>19</v>
      </c>
      <c r="J361" s="34" t="s">
        <v>27</v>
      </c>
      <c r="K361" s="34" t="s">
        <v>48</v>
      </c>
      <c r="L361" s="34" t="s">
        <v>47</v>
      </c>
      <c r="M361">
        <v>-0.82300000000000006</v>
      </c>
    </row>
    <row r="362" spans="1:13" x14ac:dyDescent="0.3">
      <c r="A362" s="34" t="s">
        <v>662</v>
      </c>
      <c r="B362">
        <v>-1</v>
      </c>
      <c r="C362">
        <v>2050</v>
      </c>
      <c r="D362" s="34" t="s">
        <v>255</v>
      </c>
      <c r="E362" s="34" t="s">
        <v>396</v>
      </c>
      <c r="F362" s="34" t="s">
        <v>278</v>
      </c>
      <c r="G362" s="34" t="s">
        <v>281</v>
      </c>
      <c r="H362" s="34" t="s">
        <v>40</v>
      </c>
      <c r="I362" s="34" t="s">
        <v>19</v>
      </c>
      <c r="J362" s="34" t="s">
        <v>27</v>
      </c>
      <c r="K362" s="34" t="s">
        <v>46</v>
      </c>
      <c r="L362" s="34" t="s">
        <v>47</v>
      </c>
      <c r="M362">
        <v>1.8546</v>
      </c>
    </row>
    <row r="363" spans="1:13" x14ac:dyDescent="0.3">
      <c r="A363" s="34" t="s">
        <v>662</v>
      </c>
      <c r="B363">
        <v>-1</v>
      </c>
      <c r="C363">
        <v>2050</v>
      </c>
      <c r="D363" s="34" t="s">
        <v>255</v>
      </c>
      <c r="E363" s="34" t="s">
        <v>396</v>
      </c>
      <c r="F363" s="34" t="s">
        <v>278</v>
      </c>
      <c r="G363" s="34" t="s">
        <v>281</v>
      </c>
      <c r="H363" s="34" t="s">
        <v>40</v>
      </c>
      <c r="I363" s="34" t="s">
        <v>19</v>
      </c>
      <c r="J363" s="34" t="s">
        <v>27</v>
      </c>
      <c r="K363" s="34" t="s">
        <v>48</v>
      </c>
      <c r="L363" s="34" t="s">
        <v>47</v>
      </c>
      <c r="M363">
        <v>-1.8546</v>
      </c>
    </row>
    <row r="364" spans="1:13" x14ac:dyDescent="0.3">
      <c r="A364" s="34" t="s">
        <v>662</v>
      </c>
      <c r="B364">
        <v>-1</v>
      </c>
      <c r="C364">
        <v>2050</v>
      </c>
      <c r="D364" s="34" t="s">
        <v>255</v>
      </c>
      <c r="E364" s="34" t="s">
        <v>396</v>
      </c>
      <c r="F364" s="34" t="s">
        <v>278</v>
      </c>
      <c r="G364" s="34" t="s">
        <v>226</v>
      </c>
      <c r="H364" s="34" t="s">
        <v>209</v>
      </c>
      <c r="I364" s="34" t="s">
        <v>19</v>
      </c>
      <c r="J364" s="34" t="s">
        <v>27</v>
      </c>
      <c r="K364" s="34" t="s">
        <v>46</v>
      </c>
      <c r="L364" s="34" t="s">
        <v>47</v>
      </c>
      <c r="M364">
        <v>2.5206500000000003</v>
      </c>
    </row>
    <row r="365" spans="1:13" x14ac:dyDescent="0.3">
      <c r="A365" s="34" t="s">
        <v>662</v>
      </c>
      <c r="B365">
        <v>-1</v>
      </c>
      <c r="C365">
        <v>2050</v>
      </c>
      <c r="D365" s="34" t="s">
        <v>255</v>
      </c>
      <c r="E365" s="34" t="s">
        <v>396</v>
      </c>
      <c r="F365" s="34" t="s">
        <v>278</v>
      </c>
      <c r="G365" s="34" t="s">
        <v>226</v>
      </c>
      <c r="H365" s="34" t="s">
        <v>209</v>
      </c>
      <c r="I365" s="34" t="s">
        <v>19</v>
      </c>
      <c r="J365" s="34" t="s">
        <v>27</v>
      </c>
      <c r="K365" s="34" t="s">
        <v>48</v>
      </c>
      <c r="L365" s="34" t="s">
        <v>47</v>
      </c>
      <c r="M365">
        <v>-2.5206500000000003</v>
      </c>
    </row>
    <row r="366" spans="1:13" x14ac:dyDescent="0.3">
      <c r="A366" s="34" t="s">
        <v>662</v>
      </c>
      <c r="B366">
        <v>-1</v>
      </c>
      <c r="C366">
        <v>2050</v>
      </c>
      <c r="D366" s="34" t="s">
        <v>255</v>
      </c>
      <c r="E366" s="34" t="s">
        <v>396</v>
      </c>
      <c r="F366" s="34" t="s">
        <v>278</v>
      </c>
      <c r="G366" s="34" t="s">
        <v>44</v>
      </c>
      <c r="H366" s="34" t="s">
        <v>45</v>
      </c>
      <c r="I366" s="34" t="s">
        <v>19</v>
      </c>
      <c r="J366" s="34" t="s">
        <v>27</v>
      </c>
      <c r="K366" s="34" t="s">
        <v>46</v>
      </c>
      <c r="L366" s="34" t="s">
        <v>47</v>
      </c>
      <c r="M366">
        <v>3.9259999999999996E-2</v>
      </c>
    </row>
    <row r="367" spans="1:13" x14ac:dyDescent="0.3">
      <c r="A367" s="34" t="s">
        <v>662</v>
      </c>
      <c r="B367">
        <v>-1</v>
      </c>
      <c r="C367">
        <v>2050</v>
      </c>
      <c r="D367" s="34" t="s">
        <v>255</v>
      </c>
      <c r="E367" s="34" t="s">
        <v>396</v>
      </c>
      <c r="F367" s="34" t="s">
        <v>278</v>
      </c>
      <c r="G367" s="34" t="s">
        <v>44</v>
      </c>
      <c r="H367" s="34" t="s">
        <v>45</v>
      </c>
      <c r="I367" s="34" t="s">
        <v>19</v>
      </c>
      <c r="J367" s="34" t="s">
        <v>27</v>
      </c>
      <c r="K367" s="34" t="s">
        <v>48</v>
      </c>
      <c r="L367" s="34" t="s">
        <v>47</v>
      </c>
      <c r="M367">
        <v>-3.9259999999999996E-2</v>
      </c>
    </row>
    <row r="368" spans="1:13" x14ac:dyDescent="0.3">
      <c r="A368" s="34" t="s">
        <v>662</v>
      </c>
      <c r="B368">
        <v>-1</v>
      </c>
      <c r="C368">
        <v>2050</v>
      </c>
      <c r="D368" s="34" t="s">
        <v>255</v>
      </c>
      <c r="E368" s="34" t="s">
        <v>396</v>
      </c>
      <c r="F368" s="34" t="s">
        <v>278</v>
      </c>
      <c r="G368" s="34" t="s">
        <v>282</v>
      </c>
      <c r="H368" s="34" t="s">
        <v>237</v>
      </c>
      <c r="I368" s="34" t="s">
        <v>19</v>
      </c>
      <c r="J368" s="34" t="s">
        <v>27</v>
      </c>
      <c r="K368" s="34" t="s">
        <v>46</v>
      </c>
      <c r="L368" s="34" t="s">
        <v>47</v>
      </c>
      <c r="M368">
        <v>0.42210000000000003</v>
      </c>
    </row>
    <row r="369" spans="1:13" x14ac:dyDescent="0.3">
      <c r="A369" s="34" t="s">
        <v>662</v>
      </c>
      <c r="B369">
        <v>-1</v>
      </c>
      <c r="C369">
        <v>2050</v>
      </c>
      <c r="D369" s="34" t="s">
        <v>255</v>
      </c>
      <c r="E369" s="34" t="s">
        <v>396</v>
      </c>
      <c r="F369" s="34" t="s">
        <v>278</v>
      </c>
      <c r="G369" s="34" t="s">
        <v>282</v>
      </c>
      <c r="H369" s="34" t="s">
        <v>237</v>
      </c>
      <c r="I369" s="34" t="s">
        <v>19</v>
      </c>
      <c r="J369" s="34" t="s">
        <v>27</v>
      </c>
      <c r="K369" s="34" t="s">
        <v>48</v>
      </c>
      <c r="L369" s="34" t="s">
        <v>47</v>
      </c>
      <c r="M369">
        <v>-0.42210000000000003</v>
      </c>
    </row>
    <row r="370" spans="1:13" x14ac:dyDescent="0.3">
      <c r="A370" s="34" t="s">
        <v>662</v>
      </c>
      <c r="B370">
        <v>-1</v>
      </c>
      <c r="C370">
        <v>2050</v>
      </c>
      <c r="D370" s="34" t="s">
        <v>255</v>
      </c>
      <c r="E370" s="34" t="s">
        <v>396</v>
      </c>
      <c r="F370" s="34" t="s">
        <v>278</v>
      </c>
      <c r="G370" s="34" t="s">
        <v>283</v>
      </c>
      <c r="H370" s="34" t="s">
        <v>237</v>
      </c>
      <c r="I370" s="34" t="s">
        <v>19</v>
      </c>
      <c r="J370" s="34" t="s">
        <v>27</v>
      </c>
      <c r="K370" s="34" t="s">
        <v>46</v>
      </c>
      <c r="L370" s="34" t="s">
        <v>47</v>
      </c>
      <c r="M370">
        <v>2.4E-2</v>
      </c>
    </row>
    <row r="371" spans="1:13" x14ac:dyDescent="0.3">
      <c r="A371" s="34" t="s">
        <v>662</v>
      </c>
      <c r="B371">
        <v>-1</v>
      </c>
      <c r="C371">
        <v>2050</v>
      </c>
      <c r="D371" s="34" t="s">
        <v>255</v>
      </c>
      <c r="E371" s="34" t="s">
        <v>396</v>
      </c>
      <c r="F371" s="34" t="s">
        <v>278</v>
      </c>
      <c r="G371" s="34" t="s">
        <v>283</v>
      </c>
      <c r="H371" s="34" t="s">
        <v>237</v>
      </c>
      <c r="I371" s="34" t="s">
        <v>19</v>
      </c>
      <c r="J371" s="34" t="s">
        <v>27</v>
      </c>
      <c r="K371" s="34" t="s">
        <v>48</v>
      </c>
      <c r="L371" s="34" t="s">
        <v>47</v>
      </c>
      <c r="M371">
        <v>-2.4E-2</v>
      </c>
    </row>
    <row r="372" spans="1:13" x14ac:dyDescent="0.3">
      <c r="A372" s="34" t="s">
        <v>662</v>
      </c>
      <c r="B372">
        <v>-1</v>
      </c>
      <c r="C372">
        <v>2050</v>
      </c>
      <c r="D372" s="34" t="s">
        <v>255</v>
      </c>
      <c r="E372" s="34" t="s">
        <v>396</v>
      </c>
      <c r="F372" s="34" t="s">
        <v>278</v>
      </c>
      <c r="G372" s="34" t="s">
        <v>284</v>
      </c>
      <c r="H372" s="34" t="s">
        <v>40</v>
      </c>
      <c r="I372" s="34" t="s">
        <v>19</v>
      </c>
      <c r="J372" s="34" t="s">
        <v>27</v>
      </c>
      <c r="K372" s="34" t="s">
        <v>46</v>
      </c>
      <c r="L372" s="34" t="s">
        <v>47</v>
      </c>
      <c r="M372">
        <v>0.32300000000000001</v>
      </c>
    </row>
    <row r="373" spans="1:13" x14ac:dyDescent="0.3">
      <c r="A373" s="34" t="s">
        <v>662</v>
      </c>
      <c r="B373">
        <v>-1</v>
      </c>
      <c r="C373">
        <v>2050</v>
      </c>
      <c r="D373" s="34" t="s">
        <v>255</v>
      </c>
      <c r="E373" s="34" t="s">
        <v>396</v>
      </c>
      <c r="F373" s="34" t="s">
        <v>278</v>
      </c>
      <c r="G373" s="34" t="s">
        <v>284</v>
      </c>
      <c r="H373" s="34" t="s">
        <v>40</v>
      </c>
      <c r="I373" s="34" t="s">
        <v>19</v>
      </c>
      <c r="J373" s="34" t="s">
        <v>27</v>
      </c>
      <c r="K373" s="34" t="s">
        <v>48</v>
      </c>
      <c r="L373" s="34" t="s">
        <v>47</v>
      </c>
      <c r="M373">
        <v>-0.32300000000000001</v>
      </c>
    </row>
    <row r="374" spans="1:13" x14ac:dyDescent="0.3">
      <c r="A374" s="34" t="s">
        <v>662</v>
      </c>
      <c r="B374">
        <v>-1</v>
      </c>
      <c r="C374">
        <v>2050</v>
      </c>
      <c r="D374" s="34" t="s">
        <v>255</v>
      </c>
      <c r="E374" s="34" t="s">
        <v>396</v>
      </c>
      <c r="F374" s="34" t="s">
        <v>278</v>
      </c>
      <c r="G374" s="34" t="s">
        <v>31</v>
      </c>
      <c r="H374" s="34" t="s">
        <v>18</v>
      </c>
      <c r="I374" s="34" t="s">
        <v>19</v>
      </c>
      <c r="J374" s="34" t="s">
        <v>32</v>
      </c>
      <c r="K374" s="34" t="s">
        <v>46</v>
      </c>
      <c r="L374" s="34" t="s">
        <v>47</v>
      </c>
      <c r="M374">
        <v>0.124</v>
      </c>
    </row>
    <row r="375" spans="1:13" x14ac:dyDescent="0.3">
      <c r="A375" s="34" t="s">
        <v>662</v>
      </c>
      <c r="B375">
        <v>-1</v>
      </c>
      <c r="C375">
        <v>2050</v>
      </c>
      <c r="D375" s="34" t="s">
        <v>255</v>
      </c>
      <c r="E375" s="34" t="s">
        <v>396</v>
      </c>
      <c r="F375" s="34" t="s">
        <v>278</v>
      </c>
      <c r="G375" s="34" t="s">
        <v>180</v>
      </c>
      <c r="H375" s="34" t="s">
        <v>18</v>
      </c>
      <c r="I375" s="34" t="s">
        <v>19</v>
      </c>
      <c r="J375" s="34" t="s">
        <v>181</v>
      </c>
      <c r="K375" s="34" t="s">
        <v>46</v>
      </c>
      <c r="L375" s="34" t="s">
        <v>47</v>
      </c>
      <c r="M375">
        <v>7.92713</v>
      </c>
    </row>
    <row r="376" spans="1:13" x14ac:dyDescent="0.3">
      <c r="A376" s="34" t="s">
        <v>662</v>
      </c>
      <c r="B376">
        <v>-1</v>
      </c>
      <c r="C376">
        <v>2050</v>
      </c>
      <c r="D376" s="34" t="s">
        <v>255</v>
      </c>
      <c r="E376" s="34" t="s">
        <v>396</v>
      </c>
      <c r="F376" s="34" t="s">
        <v>278</v>
      </c>
      <c r="G376" s="34" t="s">
        <v>262</v>
      </c>
      <c r="H376" s="34" t="s">
        <v>209</v>
      </c>
      <c r="I376" s="34" t="s">
        <v>19</v>
      </c>
      <c r="J376" s="34" t="s">
        <v>27</v>
      </c>
      <c r="K376" s="34" t="s">
        <v>46</v>
      </c>
      <c r="L376" s="34" t="s">
        <v>47</v>
      </c>
      <c r="M376">
        <v>4.0299999999999996E-2</v>
      </c>
    </row>
    <row r="377" spans="1:13" x14ac:dyDescent="0.3">
      <c r="A377" s="34" t="s">
        <v>662</v>
      </c>
      <c r="B377">
        <v>-1</v>
      </c>
      <c r="C377">
        <v>2050</v>
      </c>
      <c r="D377" s="34" t="s">
        <v>255</v>
      </c>
      <c r="E377" s="34" t="s">
        <v>396</v>
      </c>
      <c r="F377" s="34" t="s">
        <v>278</v>
      </c>
      <c r="G377" s="34" t="s">
        <v>262</v>
      </c>
      <c r="H377" s="34" t="s">
        <v>209</v>
      </c>
      <c r="I377" s="34" t="s">
        <v>19</v>
      </c>
      <c r="J377" s="34" t="s">
        <v>27</v>
      </c>
      <c r="K377" s="34" t="s">
        <v>48</v>
      </c>
      <c r="L377" s="34" t="s">
        <v>47</v>
      </c>
      <c r="M377">
        <v>-4.0299999999999996E-2</v>
      </c>
    </row>
    <row r="378" spans="1:13" x14ac:dyDescent="0.3">
      <c r="A378" s="34" t="s">
        <v>662</v>
      </c>
      <c r="B378">
        <v>-1</v>
      </c>
      <c r="C378">
        <v>2050</v>
      </c>
      <c r="D378" s="34" t="s">
        <v>255</v>
      </c>
      <c r="E378" s="34" t="s">
        <v>396</v>
      </c>
      <c r="F378" s="34" t="s">
        <v>278</v>
      </c>
      <c r="G378" s="34" t="s">
        <v>285</v>
      </c>
      <c r="H378" s="34" t="s">
        <v>39</v>
      </c>
      <c r="I378" s="34" t="s">
        <v>19</v>
      </c>
      <c r="J378" s="34" t="s">
        <v>27</v>
      </c>
      <c r="K378" s="34" t="s">
        <v>46</v>
      </c>
      <c r="L378" s="34" t="s">
        <v>47</v>
      </c>
      <c r="M378">
        <v>0.72599999999999998</v>
      </c>
    </row>
    <row r="379" spans="1:13" x14ac:dyDescent="0.3">
      <c r="A379" s="34" t="s">
        <v>662</v>
      </c>
      <c r="B379">
        <v>-1</v>
      </c>
      <c r="C379">
        <v>2050</v>
      </c>
      <c r="D379" s="34" t="s">
        <v>255</v>
      </c>
      <c r="E379" s="34" t="s">
        <v>396</v>
      </c>
      <c r="F379" s="34" t="s">
        <v>278</v>
      </c>
      <c r="G379" s="34" t="s">
        <v>285</v>
      </c>
      <c r="H379" s="34" t="s">
        <v>39</v>
      </c>
      <c r="I379" s="34" t="s">
        <v>19</v>
      </c>
      <c r="J379" s="34" t="s">
        <v>27</v>
      </c>
      <c r="K379" s="34" t="s">
        <v>48</v>
      </c>
      <c r="L379" s="34" t="s">
        <v>47</v>
      </c>
      <c r="M379">
        <v>-0.72599999999999998</v>
      </c>
    </row>
    <row r="380" spans="1:13" x14ac:dyDescent="0.3">
      <c r="A380" s="34" t="s">
        <v>662</v>
      </c>
      <c r="B380">
        <v>-1</v>
      </c>
      <c r="C380">
        <v>2050</v>
      </c>
      <c r="D380" s="34" t="s">
        <v>255</v>
      </c>
      <c r="E380" s="34" t="s">
        <v>396</v>
      </c>
      <c r="F380" s="34" t="s">
        <v>278</v>
      </c>
      <c r="G380" s="34" t="s">
        <v>286</v>
      </c>
      <c r="H380" s="34" t="s">
        <v>39</v>
      </c>
      <c r="I380" s="34" t="s">
        <v>19</v>
      </c>
      <c r="J380" s="34" t="s">
        <v>27</v>
      </c>
      <c r="K380" s="34" t="s">
        <v>46</v>
      </c>
      <c r="L380" s="34" t="s">
        <v>47</v>
      </c>
      <c r="M380">
        <v>0.77700000000000002</v>
      </c>
    </row>
    <row r="381" spans="1:13" x14ac:dyDescent="0.3">
      <c r="A381" s="34" t="s">
        <v>662</v>
      </c>
      <c r="B381">
        <v>-1</v>
      </c>
      <c r="C381">
        <v>2050</v>
      </c>
      <c r="D381" s="34" t="s">
        <v>255</v>
      </c>
      <c r="E381" s="34" t="s">
        <v>396</v>
      </c>
      <c r="F381" s="34" t="s">
        <v>278</v>
      </c>
      <c r="G381" s="34" t="s">
        <v>286</v>
      </c>
      <c r="H381" s="34" t="s">
        <v>39</v>
      </c>
      <c r="I381" s="34" t="s">
        <v>19</v>
      </c>
      <c r="J381" s="34" t="s">
        <v>27</v>
      </c>
      <c r="K381" s="34" t="s">
        <v>48</v>
      </c>
      <c r="L381" s="34" t="s">
        <v>47</v>
      </c>
      <c r="M381">
        <v>-0.77700000000000002</v>
      </c>
    </row>
    <row r="382" spans="1:13" x14ac:dyDescent="0.3">
      <c r="A382" s="34" t="s">
        <v>662</v>
      </c>
      <c r="B382">
        <v>-1</v>
      </c>
      <c r="C382">
        <v>2050</v>
      </c>
      <c r="D382" s="34" t="s">
        <v>255</v>
      </c>
      <c r="E382" s="34" t="s">
        <v>396</v>
      </c>
      <c r="F382" s="34" t="s">
        <v>278</v>
      </c>
      <c r="G382" s="34" t="s">
        <v>287</v>
      </c>
      <c r="H382" s="34" t="s">
        <v>39</v>
      </c>
      <c r="I382" s="34" t="s">
        <v>203</v>
      </c>
      <c r="J382" s="34" t="s">
        <v>204</v>
      </c>
      <c r="K382" s="34" t="s">
        <v>46</v>
      </c>
      <c r="L382" s="34" t="s">
        <v>47</v>
      </c>
      <c r="M382">
        <v>1.8495555555555554</v>
      </c>
    </row>
    <row r="383" spans="1:13" x14ac:dyDescent="0.3">
      <c r="A383" s="34" t="s">
        <v>662</v>
      </c>
      <c r="B383">
        <v>-1</v>
      </c>
      <c r="C383">
        <v>2050</v>
      </c>
      <c r="D383" s="34" t="s">
        <v>255</v>
      </c>
      <c r="E383" s="34" t="s">
        <v>396</v>
      </c>
      <c r="F383" s="34" t="s">
        <v>278</v>
      </c>
      <c r="G383" s="34" t="s">
        <v>287</v>
      </c>
      <c r="H383" s="34" t="s">
        <v>39</v>
      </c>
      <c r="I383" s="34" t="s">
        <v>203</v>
      </c>
      <c r="J383" s="34" t="s">
        <v>204</v>
      </c>
      <c r="K383" s="34" t="s">
        <v>48</v>
      </c>
      <c r="L383" s="34" t="s">
        <v>47</v>
      </c>
      <c r="M383">
        <v>-1.8495555555555554</v>
      </c>
    </row>
    <row r="384" spans="1:13" x14ac:dyDescent="0.3">
      <c r="A384" s="34" t="s">
        <v>662</v>
      </c>
      <c r="B384">
        <v>-1</v>
      </c>
      <c r="C384">
        <v>2050</v>
      </c>
      <c r="D384" s="34" t="s">
        <v>255</v>
      </c>
      <c r="E384" s="34" t="s">
        <v>396</v>
      </c>
      <c r="F384" s="34" t="s">
        <v>278</v>
      </c>
      <c r="G384" s="34" t="s">
        <v>287</v>
      </c>
      <c r="H384" s="34" t="s">
        <v>39</v>
      </c>
      <c r="I384" s="34" t="s">
        <v>19</v>
      </c>
      <c r="J384" s="34" t="s">
        <v>204</v>
      </c>
      <c r="K384" s="34" t="s">
        <v>46</v>
      </c>
      <c r="L384" s="34" t="s">
        <v>47</v>
      </c>
      <c r="M384">
        <v>1.6645999999999999</v>
      </c>
    </row>
    <row r="385" spans="1:13" x14ac:dyDescent="0.3">
      <c r="A385" s="34" t="s">
        <v>662</v>
      </c>
      <c r="B385">
        <v>-1</v>
      </c>
      <c r="C385">
        <v>2050</v>
      </c>
      <c r="D385" s="34" t="s">
        <v>255</v>
      </c>
      <c r="E385" s="34" t="s">
        <v>396</v>
      </c>
      <c r="F385" s="34" t="s">
        <v>278</v>
      </c>
      <c r="G385" s="34" t="s">
        <v>287</v>
      </c>
      <c r="H385" s="34" t="s">
        <v>39</v>
      </c>
      <c r="I385" s="34" t="s">
        <v>19</v>
      </c>
      <c r="J385" s="34" t="s">
        <v>204</v>
      </c>
      <c r="K385" s="34" t="s">
        <v>48</v>
      </c>
      <c r="L385" s="34" t="s">
        <v>47</v>
      </c>
      <c r="M385">
        <v>-1.6645999999999999</v>
      </c>
    </row>
    <row r="386" spans="1:13" x14ac:dyDescent="0.3">
      <c r="A386" s="34" t="s">
        <v>662</v>
      </c>
      <c r="B386">
        <v>-1</v>
      </c>
      <c r="C386">
        <v>2050</v>
      </c>
      <c r="D386" s="34" t="s">
        <v>255</v>
      </c>
      <c r="E386" s="34" t="s">
        <v>396</v>
      </c>
      <c r="F386" s="34" t="s">
        <v>278</v>
      </c>
      <c r="G386" s="34" t="s">
        <v>275</v>
      </c>
      <c r="H386" s="34" t="s">
        <v>39</v>
      </c>
      <c r="I386" s="34" t="s">
        <v>203</v>
      </c>
      <c r="J386" s="34" t="s">
        <v>204</v>
      </c>
      <c r="K386" s="34" t="s">
        <v>46</v>
      </c>
      <c r="L386" s="34" t="s">
        <v>47</v>
      </c>
      <c r="M386">
        <v>6.1696666666666662</v>
      </c>
    </row>
    <row r="387" spans="1:13" x14ac:dyDescent="0.3">
      <c r="A387" s="34" t="s">
        <v>662</v>
      </c>
      <c r="B387">
        <v>-1</v>
      </c>
      <c r="C387">
        <v>2050</v>
      </c>
      <c r="D387" s="34" t="s">
        <v>255</v>
      </c>
      <c r="E387" s="34" t="s">
        <v>396</v>
      </c>
      <c r="F387" s="34" t="s">
        <v>278</v>
      </c>
      <c r="G387" s="34" t="s">
        <v>275</v>
      </c>
      <c r="H387" s="34" t="s">
        <v>39</v>
      </c>
      <c r="I387" s="34" t="s">
        <v>203</v>
      </c>
      <c r="J387" s="34" t="s">
        <v>204</v>
      </c>
      <c r="K387" s="34" t="s">
        <v>48</v>
      </c>
      <c r="L387" s="34" t="s">
        <v>47</v>
      </c>
      <c r="M387">
        <v>-6.1696666666666662</v>
      </c>
    </row>
    <row r="388" spans="1:13" x14ac:dyDescent="0.3">
      <c r="A388" s="34" t="s">
        <v>662</v>
      </c>
      <c r="B388">
        <v>-1</v>
      </c>
      <c r="C388">
        <v>2050</v>
      </c>
      <c r="D388" s="34" t="s">
        <v>255</v>
      </c>
      <c r="E388" s="34" t="s">
        <v>396</v>
      </c>
      <c r="F388" s="34" t="s">
        <v>278</v>
      </c>
      <c r="G388" s="34" t="s">
        <v>275</v>
      </c>
      <c r="H388" s="34" t="s">
        <v>39</v>
      </c>
      <c r="I388" s="34" t="s">
        <v>19</v>
      </c>
      <c r="J388" s="34" t="s">
        <v>204</v>
      </c>
      <c r="K388" s="34" t="s">
        <v>46</v>
      </c>
      <c r="L388" s="34" t="s">
        <v>47</v>
      </c>
      <c r="M388">
        <v>5.5526999999999997</v>
      </c>
    </row>
    <row r="389" spans="1:13" x14ac:dyDescent="0.3">
      <c r="A389" s="34" t="s">
        <v>662</v>
      </c>
      <c r="B389">
        <v>-1</v>
      </c>
      <c r="C389">
        <v>2050</v>
      </c>
      <c r="D389" s="34" t="s">
        <v>255</v>
      </c>
      <c r="E389" s="34" t="s">
        <v>396</v>
      </c>
      <c r="F389" s="34" t="s">
        <v>278</v>
      </c>
      <c r="G389" s="34" t="s">
        <v>275</v>
      </c>
      <c r="H389" s="34" t="s">
        <v>39</v>
      </c>
      <c r="I389" s="34" t="s">
        <v>19</v>
      </c>
      <c r="J389" s="34" t="s">
        <v>204</v>
      </c>
      <c r="K389" s="34" t="s">
        <v>48</v>
      </c>
      <c r="L389" s="34" t="s">
        <v>47</v>
      </c>
      <c r="M389">
        <v>-5.5526999999999997</v>
      </c>
    </row>
    <row r="390" spans="1:13" x14ac:dyDescent="0.3">
      <c r="A390" s="34" t="s">
        <v>662</v>
      </c>
      <c r="B390">
        <v>-1</v>
      </c>
      <c r="C390">
        <v>2050</v>
      </c>
      <c r="D390" s="34" t="s">
        <v>255</v>
      </c>
      <c r="E390" s="34" t="s">
        <v>396</v>
      </c>
      <c r="F390" s="34" t="s">
        <v>278</v>
      </c>
      <c r="G390" s="34" t="s">
        <v>288</v>
      </c>
      <c r="H390" s="34" t="s">
        <v>237</v>
      </c>
      <c r="I390" s="34" t="s">
        <v>19</v>
      </c>
      <c r="J390" s="34" t="s">
        <v>27</v>
      </c>
      <c r="K390" s="34" t="s">
        <v>46</v>
      </c>
      <c r="L390" s="34" t="s">
        <v>47</v>
      </c>
      <c r="M390">
        <v>0.83479999999999999</v>
      </c>
    </row>
    <row r="391" spans="1:13" x14ac:dyDescent="0.3">
      <c r="A391" s="34" t="s">
        <v>662</v>
      </c>
      <c r="B391">
        <v>-1</v>
      </c>
      <c r="C391">
        <v>2050</v>
      </c>
      <c r="D391" s="34" t="s">
        <v>255</v>
      </c>
      <c r="E391" s="34" t="s">
        <v>396</v>
      </c>
      <c r="F391" s="34" t="s">
        <v>278</v>
      </c>
      <c r="G391" s="34" t="s">
        <v>288</v>
      </c>
      <c r="H391" s="34" t="s">
        <v>237</v>
      </c>
      <c r="I391" s="34" t="s">
        <v>19</v>
      </c>
      <c r="J391" s="34" t="s">
        <v>27</v>
      </c>
      <c r="K391" s="34" t="s">
        <v>48</v>
      </c>
      <c r="L391" s="34" t="s">
        <v>47</v>
      </c>
      <c r="M391">
        <v>-0.83479999999999999</v>
      </c>
    </row>
    <row r="392" spans="1:13" x14ac:dyDescent="0.3">
      <c r="A392" s="34" t="s">
        <v>662</v>
      </c>
      <c r="B392">
        <v>-1</v>
      </c>
      <c r="C392">
        <v>2050</v>
      </c>
      <c r="D392" s="34" t="s">
        <v>255</v>
      </c>
      <c r="E392" s="34" t="s">
        <v>396</v>
      </c>
      <c r="F392" s="34" t="s">
        <v>278</v>
      </c>
      <c r="G392" s="34" t="s">
        <v>270</v>
      </c>
      <c r="H392" s="34" t="s">
        <v>26</v>
      </c>
      <c r="I392" s="34" t="s">
        <v>19</v>
      </c>
      <c r="J392" s="34" t="s">
        <v>27</v>
      </c>
      <c r="K392" s="34" t="s">
        <v>46</v>
      </c>
      <c r="L392" s="34" t="s">
        <v>47</v>
      </c>
      <c r="M392">
        <v>6.4500000000000002E-2</v>
      </c>
    </row>
    <row r="393" spans="1:13" x14ac:dyDescent="0.3">
      <c r="A393" s="34" t="s">
        <v>662</v>
      </c>
      <c r="B393">
        <v>-1</v>
      </c>
      <c r="C393">
        <v>2050</v>
      </c>
      <c r="D393" s="34" t="s">
        <v>255</v>
      </c>
      <c r="E393" s="34" t="s">
        <v>396</v>
      </c>
      <c r="F393" s="34" t="s">
        <v>278</v>
      </c>
      <c r="G393" s="34" t="s">
        <v>270</v>
      </c>
      <c r="H393" s="34" t="s">
        <v>26</v>
      </c>
      <c r="I393" s="34" t="s">
        <v>19</v>
      </c>
      <c r="J393" s="34" t="s">
        <v>27</v>
      </c>
      <c r="K393" s="34" t="s">
        <v>48</v>
      </c>
      <c r="L393" s="34" t="s">
        <v>47</v>
      </c>
      <c r="M393">
        <v>-6.4500000000000002E-2</v>
      </c>
    </row>
    <row r="394" spans="1:13" x14ac:dyDescent="0.3">
      <c r="A394" s="34" t="s">
        <v>662</v>
      </c>
      <c r="B394">
        <v>-1</v>
      </c>
      <c r="C394">
        <v>2050</v>
      </c>
      <c r="D394" s="34" t="s">
        <v>255</v>
      </c>
      <c r="E394" s="34" t="s">
        <v>396</v>
      </c>
      <c r="F394" s="34" t="s">
        <v>278</v>
      </c>
      <c r="G394" s="34" t="s">
        <v>253</v>
      </c>
      <c r="H394" s="34" t="s">
        <v>254</v>
      </c>
      <c r="I394" s="34" t="s">
        <v>19</v>
      </c>
      <c r="J394" s="34" t="s">
        <v>27</v>
      </c>
      <c r="K394" s="34" t="s">
        <v>46</v>
      </c>
      <c r="L394" s="34" t="s">
        <v>47</v>
      </c>
      <c r="M394">
        <v>6.694</v>
      </c>
    </row>
    <row r="395" spans="1:13" x14ac:dyDescent="0.3">
      <c r="A395" s="34" t="s">
        <v>662</v>
      </c>
      <c r="B395">
        <v>-1</v>
      </c>
      <c r="C395">
        <v>2050</v>
      </c>
      <c r="D395" s="34" t="s">
        <v>255</v>
      </c>
      <c r="E395" s="34" t="s">
        <v>396</v>
      </c>
      <c r="F395" s="34" t="s">
        <v>278</v>
      </c>
      <c r="G395" s="34" t="s">
        <v>253</v>
      </c>
      <c r="H395" s="34" t="s">
        <v>254</v>
      </c>
      <c r="I395" s="34" t="s">
        <v>19</v>
      </c>
      <c r="J395" s="34" t="s">
        <v>27</v>
      </c>
      <c r="K395" s="34" t="s">
        <v>48</v>
      </c>
      <c r="L395" s="34" t="s">
        <v>47</v>
      </c>
      <c r="M395">
        <v>-6.694</v>
      </c>
    </row>
    <row r="396" spans="1:13" x14ac:dyDescent="0.3">
      <c r="A396" s="34" t="s">
        <v>662</v>
      </c>
      <c r="B396">
        <v>-1</v>
      </c>
      <c r="C396">
        <v>2050</v>
      </c>
      <c r="D396" s="34" t="s">
        <v>255</v>
      </c>
      <c r="E396" s="34" t="s">
        <v>396</v>
      </c>
      <c r="F396" s="34" t="s">
        <v>278</v>
      </c>
      <c r="G396" s="34" t="s">
        <v>11</v>
      </c>
      <c r="H396" s="34" t="s">
        <v>12</v>
      </c>
      <c r="I396" s="34" t="s">
        <v>13</v>
      </c>
      <c r="J396" s="34" t="s">
        <v>14</v>
      </c>
      <c r="K396" s="34" t="s">
        <v>46</v>
      </c>
      <c r="L396" s="34" t="s">
        <v>47</v>
      </c>
      <c r="M396">
        <v>1.6640000000000033</v>
      </c>
    </row>
    <row r="397" spans="1:13" x14ac:dyDescent="0.3">
      <c r="A397" s="34" t="s">
        <v>662</v>
      </c>
      <c r="B397">
        <v>-1</v>
      </c>
      <c r="C397">
        <v>2050</v>
      </c>
      <c r="D397" s="34" t="s">
        <v>255</v>
      </c>
      <c r="E397" s="34" t="s">
        <v>396</v>
      </c>
      <c r="F397" s="34" t="s">
        <v>278</v>
      </c>
      <c r="G397" s="34" t="s">
        <v>11</v>
      </c>
      <c r="H397" s="34" t="s">
        <v>12</v>
      </c>
      <c r="I397" s="34" t="s">
        <v>13</v>
      </c>
      <c r="J397" s="34" t="s">
        <v>14</v>
      </c>
      <c r="K397" s="34" t="s">
        <v>48</v>
      </c>
      <c r="L397" s="34" t="s">
        <v>47</v>
      </c>
      <c r="M397">
        <v>-0.41599999999999981</v>
      </c>
    </row>
    <row r="398" spans="1:13" x14ac:dyDescent="0.3">
      <c r="A398" s="34" t="s">
        <v>662</v>
      </c>
      <c r="B398">
        <v>-1</v>
      </c>
      <c r="C398">
        <v>2050</v>
      </c>
      <c r="D398" s="34" t="s">
        <v>255</v>
      </c>
      <c r="E398" s="34" t="s">
        <v>396</v>
      </c>
      <c r="F398" s="34" t="s">
        <v>278</v>
      </c>
      <c r="G398" s="34" t="s">
        <v>41</v>
      </c>
      <c r="H398" s="34" t="s">
        <v>40</v>
      </c>
      <c r="I398" s="34" t="s">
        <v>13</v>
      </c>
      <c r="J398" s="34" t="s">
        <v>42</v>
      </c>
      <c r="K398" s="34" t="s">
        <v>46</v>
      </c>
      <c r="L398" s="34" t="s">
        <v>47</v>
      </c>
      <c r="M398">
        <v>2.2996428523508232</v>
      </c>
    </row>
    <row r="399" spans="1:13" x14ac:dyDescent="0.3">
      <c r="A399" s="34" t="s">
        <v>662</v>
      </c>
      <c r="B399">
        <v>-1</v>
      </c>
      <c r="C399">
        <v>2050</v>
      </c>
      <c r="D399" s="34" t="s">
        <v>255</v>
      </c>
      <c r="E399" s="34" t="s">
        <v>396</v>
      </c>
      <c r="F399" s="34" t="s">
        <v>278</v>
      </c>
      <c r="G399" s="34" t="s">
        <v>41</v>
      </c>
      <c r="H399" s="34" t="s">
        <v>40</v>
      </c>
      <c r="I399" s="34" t="s">
        <v>13</v>
      </c>
      <c r="J399" s="34" t="s">
        <v>42</v>
      </c>
      <c r="K399" s="34" t="s">
        <v>48</v>
      </c>
      <c r="L399" s="34" t="s">
        <v>47</v>
      </c>
      <c r="M399">
        <v>-2.2996428523508232</v>
      </c>
    </row>
    <row r="400" spans="1:13" x14ac:dyDescent="0.3">
      <c r="A400" s="34" t="s">
        <v>662</v>
      </c>
      <c r="B400">
        <v>-1</v>
      </c>
      <c r="C400">
        <v>2050</v>
      </c>
      <c r="D400" s="34" t="s">
        <v>255</v>
      </c>
      <c r="E400" s="34" t="s">
        <v>396</v>
      </c>
      <c r="F400" s="34" t="s">
        <v>290</v>
      </c>
      <c r="G400" s="34" t="s">
        <v>279</v>
      </c>
      <c r="H400" s="34" t="s">
        <v>237</v>
      </c>
      <c r="I400" s="34" t="s">
        <v>19</v>
      </c>
      <c r="J400" s="34" t="s">
        <v>27</v>
      </c>
      <c r="K400" s="34" t="s">
        <v>46</v>
      </c>
      <c r="L400" s="34" t="s">
        <v>47</v>
      </c>
      <c r="M400">
        <v>0.26600000000000001</v>
      </c>
    </row>
    <row r="401" spans="1:13" x14ac:dyDescent="0.3">
      <c r="A401" s="34" t="s">
        <v>662</v>
      </c>
      <c r="B401">
        <v>-1</v>
      </c>
      <c r="C401">
        <v>2050</v>
      </c>
      <c r="D401" s="34" t="s">
        <v>255</v>
      </c>
      <c r="E401" s="34" t="s">
        <v>396</v>
      </c>
      <c r="F401" s="34" t="s">
        <v>290</v>
      </c>
      <c r="G401" s="34" t="s">
        <v>279</v>
      </c>
      <c r="H401" s="34" t="s">
        <v>237</v>
      </c>
      <c r="I401" s="34" t="s">
        <v>19</v>
      </c>
      <c r="J401" s="34" t="s">
        <v>27</v>
      </c>
      <c r="K401" s="34" t="s">
        <v>48</v>
      </c>
      <c r="L401" s="34" t="s">
        <v>47</v>
      </c>
      <c r="M401">
        <v>-0.26600000000000001</v>
      </c>
    </row>
    <row r="402" spans="1:13" x14ac:dyDescent="0.3">
      <c r="A402" s="34" t="s">
        <v>662</v>
      </c>
      <c r="B402">
        <v>-1</v>
      </c>
      <c r="C402">
        <v>2050</v>
      </c>
      <c r="D402" s="34" t="s">
        <v>255</v>
      </c>
      <c r="E402" s="34" t="s">
        <v>396</v>
      </c>
      <c r="F402" s="34" t="s">
        <v>290</v>
      </c>
      <c r="G402" s="34" t="s">
        <v>291</v>
      </c>
      <c r="H402" s="34" t="s">
        <v>40</v>
      </c>
      <c r="I402" s="34" t="s">
        <v>19</v>
      </c>
      <c r="J402" s="34" t="s">
        <v>27</v>
      </c>
      <c r="K402" s="34" t="s">
        <v>46</v>
      </c>
      <c r="L402" s="34" t="s">
        <v>47</v>
      </c>
      <c r="M402">
        <v>1.0215000000000001</v>
      </c>
    </row>
    <row r="403" spans="1:13" x14ac:dyDescent="0.3">
      <c r="A403" s="34" t="s">
        <v>662</v>
      </c>
      <c r="B403">
        <v>-1</v>
      </c>
      <c r="C403">
        <v>2050</v>
      </c>
      <c r="D403" s="34" t="s">
        <v>255</v>
      </c>
      <c r="E403" s="34" t="s">
        <v>396</v>
      </c>
      <c r="F403" s="34" t="s">
        <v>290</v>
      </c>
      <c r="G403" s="34" t="s">
        <v>291</v>
      </c>
      <c r="H403" s="34" t="s">
        <v>40</v>
      </c>
      <c r="I403" s="34" t="s">
        <v>19</v>
      </c>
      <c r="J403" s="34" t="s">
        <v>27</v>
      </c>
      <c r="K403" s="34" t="s">
        <v>48</v>
      </c>
      <c r="L403" s="34" t="s">
        <v>47</v>
      </c>
      <c r="M403">
        <v>-1.0215000000000001</v>
      </c>
    </row>
    <row r="404" spans="1:13" x14ac:dyDescent="0.3">
      <c r="A404" s="34" t="s">
        <v>662</v>
      </c>
      <c r="B404">
        <v>-1</v>
      </c>
      <c r="C404">
        <v>2050</v>
      </c>
      <c r="D404" s="34" t="s">
        <v>255</v>
      </c>
      <c r="E404" s="34" t="s">
        <v>396</v>
      </c>
      <c r="F404" s="34" t="s">
        <v>290</v>
      </c>
      <c r="G404" s="34" t="s">
        <v>281</v>
      </c>
      <c r="H404" s="34" t="s">
        <v>40</v>
      </c>
      <c r="I404" s="34" t="s">
        <v>19</v>
      </c>
      <c r="J404" s="34" t="s">
        <v>27</v>
      </c>
      <c r="K404" s="34" t="s">
        <v>46</v>
      </c>
      <c r="L404" s="34" t="s">
        <v>47</v>
      </c>
      <c r="M404">
        <v>3.1595</v>
      </c>
    </row>
    <row r="405" spans="1:13" x14ac:dyDescent="0.3">
      <c r="A405" s="34" t="s">
        <v>662</v>
      </c>
      <c r="B405">
        <v>-1</v>
      </c>
      <c r="C405">
        <v>2050</v>
      </c>
      <c r="D405" s="34" t="s">
        <v>255</v>
      </c>
      <c r="E405" s="34" t="s">
        <v>396</v>
      </c>
      <c r="F405" s="34" t="s">
        <v>290</v>
      </c>
      <c r="G405" s="34" t="s">
        <v>281</v>
      </c>
      <c r="H405" s="34" t="s">
        <v>40</v>
      </c>
      <c r="I405" s="34" t="s">
        <v>19</v>
      </c>
      <c r="J405" s="34" t="s">
        <v>27</v>
      </c>
      <c r="K405" s="34" t="s">
        <v>48</v>
      </c>
      <c r="L405" s="34" t="s">
        <v>47</v>
      </c>
      <c r="M405">
        <v>-3.1595</v>
      </c>
    </row>
    <row r="406" spans="1:13" x14ac:dyDescent="0.3">
      <c r="A406" s="34" t="s">
        <v>662</v>
      </c>
      <c r="B406">
        <v>-1</v>
      </c>
      <c r="C406">
        <v>2050</v>
      </c>
      <c r="D406" s="34" t="s">
        <v>255</v>
      </c>
      <c r="E406" s="34" t="s">
        <v>396</v>
      </c>
      <c r="F406" s="34" t="s">
        <v>290</v>
      </c>
      <c r="G406" s="34" t="s">
        <v>226</v>
      </c>
      <c r="H406" s="34" t="s">
        <v>209</v>
      </c>
      <c r="I406" s="34" t="s">
        <v>19</v>
      </c>
      <c r="J406" s="34" t="s">
        <v>27</v>
      </c>
      <c r="K406" s="34" t="s">
        <v>46</v>
      </c>
      <c r="L406" s="34" t="s">
        <v>47</v>
      </c>
      <c r="M406">
        <v>2.5203200000000003</v>
      </c>
    </row>
    <row r="407" spans="1:13" x14ac:dyDescent="0.3">
      <c r="A407" s="34" t="s">
        <v>662</v>
      </c>
      <c r="B407">
        <v>-1</v>
      </c>
      <c r="C407">
        <v>2050</v>
      </c>
      <c r="D407" s="34" t="s">
        <v>255</v>
      </c>
      <c r="E407" s="34" t="s">
        <v>396</v>
      </c>
      <c r="F407" s="34" t="s">
        <v>290</v>
      </c>
      <c r="G407" s="34" t="s">
        <v>226</v>
      </c>
      <c r="H407" s="34" t="s">
        <v>209</v>
      </c>
      <c r="I407" s="34" t="s">
        <v>19</v>
      </c>
      <c r="J407" s="34" t="s">
        <v>27</v>
      </c>
      <c r="K407" s="34" t="s">
        <v>48</v>
      </c>
      <c r="L407" s="34" t="s">
        <v>47</v>
      </c>
      <c r="M407">
        <v>-2.5203199999999994</v>
      </c>
    </row>
    <row r="408" spans="1:13" x14ac:dyDescent="0.3">
      <c r="A408" s="34" t="s">
        <v>662</v>
      </c>
      <c r="B408">
        <v>-1</v>
      </c>
      <c r="C408">
        <v>2050</v>
      </c>
      <c r="D408" s="34" t="s">
        <v>255</v>
      </c>
      <c r="E408" s="34" t="s">
        <v>396</v>
      </c>
      <c r="F408" s="34" t="s">
        <v>290</v>
      </c>
      <c r="G408" s="34" t="s">
        <v>252</v>
      </c>
      <c r="H408" s="34" t="s">
        <v>237</v>
      </c>
      <c r="I408" s="34" t="s">
        <v>19</v>
      </c>
      <c r="J408" s="34" t="s">
        <v>27</v>
      </c>
      <c r="K408" s="34" t="s">
        <v>46</v>
      </c>
      <c r="L408" s="34" t="s">
        <v>47</v>
      </c>
      <c r="M408">
        <v>0.22819999999999999</v>
      </c>
    </row>
    <row r="409" spans="1:13" x14ac:dyDescent="0.3">
      <c r="A409" s="34" t="s">
        <v>662</v>
      </c>
      <c r="B409">
        <v>-1</v>
      </c>
      <c r="C409">
        <v>2050</v>
      </c>
      <c r="D409" s="34" t="s">
        <v>255</v>
      </c>
      <c r="E409" s="34" t="s">
        <v>396</v>
      </c>
      <c r="F409" s="34" t="s">
        <v>290</v>
      </c>
      <c r="G409" s="34" t="s">
        <v>252</v>
      </c>
      <c r="H409" s="34" t="s">
        <v>237</v>
      </c>
      <c r="I409" s="34" t="s">
        <v>19</v>
      </c>
      <c r="J409" s="34" t="s">
        <v>27</v>
      </c>
      <c r="K409" s="34" t="s">
        <v>48</v>
      </c>
      <c r="L409" s="34" t="s">
        <v>47</v>
      </c>
      <c r="M409">
        <v>-0.22819999999999999</v>
      </c>
    </row>
    <row r="410" spans="1:13" x14ac:dyDescent="0.3">
      <c r="A410" s="34" t="s">
        <v>662</v>
      </c>
      <c r="B410">
        <v>-1</v>
      </c>
      <c r="C410">
        <v>2050</v>
      </c>
      <c r="D410" s="34" t="s">
        <v>255</v>
      </c>
      <c r="E410" s="34" t="s">
        <v>396</v>
      </c>
      <c r="F410" s="34" t="s">
        <v>290</v>
      </c>
      <c r="G410" s="34" t="s">
        <v>292</v>
      </c>
      <c r="H410" s="34" t="s">
        <v>40</v>
      </c>
      <c r="I410" s="34" t="s">
        <v>19</v>
      </c>
      <c r="J410" s="34" t="s">
        <v>27</v>
      </c>
      <c r="K410" s="34" t="s">
        <v>46</v>
      </c>
      <c r="L410" s="34" t="s">
        <v>47</v>
      </c>
      <c r="M410">
        <v>0.58140000000000003</v>
      </c>
    </row>
    <row r="411" spans="1:13" x14ac:dyDescent="0.3">
      <c r="A411" s="34" t="s">
        <v>662</v>
      </c>
      <c r="B411">
        <v>-1</v>
      </c>
      <c r="C411">
        <v>2050</v>
      </c>
      <c r="D411" s="34" t="s">
        <v>255</v>
      </c>
      <c r="E411" s="34" t="s">
        <v>396</v>
      </c>
      <c r="F411" s="34" t="s">
        <v>290</v>
      </c>
      <c r="G411" s="34" t="s">
        <v>292</v>
      </c>
      <c r="H411" s="34" t="s">
        <v>40</v>
      </c>
      <c r="I411" s="34" t="s">
        <v>19</v>
      </c>
      <c r="J411" s="34" t="s">
        <v>27</v>
      </c>
      <c r="K411" s="34" t="s">
        <v>48</v>
      </c>
      <c r="L411" s="34" t="s">
        <v>47</v>
      </c>
      <c r="M411">
        <v>-0.58140000000000003</v>
      </c>
    </row>
    <row r="412" spans="1:13" x14ac:dyDescent="0.3">
      <c r="A412" s="34" t="s">
        <v>662</v>
      </c>
      <c r="B412">
        <v>-1</v>
      </c>
      <c r="C412">
        <v>2050</v>
      </c>
      <c r="D412" s="34" t="s">
        <v>255</v>
      </c>
      <c r="E412" s="34" t="s">
        <v>396</v>
      </c>
      <c r="F412" s="34" t="s">
        <v>290</v>
      </c>
      <c r="G412" s="34" t="s">
        <v>293</v>
      </c>
      <c r="H412" s="34" t="s">
        <v>40</v>
      </c>
      <c r="I412" s="34" t="s">
        <v>19</v>
      </c>
      <c r="J412" s="34" t="s">
        <v>27</v>
      </c>
      <c r="K412" s="34" t="s">
        <v>46</v>
      </c>
      <c r="L412" s="34" t="s">
        <v>47</v>
      </c>
      <c r="M412">
        <v>0.72099999999999997</v>
      </c>
    </row>
    <row r="413" spans="1:13" x14ac:dyDescent="0.3">
      <c r="A413" s="34" t="s">
        <v>662</v>
      </c>
      <c r="B413">
        <v>-1</v>
      </c>
      <c r="C413">
        <v>2050</v>
      </c>
      <c r="D413" s="34" t="s">
        <v>255</v>
      </c>
      <c r="E413" s="34" t="s">
        <v>396</v>
      </c>
      <c r="F413" s="34" t="s">
        <v>290</v>
      </c>
      <c r="G413" s="34" t="s">
        <v>293</v>
      </c>
      <c r="H413" s="34" t="s">
        <v>40</v>
      </c>
      <c r="I413" s="34" t="s">
        <v>19</v>
      </c>
      <c r="J413" s="34" t="s">
        <v>27</v>
      </c>
      <c r="K413" s="34" t="s">
        <v>48</v>
      </c>
      <c r="L413" s="34" t="s">
        <v>47</v>
      </c>
      <c r="M413">
        <v>-0.72099999999999997</v>
      </c>
    </row>
    <row r="414" spans="1:13" x14ac:dyDescent="0.3">
      <c r="A414" s="34" t="s">
        <v>662</v>
      </c>
      <c r="B414">
        <v>-1</v>
      </c>
      <c r="C414">
        <v>2050</v>
      </c>
      <c r="D414" s="34" t="s">
        <v>255</v>
      </c>
      <c r="E414" s="34" t="s">
        <v>396</v>
      </c>
      <c r="F414" s="34" t="s">
        <v>290</v>
      </c>
      <c r="G414" s="34" t="s">
        <v>180</v>
      </c>
      <c r="H414" s="34" t="s">
        <v>18</v>
      </c>
      <c r="I414" s="34" t="s">
        <v>19</v>
      </c>
      <c r="J414" s="34" t="s">
        <v>181</v>
      </c>
      <c r="K414" s="34" t="s">
        <v>46</v>
      </c>
      <c r="L414" s="34" t="s">
        <v>47</v>
      </c>
      <c r="M414">
        <v>0.3604</v>
      </c>
    </row>
    <row r="415" spans="1:13" x14ac:dyDescent="0.3">
      <c r="A415" s="34" t="s">
        <v>662</v>
      </c>
      <c r="B415">
        <v>-1</v>
      </c>
      <c r="C415">
        <v>2050</v>
      </c>
      <c r="D415" s="34" t="s">
        <v>255</v>
      </c>
      <c r="E415" s="34" t="s">
        <v>396</v>
      </c>
      <c r="F415" s="34" t="s">
        <v>290</v>
      </c>
      <c r="G415" s="34" t="s">
        <v>294</v>
      </c>
      <c r="H415" s="34" t="s">
        <v>209</v>
      </c>
      <c r="I415" s="34" t="s">
        <v>19</v>
      </c>
      <c r="J415" s="34" t="s">
        <v>27</v>
      </c>
      <c r="K415" s="34" t="s">
        <v>46</v>
      </c>
      <c r="L415" s="34" t="s">
        <v>47</v>
      </c>
      <c r="M415">
        <v>3.3399999999999999E-2</v>
      </c>
    </row>
    <row r="416" spans="1:13" x14ac:dyDescent="0.3">
      <c r="A416" s="34" t="s">
        <v>662</v>
      </c>
      <c r="B416">
        <v>-1</v>
      </c>
      <c r="C416">
        <v>2050</v>
      </c>
      <c r="D416" s="34" t="s">
        <v>255</v>
      </c>
      <c r="E416" s="34" t="s">
        <v>396</v>
      </c>
      <c r="F416" s="34" t="s">
        <v>290</v>
      </c>
      <c r="G416" s="34" t="s">
        <v>294</v>
      </c>
      <c r="H416" s="34" t="s">
        <v>209</v>
      </c>
      <c r="I416" s="34" t="s">
        <v>19</v>
      </c>
      <c r="J416" s="34" t="s">
        <v>27</v>
      </c>
      <c r="K416" s="34" t="s">
        <v>48</v>
      </c>
      <c r="L416" s="34" t="s">
        <v>47</v>
      </c>
      <c r="M416">
        <v>-3.3399999999999999E-2</v>
      </c>
    </row>
    <row r="417" spans="1:13" x14ac:dyDescent="0.3">
      <c r="A417" s="34" t="s">
        <v>662</v>
      </c>
      <c r="B417">
        <v>-1</v>
      </c>
      <c r="C417">
        <v>2050</v>
      </c>
      <c r="D417" s="34" t="s">
        <v>255</v>
      </c>
      <c r="E417" s="34" t="s">
        <v>396</v>
      </c>
      <c r="F417" s="34" t="s">
        <v>290</v>
      </c>
      <c r="G417" s="34" t="s">
        <v>262</v>
      </c>
      <c r="H417" s="34" t="s">
        <v>209</v>
      </c>
      <c r="I417" s="34" t="s">
        <v>19</v>
      </c>
      <c r="J417" s="34" t="s">
        <v>27</v>
      </c>
      <c r="K417" s="34" t="s">
        <v>46</v>
      </c>
      <c r="L417" s="34" t="s">
        <v>47</v>
      </c>
      <c r="M417">
        <v>7.8799999999999995E-2</v>
      </c>
    </row>
    <row r="418" spans="1:13" x14ac:dyDescent="0.3">
      <c r="A418" s="34" t="s">
        <v>662</v>
      </c>
      <c r="B418">
        <v>-1</v>
      </c>
      <c r="C418">
        <v>2050</v>
      </c>
      <c r="D418" s="34" t="s">
        <v>255</v>
      </c>
      <c r="E418" s="34" t="s">
        <v>396</v>
      </c>
      <c r="F418" s="34" t="s">
        <v>290</v>
      </c>
      <c r="G418" s="34" t="s">
        <v>262</v>
      </c>
      <c r="H418" s="34" t="s">
        <v>209</v>
      </c>
      <c r="I418" s="34" t="s">
        <v>19</v>
      </c>
      <c r="J418" s="34" t="s">
        <v>27</v>
      </c>
      <c r="K418" s="34" t="s">
        <v>48</v>
      </c>
      <c r="L418" s="34" t="s">
        <v>47</v>
      </c>
      <c r="M418">
        <v>-7.8799999999999995E-2</v>
      </c>
    </row>
    <row r="419" spans="1:13" x14ac:dyDescent="0.3">
      <c r="A419" s="34" t="s">
        <v>662</v>
      </c>
      <c r="B419">
        <v>-1</v>
      </c>
      <c r="C419">
        <v>2050</v>
      </c>
      <c r="D419" s="34" t="s">
        <v>255</v>
      </c>
      <c r="E419" s="34" t="s">
        <v>396</v>
      </c>
      <c r="F419" s="34" t="s">
        <v>290</v>
      </c>
      <c r="G419" s="34" t="s">
        <v>295</v>
      </c>
      <c r="H419" s="34" t="s">
        <v>39</v>
      </c>
      <c r="I419" s="34" t="s">
        <v>19</v>
      </c>
      <c r="J419" s="34" t="s">
        <v>27</v>
      </c>
      <c r="K419" s="34" t="s">
        <v>46</v>
      </c>
      <c r="L419" s="34" t="s">
        <v>47</v>
      </c>
      <c r="M419">
        <v>7.1000000000000005</v>
      </c>
    </row>
    <row r="420" spans="1:13" x14ac:dyDescent="0.3">
      <c r="A420" s="34" t="s">
        <v>662</v>
      </c>
      <c r="B420">
        <v>-1</v>
      </c>
      <c r="C420">
        <v>2050</v>
      </c>
      <c r="D420" s="34" t="s">
        <v>255</v>
      </c>
      <c r="E420" s="34" t="s">
        <v>396</v>
      </c>
      <c r="F420" s="34" t="s">
        <v>290</v>
      </c>
      <c r="G420" s="34" t="s">
        <v>295</v>
      </c>
      <c r="H420" s="34" t="s">
        <v>39</v>
      </c>
      <c r="I420" s="34" t="s">
        <v>19</v>
      </c>
      <c r="J420" s="34" t="s">
        <v>27</v>
      </c>
      <c r="K420" s="34" t="s">
        <v>48</v>
      </c>
      <c r="L420" s="34" t="s">
        <v>47</v>
      </c>
      <c r="M420">
        <v>-7.1000000000000005</v>
      </c>
    </row>
    <row r="421" spans="1:13" x14ac:dyDescent="0.3">
      <c r="A421" s="34" t="s">
        <v>662</v>
      </c>
      <c r="B421">
        <v>-1</v>
      </c>
      <c r="C421">
        <v>2050</v>
      </c>
      <c r="D421" s="34" t="s">
        <v>255</v>
      </c>
      <c r="E421" s="34" t="s">
        <v>396</v>
      </c>
      <c r="F421" s="34" t="s">
        <v>290</v>
      </c>
      <c r="G421" s="34" t="s">
        <v>286</v>
      </c>
      <c r="H421" s="34" t="s">
        <v>39</v>
      </c>
      <c r="I421" s="34" t="s">
        <v>19</v>
      </c>
      <c r="J421" s="34" t="s">
        <v>27</v>
      </c>
      <c r="K421" s="34" t="s">
        <v>46</v>
      </c>
      <c r="L421" s="34" t="s">
        <v>47</v>
      </c>
      <c r="M421">
        <v>3.4487000000000001</v>
      </c>
    </row>
    <row r="422" spans="1:13" x14ac:dyDescent="0.3">
      <c r="A422" s="34" t="s">
        <v>662</v>
      </c>
      <c r="B422">
        <v>-1</v>
      </c>
      <c r="C422">
        <v>2050</v>
      </c>
      <c r="D422" s="34" t="s">
        <v>255</v>
      </c>
      <c r="E422" s="34" t="s">
        <v>396</v>
      </c>
      <c r="F422" s="34" t="s">
        <v>290</v>
      </c>
      <c r="G422" s="34" t="s">
        <v>286</v>
      </c>
      <c r="H422" s="34" t="s">
        <v>39</v>
      </c>
      <c r="I422" s="34" t="s">
        <v>19</v>
      </c>
      <c r="J422" s="34" t="s">
        <v>27</v>
      </c>
      <c r="K422" s="34" t="s">
        <v>48</v>
      </c>
      <c r="L422" s="34" t="s">
        <v>47</v>
      </c>
      <c r="M422">
        <v>-3.4487000000000001</v>
      </c>
    </row>
    <row r="423" spans="1:13" x14ac:dyDescent="0.3">
      <c r="A423" s="34" t="s">
        <v>662</v>
      </c>
      <c r="B423">
        <v>-1</v>
      </c>
      <c r="C423">
        <v>2050</v>
      </c>
      <c r="D423" s="34" t="s">
        <v>255</v>
      </c>
      <c r="E423" s="34" t="s">
        <v>396</v>
      </c>
      <c r="F423" s="34" t="s">
        <v>290</v>
      </c>
      <c r="G423" s="34" t="s">
        <v>296</v>
      </c>
      <c r="H423" s="34" t="s">
        <v>39</v>
      </c>
      <c r="I423" s="34" t="s">
        <v>203</v>
      </c>
      <c r="J423" s="34" t="s">
        <v>204</v>
      </c>
      <c r="K423" s="34" t="s">
        <v>46</v>
      </c>
      <c r="L423" s="34" t="s">
        <v>47</v>
      </c>
      <c r="M423">
        <v>4.3066666666666666</v>
      </c>
    </row>
    <row r="424" spans="1:13" x14ac:dyDescent="0.3">
      <c r="A424" s="34" t="s">
        <v>662</v>
      </c>
      <c r="B424">
        <v>-1</v>
      </c>
      <c r="C424">
        <v>2050</v>
      </c>
      <c r="D424" s="34" t="s">
        <v>255</v>
      </c>
      <c r="E424" s="34" t="s">
        <v>396</v>
      </c>
      <c r="F424" s="34" t="s">
        <v>290</v>
      </c>
      <c r="G424" s="34" t="s">
        <v>296</v>
      </c>
      <c r="H424" s="34" t="s">
        <v>39</v>
      </c>
      <c r="I424" s="34" t="s">
        <v>203</v>
      </c>
      <c r="J424" s="34" t="s">
        <v>204</v>
      </c>
      <c r="K424" s="34" t="s">
        <v>48</v>
      </c>
      <c r="L424" s="34" t="s">
        <v>47</v>
      </c>
      <c r="M424">
        <v>-4.3066666666666666</v>
      </c>
    </row>
    <row r="425" spans="1:13" x14ac:dyDescent="0.3">
      <c r="A425" s="34" t="s">
        <v>662</v>
      </c>
      <c r="B425">
        <v>-1</v>
      </c>
      <c r="C425">
        <v>2050</v>
      </c>
      <c r="D425" s="34" t="s">
        <v>255</v>
      </c>
      <c r="E425" s="34" t="s">
        <v>396</v>
      </c>
      <c r="F425" s="34" t="s">
        <v>290</v>
      </c>
      <c r="G425" s="34" t="s">
        <v>296</v>
      </c>
      <c r="H425" s="34" t="s">
        <v>39</v>
      </c>
      <c r="I425" s="34" t="s">
        <v>19</v>
      </c>
      <c r="J425" s="34" t="s">
        <v>204</v>
      </c>
      <c r="K425" s="34" t="s">
        <v>46</v>
      </c>
      <c r="L425" s="34" t="s">
        <v>47</v>
      </c>
      <c r="M425">
        <v>3.8759999999999999</v>
      </c>
    </row>
    <row r="426" spans="1:13" x14ac:dyDescent="0.3">
      <c r="A426" s="34" t="s">
        <v>662</v>
      </c>
      <c r="B426">
        <v>-1</v>
      </c>
      <c r="C426">
        <v>2050</v>
      </c>
      <c r="D426" s="34" t="s">
        <v>255</v>
      </c>
      <c r="E426" s="34" t="s">
        <v>396</v>
      </c>
      <c r="F426" s="34" t="s">
        <v>290</v>
      </c>
      <c r="G426" s="34" t="s">
        <v>296</v>
      </c>
      <c r="H426" s="34" t="s">
        <v>39</v>
      </c>
      <c r="I426" s="34" t="s">
        <v>19</v>
      </c>
      <c r="J426" s="34" t="s">
        <v>204</v>
      </c>
      <c r="K426" s="34" t="s">
        <v>48</v>
      </c>
      <c r="L426" s="34" t="s">
        <v>47</v>
      </c>
      <c r="M426">
        <v>-3.8759999999999999</v>
      </c>
    </row>
    <row r="427" spans="1:13" x14ac:dyDescent="0.3">
      <c r="A427" s="34" t="s">
        <v>662</v>
      </c>
      <c r="B427">
        <v>-1</v>
      </c>
      <c r="C427">
        <v>2050</v>
      </c>
      <c r="D427" s="34" t="s">
        <v>255</v>
      </c>
      <c r="E427" s="34" t="s">
        <v>396</v>
      </c>
      <c r="F427" s="34" t="s">
        <v>290</v>
      </c>
      <c r="G427" s="34" t="s">
        <v>205</v>
      </c>
      <c r="H427" s="34" t="s">
        <v>39</v>
      </c>
      <c r="I427" s="34" t="s">
        <v>203</v>
      </c>
      <c r="J427" s="34" t="s">
        <v>204</v>
      </c>
      <c r="K427" s="34" t="s">
        <v>46</v>
      </c>
      <c r="L427" s="34" t="s">
        <v>47</v>
      </c>
      <c r="M427">
        <v>5.0866666666666669</v>
      </c>
    </row>
    <row r="428" spans="1:13" x14ac:dyDescent="0.3">
      <c r="A428" s="34" t="s">
        <v>662</v>
      </c>
      <c r="B428">
        <v>-1</v>
      </c>
      <c r="C428">
        <v>2050</v>
      </c>
      <c r="D428" s="34" t="s">
        <v>255</v>
      </c>
      <c r="E428" s="34" t="s">
        <v>396</v>
      </c>
      <c r="F428" s="34" t="s">
        <v>290</v>
      </c>
      <c r="G428" s="34" t="s">
        <v>205</v>
      </c>
      <c r="H428" s="34" t="s">
        <v>39</v>
      </c>
      <c r="I428" s="34" t="s">
        <v>203</v>
      </c>
      <c r="J428" s="34" t="s">
        <v>204</v>
      </c>
      <c r="K428" s="34" t="s">
        <v>48</v>
      </c>
      <c r="L428" s="34" t="s">
        <v>47</v>
      </c>
      <c r="M428">
        <v>-5.0866666666666669</v>
      </c>
    </row>
    <row r="429" spans="1:13" x14ac:dyDescent="0.3">
      <c r="A429" s="34" t="s">
        <v>662</v>
      </c>
      <c r="B429">
        <v>-1</v>
      </c>
      <c r="C429">
        <v>2050</v>
      </c>
      <c r="D429" s="34" t="s">
        <v>255</v>
      </c>
      <c r="E429" s="34" t="s">
        <v>396</v>
      </c>
      <c r="F429" s="34" t="s">
        <v>290</v>
      </c>
      <c r="G429" s="34" t="s">
        <v>205</v>
      </c>
      <c r="H429" s="34" t="s">
        <v>39</v>
      </c>
      <c r="I429" s="34" t="s">
        <v>19</v>
      </c>
      <c r="J429" s="34" t="s">
        <v>204</v>
      </c>
      <c r="K429" s="34" t="s">
        <v>46</v>
      </c>
      <c r="L429" s="34" t="s">
        <v>47</v>
      </c>
      <c r="M429">
        <v>4.5780000000000003</v>
      </c>
    </row>
    <row r="430" spans="1:13" x14ac:dyDescent="0.3">
      <c r="A430" s="34" t="s">
        <v>662</v>
      </c>
      <c r="B430">
        <v>-1</v>
      </c>
      <c r="C430">
        <v>2050</v>
      </c>
      <c r="D430" s="34" t="s">
        <v>255</v>
      </c>
      <c r="E430" s="34" t="s">
        <v>396</v>
      </c>
      <c r="F430" s="34" t="s">
        <v>290</v>
      </c>
      <c r="G430" s="34" t="s">
        <v>205</v>
      </c>
      <c r="H430" s="34" t="s">
        <v>39</v>
      </c>
      <c r="I430" s="34" t="s">
        <v>19</v>
      </c>
      <c r="J430" s="34" t="s">
        <v>204</v>
      </c>
      <c r="K430" s="34" t="s">
        <v>48</v>
      </c>
      <c r="L430" s="34" t="s">
        <v>47</v>
      </c>
      <c r="M430">
        <v>-4.5780000000000003</v>
      </c>
    </row>
    <row r="431" spans="1:13" x14ac:dyDescent="0.3">
      <c r="A431" s="34" t="s">
        <v>662</v>
      </c>
      <c r="B431">
        <v>-1</v>
      </c>
      <c r="C431">
        <v>2050</v>
      </c>
      <c r="D431" s="34" t="s">
        <v>255</v>
      </c>
      <c r="E431" s="34" t="s">
        <v>396</v>
      </c>
      <c r="F431" s="34" t="s">
        <v>290</v>
      </c>
      <c r="G431" s="34" t="s">
        <v>266</v>
      </c>
      <c r="H431" s="34" t="s">
        <v>237</v>
      </c>
      <c r="I431" s="34" t="s">
        <v>19</v>
      </c>
      <c r="J431" s="34" t="s">
        <v>27</v>
      </c>
      <c r="K431" s="34" t="s">
        <v>46</v>
      </c>
      <c r="L431" s="34" t="s">
        <v>47</v>
      </c>
      <c r="M431">
        <v>3.32E-2</v>
      </c>
    </row>
    <row r="432" spans="1:13" x14ac:dyDescent="0.3">
      <c r="A432" s="34" t="s">
        <v>662</v>
      </c>
      <c r="B432">
        <v>-1</v>
      </c>
      <c r="C432">
        <v>2050</v>
      </c>
      <c r="D432" s="34" t="s">
        <v>255</v>
      </c>
      <c r="E432" s="34" t="s">
        <v>396</v>
      </c>
      <c r="F432" s="34" t="s">
        <v>290</v>
      </c>
      <c r="G432" s="34" t="s">
        <v>266</v>
      </c>
      <c r="H432" s="34" t="s">
        <v>237</v>
      </c>
      <c r="I432" s="34" t="s">
        <v>19</v>
      </c>
      <c r="J432" s="34" t="s">
        <v>27</v>
      </c>
      <c r="K432" s="34" t="s">
        <v>48</v>
      </c>
      <c r="L432" s="34" t="s">
        <v>47</v>
      </c>
      <c r="M432">
        <v>-3.32E-2</v>
      </c>
    </row>
    <row r="433" spans="1:13" x14ac:dyDescent="0.3">
      <c r="A433" s="34" t="s">
        <v>662</v>
      </c>
      <c r="B433">
        <v>-1</v>
      </c>
      <c r="C433">
        <v>2050</v>
      </c>
      <c r="D433" s="34" t="s">
        <v>255</v>
      </c>
      <c r="E433" s="34" t="s">
        <v>396</v>
      </c>
      <c r="F433" s="34" t="s">
        <v>290</v>
      </c>
      <c r="G433" s="34" t="s">
        <v>297</v>
      </c>
      <c r="H433" s="34" t="s">
        <v>268</v>
      </c>
      <c r="I433" s="34" t="s">
        <v>19</v>
      </c>
      <c r="J433" s="34" t="s">
        <v>27</v>
      </c>
      <c r="K433" s="34" t="s">
        <v>46</v>
      </c>
      <c r="L433" s="34" t="s">
        <v>47</v>
      </c>
      <c r="M433">
        <v>4.5389999999999997</v>
      </c>
    </row>
    <row r="434" spans="1:13" x14ac:dyDescent="0.3">
      <c r="A434" s="34" t="s">
        <v>662</v>
      </c>
      <c r="B434">
        <v>-1</v>
      </c>
      <c r="C434">
        <v>2050</v>
      </c>
      <c r="D434" s="34" t="s">
        <v>255</v>
      </c>
      <c r="E434" s="34" t="s">
        <v>396</v>
      </c>
      <c r="F434" s="34" t="s">
        <v>290</v>
      </c>
      <c r="G434" s="34" t="s">
        <v>297</v>
      </c>
      <c r="H434" s="34" t="s">
        <v>268</v>
      </c>
      <c r="I434" s="34" t="s">
        <v>19</v>
      </c>
      <c r="J434" s="34" t="s">
        <v>27</v>
      </c>
      <c r="K434" s="34" t="s">
        <v>48</v>
      </c>
      <c r="L434" s="34" t="s">
        <v>47</v>
      </c>
      <c r="M434">
        <v>-4.5389999999999997</v>
      </c>
    </row>
    <row r="435" spans="1:13" x14ac:dyDescent="0.3">
      <c r="A435" s="34" t="s">
        <v>662</v>
      </c>
      <c r="B435">
        <v>-1</v>
      </c>
      <c r="C435">
        <v>2050</v>
      </c>
      <c r="D435" s="34" t="s">
        <v>255</v>
      </c>
      <c r="E435" s="34" t="s">
        <v>396</v>
      </c>
      <c r="F435" s="34" t="s">
        <v>290</v>
      </c>
      <c r="G435" s="34" t="s">
        <v>298</v>
      </c>
      <c r="H435" s="34" t="s">
        <v>268</v>
      </c>
      <c r="I435" s="34" t="s">
        <v>19</v>
      </c>
      <c r="J435" s="34" t="s">
        <v>27</v>
      </c>
      <c r="K435" s="34" t="s">
        <v>46</v>
      </c>
      <c r="L435" s="34" t="s">
        <v>47</v>
      </c>
      <c r="M435">
        <v>4.3420000000000005</v>
      </c>
    </row>
    <row r="436" spans="1:13" x14ac:dyDescent="0.3">
      <c r="A436" s="34" t="s">
        <v>662</v>
      </c>
      <c r="B436">
        <v>-1</v>
      </c>
      <c r="C436">
        <v>2050</v>
      </c>
      <c r="D436" s="34" t="s">
        <v>255</v>
      </c>
      <c r="E436" s="34" t="s">
        <v>396</v>
      </c>
      <c r="F436" s="34" t="s">
        <v>290</v>
      </c>
      <c r="G436" s="34" t="s">
        <v>298</v>
      </c>
      <c r="H436" s="34" t="s">
        <v>268</v>
      </c>
      <c r="I436" s="34" t="s">
        <v>19</v>
      </c>
      <c r="J436" s="34" t="s">
        <v>27</v>
      </c>
      <c r="K436" s="34" t="s">
        <v>48</v>
      </c>
      <c r="L436" s="34" t="s">
        <v>47</v>
      </c>
      <c r="M436">
        <v>-4.3420000000000005</v>
      </c>
    </row>
    <row r="437" spans="1:13" x14ac:dyDescent="0.3">
      <c r="A437" s="34" t="s">
        <v>662</v>
      </c>
      <c r="B437">
        <v>-1</v>
      </c>
      <c r="C437">
        <v>2050</v>
      </c>
      <c r="D437" s="34" t="s">
        <v>255</v>
      </c>
      <c r="E437" s="34" t="s">
        <v>396</v>
      </c>
      <c r="F437" s="34" t="s">
        <v>290</v>
      </c>
      <c r="G437" s="34" t="s">
        <v>299</v>
      </c>
      <c r="H437" s="34" t="s">
        <v>268</v>
      </c>
      <c r="I437" s="34" t="s">
        <v>203</v>
      </c>
      <c r="J437" s="34" t="s">
        <v>204</v>
      </c>
      <c r="K437" s="34" t="s">
        <v>46</v>
      </c>
      <c r="L437" s="34" t="s">
        <v>47</v>
      </c>
      <c r="M437">
        <v>2.9477777777777776</v>
      </c>
    </row>
    <row r="438" spans="1:13" x14ac:dyDescent="0.3">
      <c r="A438" s="34" t="s">
        <v>662</v>
      </c>
      <c r="B438">
        <v>-1</v>
      </c>
      <c r="C438">
        <v>2050</v>
      </c>
      <c r="D438" s="34" t="s">
        <v>255</v>
      </c>
      <c r="E438" s="34" t="s">
        <v>396</v>
      </c>
      <c r="F438" s="34" t="s">
        <v>290</v>
      </c>
      <c r="G438" s="34" t="s">
        <v>299</v>
      </c>
      <c r="H438" s="34" t="s">
        <v>268</v>
      </c>
      <c r="I438" s="34" t="s">
        <v>203</v>
      </c>
      <c r="J438" s="34" t="s">
        <v>204</v>
      </c>
      <c r="K438" s="34" t="s">
        <v>48</v>
      </c>
      <c r="L438" s="34" t="s">
        <v>47</v>
      </c>
      <c r="M438">
        <v>-2.9477777777777776</v>
      </c>
    </row>
    <row r="439" spans="1:13" x14ac:dyDescent="0.3">
      <c r="A439" s="34" t="s">
        <v>662</v>
      </c>
      <c r="B439">
        <v>-1</v>
      </c>
      <c r="C439">
        <v>2050</v>
      </c>
      <c r="D439" s="34" t="s">
        <v>255</v>
      </c>
      <c r="E439" s="34" t="s">
        <v>396</v>
      </c>
      <c r="F439" s="34" t="s">
        <v>290</v>
      </c>
      <c r="G439" s="34" t="s">
        <v>299</v>
      </c>
      <c r="H439" s="34" t="s">
        <v>268</v>
      </c>
      <c r="I439" s="34" t="s">
        <v>19</v>
      </c>
      <c r="J439" s="34" t="s">
        <v>204</v>
      </c>
      <c r="K439" s="34" t="s">
        <v>46</v>
      </c>
      <c r="L439" s="34" t="s">
        <v>47</v>
      </c>
      <c r="M439">
        <v>2.653</v>
      </c>
    </row>
    <row r="440" spans="1:13" x14ac:dyDescent="0.3">
      <c r="A440" s="34" t="s">
        <v>662</v>
      </c>
      <c r="B440">
        <v>-1</v>
      </c>
      <c r="C440">
        <v>2050</v>
      </c>
      <c r="D440" s="34" t="s">
        <v>255</v>
      </c>
      <c r="E440" s="34" t="s">
        <v>396</v>
      </c>
      <c r="F440" s="34" t="s">
        <v>290</v>
      </c>
      <c r="G440" s="34" t="s">
        <v>299</v>
      </c>
      <c r="H440" s="34" t="s">
        <v>268</v>
      </c>
      <c r="I440" s="34" t="s">
        <v>19</v>
      </c>
      <c r="J440" s="34" t="s">
        <v>204</v>
      </c>
      <c r="K440" s="34" t="s">
        <v>48</v>
      </c>
      <c r="L440" s="34" t="s">
        <v>47</v>
      </c>
      <c r="M440">
        <v>-2.653</v>
      </c>
    </row>
    <row r="441" spans="1:13" x14ac:dyDescent="0.3">
      <c r="A441" s="34" t="s">
        <v>662</v>
      </c>
      <c r="B441">
        <v>-1</v>
      </c>
      <c r="C441">
        <v>2050</v>
      </c>
      <c r="D441" s="34" t="s">
        <v>255</v>
      </c>
      <c r="E441" s="34" t="s">
        <v>396</v>
      </c>
      <c r="F441" s="34" t="s">
        <v>290</v>
      </c>
      <c r="G441" s="34" t="s">
        <v>300</v>
      </c>
      <c r="H441" s="34" t="s">
        <v>268</v>
      </c>
      <c r="I441" s="34" t="s">
        <v>203</v>
      </c>
      <c r="J441" s="34" t="s">
        <v>204</v>
      </c>
      <c r="K441" s="34" t="s">
        <v>46</v>
      </c>
      <c r="L441" s="34" t="s">
        <v>47</v>
      </c>
      <c r="M441">
        <v>1.2088888888888889</v>
      </c>
    </row>
    <row r="442" spans="1:13" x14ac:dyDescent="0.3">
      <c r="A442" s="34" t="s">
        <v>662</v>
      </c>
      <c r="B442">
        <v>-1</v>
      </c>
      <c r="C442">
        <v>2050</v>
      </c>
      <c r="D442" s="34" t="s">
        <v>255</v>
      </c>
      <c r="E442" s="34" t="s">
        <v>396</v>
      </c>
      <c r="F442" s="34" t="s">
        <v>290</v>
      </c>
      <c r="G442" s="34" t="s">
        <v>300</v>
      </c>
      <c r="H442" s="34" t="s">
        <v>268</v>
      </c>
      <c r="I442" s="34" t="s">
        <v>203</v>
      </c>
      <c r="J442" s="34" t="s">
        <v>204</v>
      </c>
      <c r="K442" s="34" t="s">
        <v>48</v>
      </c>
      <c r="L442" s="34" t="s">
        <v>47</v>
      </c>
      <c r="M442">
        <v>-1.2088888888888889</v>
      </c>
    </row>
    <row r="443" spans="1:13" x14ac:dyDescent="0.3">
      <c r="A443" s="34" t="s">
        <v>662</v>
      </c>
      <c r="B443">
        <v>-1</v>
      </c>
      <c r="C443">
        <v>2050</v>
      </c>
      <c r="D443" s="34" t="s">
        <v>255</v>
      </c>
      <c r="E443" s="34" t="s">
        <v>396</v>
      </c>
      <c r="F443" s="34" t="s">
        <v>290</v>
      </c>
      <c r="G443" s="34" t="s">
        <v>300</v>
      </c>
      <c r="H443" s="34" t="s">
        <v>268</v>
      </c>
      <c r="I443" s="34" t="s">
        <v>19</v>
      </c>
      <c r="J443" s="34" t="s">
        <v>204</v>
      </c>
      <c r="K443" s="34" t="s">
        <v>46</v>
      </c>
      <c r="L443" s="34" t="s">
        <v>47</v>
      </c>
      <c r="M443">
        <v>1.0880000000000001</v>
      </c>
    </row>
    <row r="444" spans="1:13" x14ac:dyDescent="0.3">
      <c r="A444" s="34" t="s">
        <v>662</v>
      </c>
      <c r="B444">
        <v>-1</v>
      </c>
      <c r="C444">
        <v>2050</v>
      </c>
      <c r="D444" s="34" t="s">
        <v>255</v>
      </c>
      <c r="E444" s="34" t="s">
        <v>396</v>
      </c>
      <c r="F444" s="34" t="s">
        <v>290</v>
      </c>
      <c r="G444" s="34" t="s">
        <v>300</v>
      </c>
      <c r="H444" s="34" t="s">
        <v>268</v>
      </c>
      <c r="I444" s="34" t="s">
        <v>19</v>
      </c>
      <c r="J444" s="34" t="s">
        <v>204</v>
      </c>
      <c r="K444" s="34" t="s">
        <v>48</v>
      </c>
      <c r="L444" s="34" t="s">
        <v>47</v>
      </c>
      <c r="M444">
        <v>-1.0880000000000001</v>
      </c>
    </row>
    <row r="445" spans="1:13" x14ac:dyDescent="0.3">
      <c r="A445" s="34" t="s">
        <v>662</v>
      </c>
      <c r="B445">
        <v>-1</v>
      </c>
      <c r="C445">
        <v>2050</v>
      </c>
      <c r="D445" s="34" t="s">
        <v>255</v>
      </c>
      <c r="E445" s="34" t="s">
        <v>396</v>
      </c>
      <c r="F445" s="34" t="s">
        <v>290</v>
      </c>
      <c r="G445" s="34" t="s">
        <v>270</v>
      </c>
      <c r="H445" s="34" t="s">
        <v>26</v>
      </c>
      <c r="I445" s="34" t="s">
        <v>19</v>
      </c>
      <c r="J445" s="34" t="s">
        <v>27</v>
      </c>
      <c r="K445" s="34" t="s">
        <v>46</v>
      </c>
      <c r="L445" s="34" t="s">
        <v>47</v>
      </c>
      <c r="M445">
        <v>0.19080000000000003</v>
      </c>
    </row>
    <row r="446" spans="1:13" x14ac:dyDescent="0.3">
      <c r="A446" s="34" t="s">
        <v>662</v>
      </c>
      <c r="B446">
        <v>-1</v>
      </c>
      <c r="C446">
        <v>2050</v>
      </c>
      <c r="D446" s="34" t="s">
        <v>255</v>
      </c>
      <c r="E446" s="34" t="s">
        <v>396</v>
      </c>
      <c r="F446" s="34" t="s">
        <v>290</v>
      </c>
      <c r="G446" s="34" t="s">
        <v>270</v>
      </c>
      <c r="H446" s="34" t="s">
        <v>26</v>
      </c>
      <c r="I446" s="34" t="s">
        <v>19</v>
      </c>
      <c r="J446" s="34" t="s">
        <v>27</v>
      </c>
      <c r="K446" s="34" t="s">
        <v>48</v>
      </c>
      <c r="L446" s="34" t="s">
        <v>47</v>
      </c>
      <c r="M446">
        <v>-0.19080000000000003</v>
      </c>
    </row>
    <row r="447" spans="1:13" x14ac:dyDescent="0.3">
      <c r="A447" s="34" t="s">
        <v>662</v>
      </c>
      <c r="B447">
        <v>-1</v>
      </c>
      <c r="C447">
        <v>2050</v>
      </c>
      <c r="D447" s="34" t="s">
        <v>255</v>
      </c>
      <c r="E447" s="34" t="s">
        <v>396</v>
      </c>
      <c r="F447" s="34" t="s">
        <v>290</v>
      </c>
      <c r="G447" s="34" t="s">
        <v>301</v>
      </c>
      <c r="H447" s="34" t="s">
        <v>40</v>
      </c>
      <c r="I447" s="34" t="s">
        <v>19</v>
      </c>
      <c r="J447" s="34" t="s">
        <v>27</v>
      </c>
      <c r="K447" s="34" t="s">
        <v>46</v>
      </c>
      <c r="L447" s="34" t="s">
        <v>47</v>
      </c>
      <c r="M447">
        <v>2.1259999999999999</v>
      </c>
    </row>
    <row r="448" spans="1:13" x14ac:dyDescent="0.3">
      <c r="A448" s="34" t="s">
        <v>662</v>
      </c>
      <c r="B448">
        <v>-1</v>
      </c>
      <c r="C448">
        <v>2050</v>
      </c>
      <c r="D448" s="34" t="s">
        <v>255</v>
      </c>
      <c r="E448" s="34" t="s">
        <v>396</v>
      </c>
      <c r="F448" s="34" t="s">
        <v>290</v>
      </c>
      <c r="G448" s="34" t="s">
        <v>301</v>
      </c>
      <c r="H448" s="34" t="s">
        <v>40</v>
      </c>
      <c r="I448" s="34" t="s">
        <v>19</v>
      </c>
      <c r="J448" s="34" t="s">
        <v>27</v>
      </c>
      <c r="K448" s="34" t="s">
        <v>48</v>
      </c>
      <c r="L448" s="34" t="s">
        <v>47</v>
      </c>
      <c r="M448">
        <v>-2.1259999999999999</v>
      </c>
    </row>
    <row r="449" spans="1:13" x14ac:dyDescent="0.3">
      <c r="A449" s="34" t="s">
        <v>662</v>
      </c>
      <c r="B449">
        <v>-1</v>
      </c>
      <c r="C449">
        <v>2050</v>
      </c>
      <c r="D449" s="34" t="s">
        <v>255</v>
      </c>
      <c r="E449" s="34" t="s">
        <v>396</v>
      </c>
      <c r="F449" s="34" t="s">
        <v>290</v>
      </c>
      <c r="G449" s="34" t="s">
        <v>302</v>
      </c>
      <c r="H449" s="34" t="s">
        <v>40</v>
      </c>
      <c r="I449" s="34" t="s">
        <v>19</v>
      </c>
      <c r="J449" s="34" t="s">
        <v>27</v>
      </c>
      <c r="K449" s="34" t="s">
        <v>46</v>
      </c>
      <c r="L449" s="34" t="s">
        <v>47</v>
      </c>
      <c r="M449">
        <v>1.4E-2</v>
      </c>
    </row>
    <row r="450" spans="1:13" x14ac:dyDescent="0.3">
      <c r="A450" s="34" t="s">
        <v>662</v>
      </c>
      <c r="B450">
        <v>-1</v>
      </c>
      <c r="C450">
        <v>2050</v>
      </c>
      <c r="D450" s="34" t="s">
        <v>255</v>
      </c>
      <c r="E450" s="34" t="s">
        <v>396</v>
      </c>
      <c r="F450" s="34" t="s">
        <v>290</v>
      </c>
      <c r="G450" s="34" t="s">
        <v>302</v>
      </c>
      <c r="H450" s="34" t="s">
        <v>40</v>
      </c>
      <c r="I450" s="34" t="s">
        <v>19</v>
      </c>
      <c r="J450" s="34" t="s">
        <v>27</v>
      </c>
      <c r="K450" s="34" t="s">
        <v>48</v>
      </c>
      <c r="L450" s="34" t="s">
        <v>47</v>
      </c>
      <c r="M450">
        <v>-1.4E-2</v>
      </c>
    </row>
    <row r="451" spans="1:13" x14ac:dyDescent="0.3">
      <c r="A451" s="34" t="s">
        <v>662</v>
      </c>
      <c r="B451">
        <v>-1</v>
      </c>
      <c r="C451">
        <v>2050</v>
      </c>
      <c r="D451" s="34" t="s">
        <v>255</v>
      </c>
      <c r="E451" s="34" t="s">
        <v>396</v>
      </c>
      <c r="F451" s="34" t="s">
        <v>290</v>
      </c>
      <c r="G451" s="34" t="s">
        <v>303</v>
      </c>
      <c r="H451" s="34" t="s">
        <v>40</v>
      </c>
      <c r="I451" s="34" t="s">
        <v>203</v>
      </c>
      <c r="J451" s="34" t="s">
        <v>204</v>
      </c>
      <c r="K451" s="34" t="s">
        <v>46</v>
      </c>
      <c r="L451" s="34" t="s">
        <v>47</v>
      </c>
      <c r="M451">
        <v>1.2415565763909628</v>
      </c>
    </row>
    <row r="452" spans="1:13" x14ac:dyDescent="0.3">
      <c r="A452" s="34" t="s">
        <v>662</v>
      </c>
      <c r="B452">
        <v>-1</v>
      </c>
      <c r="C452">
        <v>2050</v>
      </c>
      <c r="D452" s="34" t="s">
        <v>255</v>
      </c>
      <c r="E452" s="34" t="s">
        <v>396</v>
      </c>
      <c r="F452" s="34" t="s">
        <v>290</v>
      </c>
      <c r="G452" s="34" t="s">
        <v>303</v>
      </c>
      <c r="H452" s="34" t="s">
        <v>40</v>
      </c>
      <c r="I452" s="34" t="s">
        <v>203</v>
      </c>
      <c r="J452" s="34" t="s">
        <v>204</v>
      </c>
      <c r="K452" s="34" t="s">
        <v>48</v>
      </c>
      <c r="L452" s="34" t="s">
        <v>47</v>
      </c>
      <c r="M452">
        <v>-1.2415565763909628</v>
      </c>
    </row>
    <row r="453" spans="1:13" x14ac:dyDescent="0.3">
      <c r="A453" s="34" t="s">
        <v>662</v>
      </c>
      <c r="B453">
        <v>-1</v>
      </c>
      <c r="C453">
        <v>2050</v>
      </c>
      <c r="D453" s="34" t="s">
        <v>255</v>
      </c>
      <c r="E453" s="34" t="s">
        <v>396</v>
      </c>
      <c r="F453" s="34" t="s">
        <v>290</v>
      </c>
      <c r="G453" s="34" t="s">
        <v>303</v>
      </c>
      <c r="H453" s="34" t="s">
        <v>40</v>
      </c>
      <c r="I453" s="34" t="s">
        <v>19</v>
      </c>
      <c r="J453" s="34" t="s">
        <v>204</v>
      </c>
      <c r="K453" s="34" t="s">
        <v>46</v>
      </c>
      <c r="L453" s="34" t="s">
        <v>47</v>
      </c>
      <c r="M453">
        <v>0.74</v>
      </c>
    </row>
    <row r="454" spans="1:13" x14ac:dyDescent="0.3">
      <c r="A454" s="34" t="s">
        <v>662</v>
      </c>
      <c r="B454">
        <v>-1</v>
      </c>
      <c r="C454">
        <v>2050</v>
      </c>
      <c r="D454" s="34" t="s">
        <v>255</v>
      </c>
      <c r="E454" s="34" t="s">
        <v>396</v>
      </c>
      <c r="F454" s="34" t="s">
        <v>290</v>
      </c>
      <c r="G454" s="34" t="s">
        <v>303</v>
      </c>
      <c r="H454" s="34" t="s">
        <v>40</v>
      </c>
      <c r="I454" s="34" t="s">
        <v>19</v>
      </c>
      <c r="J454" s="34" t="s">
        <v>204</v>
      </c>
      <c r="K454" s="34" t="s">
        <v>48</v>
      </c>
      <c r="L454" s="34" t="s">
        <v>47</v>
      </c>
      <c r="M454">
        <v>-0.74</v>
      </c>
    </row>
    <row r="455" spans="1:13" x14ac:dyDescent="0.3">
      <c r="A455" s="34" t="s">
        <v>662</v>
      </c>
      <c r="B455">
        <v>-1</v>
      </c>
      <c r="C455">
        <v>2050</v>
      </c>
      <c r="D455" s="34" t="s">
        <v>255</v>
      </c>
      <c r="E455" s="34" t="s">
        <v>396</v>
      </c>
      <c r="F455" s="34" t="s">
        <v>290</v>
      </c>
      <c r="G455" s="34" t="s">
        <v>304</v>
      </c>
      <c r="H455" s="34" t="s">
        <v>40</v>
      </c>
      <c r="I455" s="34" t="s">
        <v>203</v>
      </c>
      <c r="J455" s="34" t="s">
        <v>204</v>
      </c>
      <c r="K455" s="34" t="s">
        <v>46</v>
      </c>
      <c r="L455" s="34" t="s">
        <v>47</v>
      </c>
      <c r="M455">
        <v>0.77161063443541056</v>
      </c>
    </row>
    <row r="456" spans="1:13" x14ac:dyDescent="0.3">
      <c r="A456" s="34" t="s">
        <v>662</v>
      </c>
      <c r="B456">
        <v>-1</v>
      </c>
      <c r="C456">
        <v>2050</v>
      </c>
      <c r="D456" s="34" t="s">
        <v>255</v>
      </c>
      <c r="E456" s="34" t="s">
        <v>396</v>
      </c>
      <c r="F456" s="34" t="s">
        <v>290</v>
      </c>
      <c r="G456" s="34" t="s">
        <v>304</v>
      </c>
      <c r="H456" s="34" t="s">
        <v>40</v>
      </c>
      <c r="I456" s="34" t="s">
        <v>203</v>
      </c>
      <c r="J456" s="34" t="s">
        <v>204</v>
      </c>
      <c r="K456" s="34" t="s">
        <v>48</v>
      </c>
      <c r="L456" s="34" t="s">
        <v>47</v>
      </c>
      <c r="M456">
        <v>-0.77161063443541056</v>
      </c>
    </row>
    <row r="457" spans="1:13" x14ac:dyDescent="0.3">
      <c r="A457" s="34" t="s">
        <v>662</v>
      </c>
      <c r="B457">
        <v>-1</v>
      </c>
      <c r="C457">
        <v>2050</v>
      </c>
      <c r="D457" s="34" t="s">
        <v>255</v>
      </c>
      <c r="E457" s="34" t="s">
        <v>396</v>
      </c>
      <c r="F457" s="34" t="s">
        <v>290</v>
      </c>
      <c r="G457" s="34" t="s">
        <v>304</v>
      </c>
      <c r="H457" s="34" t="s">
        <v>40</v>
      </c>
      <c r="I457" s="34" t="s">
        <v>19</v>
      </c>
      <c r="J457" s="34" t="s">
        <v>204</v>
      </c>
      <c r="K457" s="34" t="s">
        <v>46</v>
      </c>
      <c r="L457" s="34" t="s">
        <v>47</v>
      </c>
      <c r="M457">
        <v>0.45989999999999998</v>
      </c>
    </row>
    <row r="458" spans="1:13" x14ac:dyDescent="0.3">
      <c r="A458" s="34" t="s">
        <v>662</v>
      </c>
      <c r="B458">
        <v>-1</v>
      </c>
      <c r="C458">
        <v>2050</v>
      </c>
      <c r="D458" s="34" t="s">
        <v>255</v>
      </c>
      <c r="E458" s="34" t="s">
        <v>396</v>
      </c>
      <c r="F458" s="34" t="s">
        <v>290</v>
      </c>
      <c r="G458" s="34" t="s">
        <v>304</v>
      </c>
      <c r="H458" s="34" t="s">
        <v>40</v>
      </c>
      <c r="I458" s="34" t="s">
        <v>19</v>
      </c>
      <c r="J458" s="34" t="s">
        <v>204</v>
      </c>
      <c r="K458" s="34" t="s">
        <v>48</v>
      </c>
      <c r="L458" s="34" t="s">
        <v>47</v>
      </c>
      <c r="M458">
        <v>-0.45989999999999998</v>
      </c>
    </row>
    <row r="459" spans="1:13" x14ac:dyDescent="0.3">
      <c r="A459" s="34" t="s">
        <v>662</v>
      </c>
      <c r="B459">
        <v>-1</v>
      </c>
      <c r="C459">
        <v>2050</v>
      </c>
      <c r="D459" s="34" t="s">
        <v>255</v>
      </c>
      <c r="E459" s="34" t="s">
        <v>396</v>
      </c>
      <c r="F459" s="34" t="s">
        <v>290</v>
      </c>
      <c r="G459" s="34" t="s">
        <v>253</v>
      </c>
      <c r="H459" s="34" t="s">
        <v>254</v>
      </c>
      <c r="I459" s="34" t="s">
        <v>19</v>
      </c>
      <c r="J459" s="34" t="s">
        <v>27</v>
      </c>
      <c r="K459" s="34" t="s">
        <v>46</v>
      </c>
      <c r="L459" s="34" t="s">
        <v>47</v>
      </c>
      <c r="M459">
        <v>2.6960000000000002</v>
      </c>
    </row>
    <row r="460" spans="1:13" x14ac:dyDescent="0.3">
      <c r="A460" s="34" t="s">
        <v>662</v>
      </c>
      <c r="B460">
        <v>-1</v>
      </c>
      <c r="C460">
        <v>2050</v>
      </c>
      <c r="D460" s="34" t="s">
        <v>255</v>
      </c>
      <c r="E460" s="34" t="s">
        <v>396</v>
      </c>
      <c r="F460" s="34" t="s">
        <v>290</v>
      </c>
      <c r="G460" s="34" t="s">
        <v>253</v>
      </c>
      <c r="H460" s="34" t="s">
        <v>254</v>
      </c>
      <c r="I460" s="34" t="s">
        <v>19</v>
      </c>
      <c r="J460" s="34" t="s">
        <v>27</v>
      </c>
      <c r="K460" s="34" t="s">
        <v>48</v>
      </c>
      <c r="L460" s="34" t="s">
        <v>47</v>
      </c>
      <c r="M460">
        <v>-2.6960000000000002</v>
      </c>
    </row>
    <row r="461" spans="1:13" x14ac:dyDescent="0.3">
      <c r="A461" s="34" t="s">
        <v>662</v>
      </c>
      <c r="B461">
        <v>-1</v>
      </c>
      <c r="C461">
        <v>2050</v>
      </c>
      <c r="D461" s="34" t="s">
        <v>255</v>
      </c>
      <c r="E461" s="34" t="s">
        <v>396</v>
      </c>
      <c r="F461" s="34" t="s">
        <v>290</v>
      </c>
      <c r="G461" s="34" t="s">
        <v>11</v>
      </c>
      <c r="H461" s="34" t="s">
        <v>12</v>
      </c>
      <c r="I461" s="34" t="s">
        <v>13</v>
      </c>
      <c r="J461" s="34" t="s">
        <v>14</v>
      </c>
      <c r="K461" s="34" t="s">
        <v>46</v>
      </c>
      <c r="L461" s="34" t="s">
        <v>47</v>
      </c>
      <c r="M461">
        <v>4.1020000000000003</v>
      </c>
    </row>
    <row r="462" spans="1:13" x14ac:dyDescent="0.3">
      <c r="A462" s="34" t="s">
        <v>662</v>
      </c>
      <c r="B462">
        <v>-1</v>
      </c>
      <c r="C462">
        <v>2050</v>
      </c>
      <c r="D462" s="34" t="s">
        <v>255</v>
      </c>
      <c r="E462" s="34" t="s">
        <v>396</v>
      </c>
      <c r="F462" s="34" t="s">
        <v>290</v>
      </c>
      <c r="G462" s="34" t="s">
        <v>11</v>
      </c>
      <c r="H462" s="34" t="s">
        <v>12</v>
      </c>
      <c r="I462" s="34" t="s">
        <v>13</v>
      </c>
      <c r="J462" s="34" t="s">
        <v>14</v>
      </c>
      <c r="K462" s="34" t="s">
        <v>48</v>
      </c>
      <c r="L462" s="34" t="s">
        <v>47</v>
      </c>
      <c r="M462">
        <v>-1.0250000000000015</v>
      </c>
    </row>
    <row r="463" spans="1:13" x14ac:dyDescent="0.3">
      <c r="A463" s="34" t="s">
        <v>662</v>
      </c>
      <c r="B463">
        <v>-1</v>
      </c>
      <c r="C463">
        <v>2050</v>
      </c>
      <c r="D463" s="34" t="s">
        <v>255</v>
      </c>
      <c r="E463" s="34" t="s">
        <v>396</v>
      </c>
      <c r="F463" s="34" t="s">
        <v>290</v>
      </c>
      <c r="G463" s="34" t="s">
        <v>392</v>
      </c>
      <c r="H463" s="34" t="s">
        <v>13</v>
      </c>
      <c r="I463" s="34" t="s">
        <v>13</v>
      </c>
      <c r="J463" s="34" t="s">
        <v>17</v>
      </c>
      <c r="K463" s="34" t="s">
        <v>49</v>
      </c>
      <c r="L463" s="34" t="s">
        <v>47</v>
      </c>
      <c r="M463">
        <v>5.630630725059814</v>
      </c>
    </row>
    <row r="464" spans="1:13" x14ac:dyDescent="0.3">
      <c r="A464" s="34" t="s">
        <v>662</v>
      </c>
      <c r="B464">
        <v>-1</v>
      </c>
      <c r="C464">
        <v>2050</v>
      </c>
      <c r="D464" s="34" t="s">
        <v>255</v>
      </c>
      <c r="E464" s="34" t="s">
        <v>396</v>
      </c>
      <c r="F464" s="34" t="s">
        <v>290</v>
      </c>
      <c r="G464" s="34" t="s">
        <v>41</v>
      </c>
      <c r="H464" s="34" t="s">
        <v>40</v>
      </c>
      <c r="I464" s="34" t="s">
        <v>13</v>
      </c>
      <c r="J464" s="34" t="s">
        <v>42</v>
      </c>
      <c r="K464" s="34" t="s">
        <v>46</v>
      </c>
      <c r="L464" s="34" t="s">
        <v>47</v>
      </c>
      <c r="M464">
        <v>2.531389806463693</v>
      </c>
    </row>
    <row r="465" spans="1:13" x14ac:dyDescent="0.3">
      <c r="A465" s="34" t="s">
        <v>662</v>
      </c>
      <c r="B465">
        <v>-1</v>
      </c>
      <c r="C465">
        <v>2050</v>
      </c>
      <c r="D465" s="34" t="s">
        <v>255</v>
      </c>
      <c r="E465" s="34" t="s">
        <v>396</v>
      </c>
      <c r="F465" s="34" t="s">
        <v>290</v>
      </c>
      <c r="G465" s="34" t="s">
        <v>41</v>
      </c>
      <c r="H465" s="34" t="s">
        <v>40</v>
      </c>
      <c r="I465" s="34" t="s">
        <v>13</v>
      </c>
      <c r="J465" s="34" t="s">
        <v>42</v>
      </c>
      <c r="K465" s="34" t="s">
        <v>49</v>
      </c>
      <c r="L465" s="34" t="s">
        <v>47</v>
      </c>
      <c r="M465">
        <v>-3.1832314562052488E-16</v>
      </c>
    </row>
    <row r="466" spans="1:13" x14ac:dyDescent="0.3">
      <c r="A466" s="34" t="s">
        <v>662</v>
      </c>
      <c r="B466">
        <v>-1</v>
      </c>
      <c r="C466">
        <v>2050</v>
      </c>
      <c r="D466" s="34" t="s">
        <v>255</v>
      </c>
      <c r="E466" s="34" t="s">
        <v>396</v>
      </c>
      <c r="F466" s="34" t="s">
        <v>290</v>
      </c>
      <c r="G466" s="34" t="s">
        <v>41</v>
      </c>
      <c r="H466" s="34" t="s">
        <v>40</v>
      </c>
      <c r="I466" s="34" t="s">
        <v>13</v>
      </c>
      <c r="J466" s="34" t="s">
        <v>42</v>
      </c>
      <c r="K466" s="34" t="s">
        <v>48</v>
      </c>
      <c r="L466" s="34" t="s">
        <v>47</v>
      </c>
      <c r="M466">
        <v>-2.5313898064636926</v>
      </c>
    </row>
    <row r="467" spans="1:13" x14ac:dyDescent="0.3">
      <c r="A467" s="34" t="s">
        <v>662</v>
      </c>
      <c r="B467">
        <v>-1</v>
      </c>
      <c r="C467">
        <v>2050</v>
      </c>
      <c r="D467" s="34" t="s">
        <v>255</v>
      </c>
      <c r="E467" s="34" t="s">
        <v>396</v>
      </c>
      <c r="F467" s="34" t="s">
        <v>599</v>
      </c>
      <c r="G467" s="34" t="s">
        <v>28</v>
      </c>
      <c r="H467" s="34" t="s">
        <v>23</v>
      </c>
      <c r="I467" s="34" t="s">
        <v>19</v>
      </c>
      <c r="J467" s="34" t="s">
        <v>24</v>
      </c>
      <c r="K467" s="34" t="s">
        <v>46</v>
      </c>
      <c r="L467" s="34" t="s">
        <v>47</v>
      </c>
      <c r="M467">
        <v>41.962900000000005</v>
      </c>
    </row>
    <row r="468" spans="1:13" x14ac:dyDescent="0.3">
      <c r="A468" s="34" t="s">
        <v>662</v>
      </c>
      <c r="B468">
        <v>-1</v>
      </c>
      <c r="C468">
        <v>2050</v>
      </c>
      <c r="D468" s="34" t="s">
        <v>255</v>
      </c>
      <c r="E468" s="34" t="s">
        <v>396</v>
      </c>
      <c r="F468" s="34" t="s">
        <v>599</v>
      </c>
      <c r="G468" s="34" t="s">
        <v>28</v>
      </c>
      <c r="H468" s="34" t="s">
        <v>23</v>
      </c>
      <c r="I468" s="34" t="s">
        <v>19</v>
      </c>
      <c r="J468" s="34" t="s">
        <v>24</v>
      </c>
      <c r="K468" s="34" t="s">
        <v>48</v>
      </c>
      <c r="L468" s="34" t="s">
        <v>47</v>
      </c>
      <c r="M468">
        <v>-41.962900000000005</v>
      </c>
    </row>
    <row r="469" spans="1:13" x14ac:dyDescent="0.3">
      <c r="A469" s="34" t="s">
        <v>662</v>
      </c>
      <c r="B469">
        <v>-1</v>
      </c>
      <c r="C469">
        <v>2050</v>
      </c>
      <c r="D469" s="34" t="s">
        <v>255</v>
      </c>
      <c r="E469" s="34" t="s">
        <v>396</v>
      </c>
      <c r="F469" s="34" t="s">
        <v>599</v>
      </c>
      <c r="G469" s="34" t="s">
        <v>222</v>
      </c>
      <c r="H469" s="34" t="s">
        <v>21</v>
      </c>
      <c r="I469" s="34" t="s">
        <v>19</v>
      </c>
      <c r="J469" s="34" t="s">
        <v>223</v>
      </c>
      <c r="K469" s="34" t="s">
        <v>46</v>
      </c>
      <c r="L469" s="34" t="s">
        <v>47</v>
      </c>
      <c r="M469">
        <v>9.3972999999999995</v>
      </c>
    </row>
    <row r="470" spans="1:13" x14ac:dyDescent="0.3">
      <c r="A470" s="34" t="s">
        <v>662</v>
      </c>
      <c r="B470">
        <v>-1</v>
      </c>
      <c r="C470">
        <v>2050</v>
      </c>
      <c r="D470" s="34" t="s">
        <v>255</v>
      </c>
      <c r="E470" s="34" t="s">
        <v>396</v>
      </c>
      <c r="F470" s="34" t="s">
        <v>599</v>
      </c>
      <c r="G470" s="34" t="s">
        <v>222</v>
      </c>
      <c r="H470" s="34" t="s">
        <v>21</v>
      </c>
      <c r="I470" s="34" t="s">
        <v>19</v>
      </c>
      <c r="J470" s="34" t="s">
        <v>223</v>
      </c>
      <c r="K470" s="34" t="s">
        <v>48</v>
      </c>
      <c r="L470" s="34" t="s">
        <v>47</v>
      </c>
      <c r="M470">
        <v>-9.3972999999999995</v>
      </c>
    </row>
    <row r="471" spans="1:13" x14ac:dyDescent="0.3">
      <c r="A471" s="34" t="s">
        <v>662</v>
      </c>
      <c r="B471">
        <v>-1</v>
      </c>
      <c r="C471">
        <v>2050</v>
      </c>
      <c r="D471" s="34" t="s">
        <v>255</v>
      </c>
      <c r="E471" s="34" t="s">
        <v>396</v>
      </c>
      <c r="F471" s="34" t="s">
        <v>599</v>
      </c>
      <c r="G471" s="34" t="s">
        <v>29</v>
      </c>
      <c r="H471" s="34" t="s">
        <v>21</v>
      </c>
      <c r="I471" s="34" t="s">
        <v>19</v>
      </c>
      <c r="J471" s="34" t="s">
        <v>22</v>
      </c>
      <c r="K471" s="34" t="s">
        <v>46</v>
      </c>
      <c r="L471" s="34" t="s">
        <v>47</v>
      </c>
      <c r="M471">
        <v>10.763824946000002</v>
      </c>
    </row>
    <row r="472" spans="1:13" x14ac:dyDescent="0.3">
      <c r="A472" s="34" t="s">
        <v>662</v>
      </c>
      <c r="B472">
        <v>-1</v>
      </c>
      <c r="C472">
        <v>2050</v>
      </c>
      <c r="D472" s="34" t="s">
        <v>255</v>
      </c>
      <c r="E472" s="34" t="s">
        <v>396</v>
      </c>
      <c r="F472" s="34" t="s">
        <v>599</v>
      </c>
      <c r="G472" s="34" t="s">
        <v>29</v>
      </c>
      <c r="H472" s="34" t="s">
        <v>21</v>
      </c>
      <c r="I472" s="34" t="s">
        <v>19</v>
      </c>
      <c r="J472" s="34" t="s">
        <v>22</v>
      </c>
      <c r="K472" s="34" t="s">
        <v>48</v>
      </c>
      <c r="L472" s="34" t="s">
        <v>47</v>
      </c>
      <c r="M472">
        <v>-10.763824946000002</v>
      </c>
    </row>
    <row r="473" spans="1:13" x14ac:dyDescent="0.3">
      <c r="A473" s="34" t="s">
        <v>662</v>
      </c>
      <c r="B473">
        <v>-1</v>
      </c>
      <c r="C473">
        <v>2050</v>
      </c>
      <c r="D473" s="34" t="s">
        <v>255</v>
      </c>
      <c r="E473" s="34" t="s">
        <v>396</v>
      </c>
      <c r="F473" s="34" t="s">
        <v>599</v>
      </c>
      <c r="G473" s="34" t="s">
        <v>20</v>
      </c>
      <c r="H473" s="34" t="s">
        <v>21</v>
      </c>
      <c r="I473" s="34" t="s">
        <v>19</v>
      </c>
      <c r="J473" s="34" t="s">
        <v>22</v>
      </c>
      <c r="K473" s="34" t="s">
        <v>46</v>
      </c>
      <c r="L473" s="34" t="s">
        <v>47</v>
      </c>
      <c r="M473">
        <v>29.044389956</v>
      </c>
    </row>
    <row r="474" spans="1:13" x14ac:dyDescent="0.3">
      <c r="A474" s="34" t="s">
        <v>662</v>
      </c>
      <c r="B474">
        <v>-1</v>
      </c>
      <c r="C474">
        <v>2050</v>
      </c>
      <c r="D474" s="34" t="s">
        <v>255</v>
      </c>
      <c r="E474" s="34" t="s">
        <v>396</v>
      </c>
      <c r="F474" s="34" t="s">
        <v>599</v>
      </c>
      <c r="G474" s="34" t="s">
        <v>20</v>
      </c>
      <c r="H474" s="34" t="s">
        <v>21</v>
      </c>
      <c r="I474" s="34" t="s">
        <v>19</v>
      </c>
      <c r="J474" s="34" t="s">
        <v>22</v>
      </c>
      <c r="K474" s="34" t="s">
        <v>48</v>
      </c>
      <c r="L474" s="34" t="s">
        <v>47</v>
      </c>
      <c r="M474">
        <v>-29.044389956</v>
      </c>
    </row>
    <row r="475" spans="1:13" x14ac:dyDescent="0.3">
      <c r="A475" s="34" t="s">
        <v>662</v>
      </c>
      <c r="B475">
        <v>-1</v>
      </c>
      <c r="C475">
        <v>2050</v>
      </c>
      <c r="D475" s="34" t="s">
        <v>255</v>
      </c>
      <c r="E475" s="34" t="s">
        <v>396</v>
      </c>
      <c r="F475" s="34" t="s">
        <v>599</v>
      </c>
      <c r="G475" s="34" t="s">
        <v>30</v>
      </c>
      <c r="H475" s="34" t="s">
        <v>21</v>
      </c>
      <c r="I475" s="34" t="s">
        <v>19</v>
      </c>
      <c r="J475" s="34" t="s">
        <v>22</v>
      </c>
      <c r="K475" s="34" t="s">
        <v>46</v>
      </c>
      <c r="L475" s="34" t="s">
        <v>47</v>
      </c>
      <c r="M475">
        <v>10.552863769</v>
      </c>
    </row>
    <row r="476" spans="1:13" x14ac:dyDescent="0.3">
      <c r="A476" s="34" t="s">
        <v>662</v>
      </c>
      <c r="B476">
        <v>-1</v>
      </c>
      <c r="C476">
        <v>2050</v>
      </c>
      <c r="D476" s="34" t="s">
        <v>255</v>
      </c>
      <c r="E476" s="34" t="s">
        <v>396</v>
      </c>
      <c r="F476" s="34" t="s">
        <v>599</v>
      </c>
      <c r="G476" s="34" t="s">
        <v>30</v>
      </c>
      <c r="H476" s="34" t="s">
        <v>21</v>
      </c>
      <c r="I476" s="34" t="s">
        <v>19</v>
      </c>
      <c r="J476" s="34" t="s">
        <v>22</v>
      </c>
      <c r="K476" s="34" t="s">
        <v>48</v>
      </c>
      <c r="L476" s="34" t="s">
        <v>47</v>
      </c>
      <c r="M476">
        <v>-10.552863768999998</v>
      </c>
    </row>
    <row r="477" spans="1:13" x14ac:dyDescent="0.3">
      <c r="A477" s="34" t="s">
        <v>662</v>
      </c>
      <c r="B477">
        <v>-1</v>
      </c>
      <c r="C477">
        <v>2050</v>
      </c>
      <c r="D477" s="34" t="s">
        <v>255</v>
      </c>
      <c r="E477" s="34" t="s">
        <v>396</v>
      </c>
      <c r="F477" s="34" t="s">
        <v>599</v>
      </c>
      <c r="G477" s="34" t="s">
        <v>644</v>
      </c>
      <c r="H477" s="34" t="s">
        <v>21</v>
      </c>
      <c r="I477" s="34" t="s">
        <v>19</v>
      </c>
      <c r="J477" s="34" t="s">
        <v>22</v>
      </c>
      <c r="K477" s="34" t="s">
        <v>49</v>
      </c>
      <c r="L477" s="34" t="s">
        <v>47</v>
      </c>
      <c r="M477">
        <v>98.69999999999996</v>
      </c>
    </row>
    <row r="478" spans="1:13" x14ac:dyDescent="0.3">
      <c r="A478" s="34" t="s">
        <v>662</v>
      </c>
      <c r="B478">
        <v>-1</v>
      </c>
      <c r="C478">
        <v>2050</v>
      </c>
      <c r="D478" s="34" t="s">
        <v>255</v>
      </c>
      <c r="E478" s="34" t="s">
        <v>396</v>
      </c>
      <c r="F478" s="34" t="s">
        <v>599</v>
      </c>
      <c r="G478" s="34" t="s">
        <v>645</v>
      </c>
      <c r="H478" s="34" t="s">
        <v>23</v>
      </c>
      <c r="I478" s="34" t="s">
        <v>19</v>
      </c>
      <c r="J478" s="34" t="s">
        <v>24</v>
      </c>
      <c r="K478" s="34" t="s">
        <v>49</v>
      </c>
      <c r="L478" s="34" t="s">
        <v>47</v>
      </c>
      <c r="M478">
        <v>7.3706268008608165</v>
      </c>
    </row>
    <row r="479" spans="1:13" x14ac:dyDescent="0.3">
      <c r="A479" s="34" t="s">
        <v>662</v>
      </c>
      <c r="B479">
        <v>-1</v>
      </c>
      <c r="C479">
        <v>2050</v>
      </c>
      <c r="D479" s="34" t="s">
        <v>305</v>
      </c>
      <c r="E479" s="34" t="s">
        <v>306</v>
      </c>
      <c r="F479" s="34" t="s">
        <v>463</v>
      </c>
      <c r="G479" s="34" t="s">
        <v>464</v>
      </c>
      <c r="H479" s="34" t="s">
        <v>40</v>
      </c>
      <c r="I479" s="34" t="s">
        <v>19</v>
      </c>
      <c r="J479" s="34" t="s">
        <v>27</v>
      </c>
      <c r="K479" s="34" t="s">
        <v>46</v>
      </c>
      <c r="L479" s="34" t="s">
        <v>47</v>
      </c>
      <c r="M479">
        <v>10.734</v>
      </c>
    </row>
    <row r="480" spans="1:13" x14ac:dyDescent="0.3">
      <c r="A480" s="34" t="s">
        <v>662</v>
      </c>
      <c r="B480">
        <v>-1</v>
      </c>
      <c r="C480">
        <v>2050</v>
      </c>
      <c r="D480" s="34" t="s">
        <v>305</v>
      </c>
      <c r="E480" s="34" t="s">
        <v>306</v>
      </c>
      <c r="F480" s="34" t="s">
        <v>463</v>
      </c>
      <c r="G480" s="34" t="s">
        <v>464</v>
      </c>
      <c r="H480" s="34" t="s">
        <v>40</v>
      </c>
      <c r="I480" s="34" t="s">
        <v>19</v>
      </c>
      <c r="J480" s="34" t="s">
        <v>27</v>
      </c>
      <c r="K480" s="34" t="s">
        <v>48</v>
      </c>
      <c r="L480" s="34" t="s">
        <v>47</v>
      </c>
      <c r="M480">
        <v>-10.734</v>
      </c>
    </row>
    <row r="481" spans="1:13" x14ac:dyDescent="0.3">
      <c r="A481" s="34" t="s">
        <v>662</v>
      </c>
      <c r="B481">
        <v>-1</v>
      </c>
      <c r="C481">
        <v>2050</v>
      </c>
      <c r="D481" s="34" t="s">
        <v>305</v>
      </c>
      <c r="E481" s="34" t="s">
        <v>306</v>
      </c>
      <c r="F481" s="34" t="s">
        <v>463</v>
      </c>
      <c r="G481" s="34" t="s">
        <v>180</v>
      </c>
      <c r="H481" s="34" t="s">
        <v>18</v>
      </c>
      <c r="I481" s="34" t="s">
        <v>19</v>
      </c>
      <c r="J481" s="34" t="s">
        <v>181</v>
      </c>
      <c r="K481" s="34" t="s">
        <v>46</v>
      </c>
      <c r="L481" s="34" t="s">
        <v>47</v>
      </c>
      <c r="M481">
        <v>3.7999999999999999E-2</v>
      </c>
    </row>
    <row r="482" spans="1:13" x14ac:dyDescent="0.3">
      <c r="A482" s="34" t="s">
        <v>662</v>
      </c>
      <c r="B482">
        <v>-1</v>
      </c>
      <c r="C482">
        <v>2050</v>
      </c>
      <c r="D482" s="34" t="s">
        <v>305</v>
      </c>
      <c r="E482" s="34" t="s">
        <v>306</v>
      </c>
      <c r="F482" s="34" t="s">
        <v>463</v>
      </c>
      <c r="G482" s="34" t="s">
        <v>446</v>
      </c>
      <c r="H482" s="34" t="s">
        <v>39</v>
      </c>
      <c r="I482" s="34" t="s">
        <v>19</v>
      </c>
      <c r="J482" s="34" t="s">
        <v>27</v>
      </c>
      <c r="K482" s="34" t="s">
        <v>46</v>
      </c>
      <c r="L482" s="34" t="s">
        <v>47</v>
      </c>
      <c r="M482">
        <v>5.6580000000000004</v>
      </c>
    </row>
    <row r="483" spans="1:13" x14ac:dyDescent="0.3">
      <c r="A483" s="34" t="s">
        <v>662</v>
      </c>
      <c r="B483">
        <v>-1</v>
      </c>
      <c r="C483">
        <v>2050</v>
      </c>
      <c r="D483" s="34" t="s">
        <v>305</v>
      </c>
      <c r="E483" s="34" t="s">
        <v>306</v>
      </c>
      <c r="F483" s="34" t="s">
        <v>463</v>
      </c>
      <c r="G483" s="34" t="s">
        <v>446</v>
      </c>
      <c r="H483" s="34" t="s">
        <v>39</v>
      </c>
      <c r="I483" s="34" t="s">
        <v>19</v>
      </c>
      <c r="J483" s="34" t="s">
        <v>27</v>
      </c>
      <c r="K483" s="34" t="s">
        <v>48</v>
      </c>
      <c r="L483" s="34" t="s">
        <v>47</v>
      </c>
      <c r="M483">
        <v>-5.6580000000000004</v>
      </c>
    </row>
    <row r="484" spans="1:13" x14ac:dyDescent="0.3">
      <c r="A484" s="34" t="s">
        <v>662</v>
      </c>
      <c r="B484">
        <v>-1</v>
      </c>
      <c r="C484">
        <v>2050</v>
      </c>
      <c r="D484" s="34" t="s">
        <v>305</v>
      </c>
      <c r="E484" s="34" t="s">
        <v>306</v>
      </c>
      <c r="F484" s="34" t="s">
        <v>463</v>
      </c>
      <c r="G484" s="34" t="s">
        <v>307</v>
      </c>
      <c r="H484" s="34" t="s">
        <v>26</v>
      </c>
      <c r="I484" s="34" t="s">
        <v>19</v>
      </c>
      <c r="J484" s="34" t="s">
        <v>27</v>
      </c>
      <c r="K484" s="34" t="s">
        <v>46</v>
      </c>
      <c r="L484" s="34" t="s">
        <v>47</v>
      </c>
      <c r="M484">
        <v>0.75800000000000001</v>
      </c>
    </row>
    <row r="485" spans="1:13" x14ac:dyDescent="0.3">
      <c r="A485" s="34" t="s">
        <v>662</v>
      </c>
      <c r="B485">
        <v>-1</v>
      </c>
      <c r="C485">
        <v>2050</v>
      </c>
      <c r="D485" s="34" t="s">
        <v>305</v>
      </c>
      <c r="E485" s="34" t="s">
        <v>306</v>
      </c>
      <c r="F485" s="34" t="s">
        <v>463</v>
      </c>
      <c r="G485" s="34" t="s">
        <v>307</v>
      </c>
      <c r="H485" s="34" t="s">
        <v>26</v>
      </c>
      <c r="I485" s="34" t="s">
        <v>19</v>
      </c>
      <c r="J485" s="34" t="s">
        <v>27</v>
      </c>
      <c r="K485" s="34" t="s">
        <v>48</v>
      </c>
      <c r="L485" s="34" t="s">
        <v>47</v>
      </c>
      <c r="M485">
        <v>-0.75800000000000001</v>
      </c>
    </row>
    <row r="486" spans="1:13" x14ac:dyDescent="0.3">
      <c r="A486" s="34" t="s">
        <v>662</v>
      </c>
      <c r="B486">
        <v>-1</v>
      </c>
      <c r="C486">
        <v>2050</v>
      </c>
      <c r="D486" s="34" t="s">
        <v>305</v>
      </c>
      <c r="E486" s="34" t="s">
        <v>306</v>
      </c>
      <c r="F486" s="34" t="s">
        <v>463</v>
      </c>
      <c r="G486" s="34" t="s">
        <v>253</v>
      </c>
      <c r="H486" s="34" t="s">
        <v>254</v>
      </c>
      <c r="I486" s="34" t="s">
        <v>19</v>
      </c>
      <c r="J486" s="34" t="s">
        <v>27</v>
      </c>
      <c r="K486" s="34" t="s">
        <v>46</v>
      </c>
      <c r="L486" s="34" t="s">
        <v>47</v>
      </c>
      <c r="M486">
        <v>0.48499999999999999</v>
      </c>
    </row>
    <row r="487" spans="1:13" x14ac:dyDescent="0.3">
      <c r="A487" s="34" t="s">
        <v>662</v>
      </c>
      <c r="B487">
        <v>-1</v>
      </c>
      <c r="C487">
        <v>2050</v>
      </c>
      <c r="D487" s="34" t="s">
        <v>305</v>
      </c>
      <c r="E487" s="34" t="s">
        <v>306</v>
      </c>
      <c r="F487" s="34" t="s">
        <v>463</v>
      </c>
      <c r="G487" s="34" t="s">
        <v>253</v>
      </c>
      <c r="H487" s="34" t="s">
        <v>254</v>
      </c>
      <c r="I487" s="34" t="s">
        <v>19</v>
      </c>
      <c r="J487" s="34" t="s">
        <v>27</v>
      </c>
      <c r="K487" s="34" t="s">
        <v>48</v>
      </c>
      <c r="L487" s="34" t="s">
        <v>47</v>
      </c>
      <c r="M487">
        <v>-0.48499999999999999</v>
      </c>
    </row>
    <row r="488" spans="1:13" x14ac:dyDescent="0.3">
      <c r="A488" s="34" t="s">
        <v>662</v>
      </c>
      <c r="B488">
        <v>-1</v>
      </c>
      <c r="C488">
        <v>2050</v>
      </c>
      <c r="D488" s="34" t="s">
        <v>305</v>
      </c>
      <c r="E488" s="34" t="s">
        <v>306</v>
      </c>
      <c r="F488" s="34" t="s">
        <v>463</v>
      </c>
      <c r="G488" s="34" t="s">
        <v>52</v>
      </c>
      <c r="H488" s="34" t="s">
        <v>53</v>
      </c>
      <c r="I488" s="34" t="s">
        <v>19</v>
      </c>
      <c r="J488" s="34" t="s">
        <v>27</v>
      </c>
      <c r="K488" s="34" t="s">
        <v>46</v>
      </c>
      <c r="L488" s="34" t="s">
        <v>47</v>
      </c>
      <c r="M488">
        <v>0.4</v>
      </c>
    </row>
    <row r="489" spans="1:13" x14ac:dyDescent="0.3">
      <c r="A489" s="34" t="s">
        <v>662</v>
      </c>
      <c r="B489">
        <v>-1</v>
      </c>
      <c r="C489">
        <v>2050</v>
      </c>
      <c r="D489" s="34" t="s">
        <v>305</v>
      </c>
      <c r="E489" s="34" t="s">
        <v>306</v>
      </c>
      <c r="F489" s="34" t="s">
        <v>463</v>
      </c>
      <c r="G489" s="34" t="s">
        <v>52</v>
      </c>
      <c r="H489" s="34" t="s">
        <v>53</v>
      </c>
      <c r="I489" s="34" t="s">
        <v>19</v>
      </c>
      <c r="J489" s="34" t="s">
        <v>27</v>
      </c>
      <c r="K489" s="34" t="s">
        <v>48</v>
      </c>
      <c r="L489" s="34" t="s">
        <v>47</v>
      </c>
      <c r="M489">
        <v>-0.4</v>
      </c>
    </row>
    <row r="490" spans="1:13" x14ac:dyDescent="0.3">
      <c r="A490" s="34" t="s">
        <v>662</v>
      </c>
      <c r="B490">
        <v>-1</v>
      </c>
      <c r="C490">
        <v>2050</v>
      </c>
      <c r="D490" s="34" t="s">
        <v>305</v>
      </c>
      <c r="E490" s="34" t="s">
        <v>306</v>
      </c>
      <c r="F490" s="34" t="s">
        <v>463</v>
      </c>
      <c r="G490" s="34" t="s">
        <v>11</v>
      </c>
      <c r="H490" s="34" t="s">
        <v>12</v>
      </c>
      <c r="I490" s="34" t="s">
        <v>13</v>
      </c>
      <c r="J490" s="34" t="s">
        <v>14</v>
      </c>
      <c r="K490" s="34" t="s">
        <v>46</v>
      </c>
      <c r="L490" s="34" t="s">
        <v>47</v>
      </c>
      <c r="M490">
        <v>5.1660000000000004</v>
      </c>
    </row>
    <row r="491" spans="1:13" x14ac:dyDescent="0.3">
      <c r="A491" s="34" t="s">
        <v>662</v>
      </c>
      <c r="B491">
        <v>-1</v>
      </c>
      <c r="C491">
        <v>2050</v>
      </c>
      <c r="D491" s="34" t="s">
        <v>305</v>
      </c>
      <c r="E491" s="34" t="s">
        <v>306</v>
      </c>
      <c r="F491" s="34" t="s">
        <v>463</v>
      </c>
      <c r="G491" s="34" t="s">
        <v>11</v>
      </c>
      <c r="H491" s="34" t="s">
        <v>12</v>
      </c>
      <c r="I491" s="34" t="s">
        <v>13</v>
      </c>
      <c r="J491" s="34" t="s">
        <v>14</v>
      </c>
      <c r="K491" s="34" t="s">
        <v>48</v>
      </c>
      <c r="L491" s="34" t="s">
        <v>47</v>
      </c>
      <c r="M491">
        <v>-1.6659999999999981</v>
      </c>
    </row>
    <row r="492" spans="1:13" x14ac:dyDescent="0.3">
      <c r="A492" s="34" t="s">
        <v>662</v>
      </c>
      <c r="B492">
        <v>-1</v>
      </c>
      <c r="C492">
        <v>2050</v>
      </c>
      <c r="D492" s="34" t="s">
        <v>305</v>
      </c>
      <c r="E492" s="34" t="s">
        <v>306</v>
      </c>
      <c r="F492" s="34" t="s">
        <v>463</v>
      </c>
      <c r="G492" s="34" t="s">
        <v>392</v>
      </c>
      <c r="H492" s="34" t="s">
        <v>13</v>
      </c>
      <c r="I492" s="34" t="s">
        <v>13</v>
      </c>
      <c r="J492" s="34" t="s">
        <v>17</v>
      </c>
      <c r="K492" s="34" t="s">
        <v>49</v>
      </c>
      <c r="L492" s="34" t="s">
        <v>47</v>
      </c>
      <c r="M492">
        <v>19.585912307337864</v>
      </c>
    </row>
    <row r="493" spans="1:13" x14ac:dyDescent="0.3">
      <c r="A493" s="34" t="s">
        <v>662</v>
      </c>
      <c r="B493">
        <v>-1</v>
      </c>
      <c r="C493">
        <v>2050</v>
      </c>
      <c r="D493" s="34" t="s">
        <v>305</v>
      </c>
      <c r="E493" s="34" t="s">
        <v>306</v>
      </c>
      <c r="F493" s="34" t="s">
        <v>463</v>
      </c>
      <c r="G493" s="34" t="s">
        <v>41</v>
      </c>
      <c r="H493" s="34" t="s">
        <v>40</v>
      </c>
      <c r="I493" s="34" t="s">
        <v>13</v>
      </c>
      <c r="J493" s="34" t="s">
        <v>42</v>
      </c>
      <c r="K493" s="34" t="s">
        <v>46</v>
      </c>
      <c r="L493" s="34" t="s">
        <v>47</v>
      </c>
      <c r="M493">
        <v>1.0110856733936839</v>
      </c>
    </row>
    <row r="494" spans="1:13" x14ac:dyDescent="0.3">
      <c r="A494" s="34" t="s">
        <v>662</v>
      </c>
      <c r="B494">
        <v>-1</v>
      </c>
      <c r="C494">
        <v>2050</v>
      </c>
      <c r="D494" s="34" t="s">
        <v>305</v>
      </c>
      <c r="E494" s="34" t="s">
        <v>306</v>
      </c>
      <c r="F494" s="34" t="s">
        <v>463</v>
      </c>
      <c r="G494" s="34" t="s">
        <v>41</v>
      </c>
      <c r="H494" s="34" t="s">
        <v>40</v>
      </c>
      <c r="I494" s="34" t="s">
        <v>13</v>
      </c>
      <c r="J494" s="34" t="s">
        <v>42</v>
      </c>
      <c r="K494" s="34" t="s">
        <v>48</v>
      </c>
      <c r="L494" s="34" t="s">
        <v>47</v>
      </c>
      <c r="M494">
        <v>-1.0110856733936839</v>
      </c>
    </row>
    <row r="495" spans="1:13" x14ac:dyDescent="0.3">
      <c r="A495" s="34" t="s">
        <v>662</v>
      </c>
      <c r="B495">
        <v>-1</v>
      </c>
      <c r="C495">
        <v>2050</v>
      </c>
      <c r="D495" s="34" t="s">
        <v>305</v>
      </c>
      <c r="E495" s="34" t="s">
        <v>306</v>
      </c>
      <c r="F495" s="34" t="s">
        <v>465</v>
      </c>
      <c r="G495" s="34" t="s">
        <v>308</v>
      </c>
      <c r="H495" s="34" t="s">
        <v>40</v>
      </c>
      <c r="I495" s="34" t="s">
        <v>203</v>
      </c>
      <c r="J495" s="34" t="s">
        <v>204</v>
      </c>
      <c r="K495" s="34" t="s">
        <v>46</v>
      </c>
      <c r="L495" s="34" t="s">
        <v>47</v>
      </c>
      <c r="M495">
        <v>4.7076923076923078</v>
      </c>
    </row>
    <row r="496" spans="1:13" x14ac:dyDescent="0.3">
      <c r="A496" s="34" t="s">
        <v>662</v>
      </c>
      <c r="B496">
        <v>-1</v>
      </c>
      <c r="C496">
        <v>2050</v>
      </c>
      <c r="D496" s="34" t="s">
        <v>305</v>
      </c>
      <c r="E496" s="34" t="s">
        <v>306</v>
      </c>
      <c r="F496" s="34" t="s">
        <v>465</v>
      </c>
      <c r="G496" s="34" t="s">
        <v>308</v>
      </c>
      <c r="H496" s="34" t="s">
        <v>40</v>
      </c>
      <c r="I496" s="34" t="s">
        <v>203</v>
      </c>
      <c r="J496" s="34" t="s">
        <v>204</v>
      </c>
      <c r="K496" s="34" t="s">
        <v>48</v>
      </c>
      <c r="L496" s="34" t="s">
        <v>47</v>
      </c>
      <c r="M496">
        <v>-4.7076923076923078</v>
      </c>
    </row>
    <row r="497" spans="1:13" x14ac:dyDescent="0.3">
      <c r="A497" s="34" t="s">
        <v>662</v>
      </c>
      <c r="B497">
        <v>-1</v>
      </c>
      <c r="C497">
        <v>2050</v>
      </c>
      <c r="D497" s="34" t="s">
        <v>305</v>
      </c>
      <c r="E497" s="34" t="s">
        <v>306</v>
      </c>
      <c r="F497" s="34" t="s">
        <v>465</v>
      </c>
      <c r="G497" s="34" t="s">
        <v>308</v>
      </c>
      <c r="H497" s="34" t="s">
        <v>40</v>
      </c>
      <c r="I497" s="34" t="s">
        <v>19</v>
      </c>
      <c r="J497" s="34" t="s">
        <v>204</v>
      </c>
      <c r="K497" s="34" t="s">
        <v>46</v>
      </c>
      <c r="L497" s="34" t="s">
        <v>47</v>
      </c>
      <c r="M497">
        <v>9.18</v>
      </c>
    </row>
    <row r="498" spans="1:13" x14ac:dyDescent="0.3">
      <c r="A498" s="34" t="s">
        <v>662</v>
      </c>
      <c r="B498">
        <v>-1</v>
      </c>
      <c r="C498">
        <v>2050</v>
      </c>
      <c r="D498" s="34" t="s">
        <v>305</v>
      </c>
      <c r="E498" s="34" t="s">
        <v>306</v>
      </c>
      <c r="F498" s="34" t="s">
        <v>465</v>
      </c>
      <c r="G498" s="34" t="s">
        <v>308</v>
      </c>
      <c r="H498" s="34" t="s">
        <v>40</v>
      </c>
      <c r="I498" s="34" t="s">
        <v>19</v>
      </c>
      <c r="J498" s="34" t="s">
        <v>204</v>
      </c>
      <c r="K498" s="34" t="s">
        <v>48</v>
      </c>
      <c r="L498" s="34" t="s">
        <v>47</v>
      </c>
      <c r="M498">
        <v>-9.18</v>
      </c>
    </row>
    <row r="499" spans="1:13" x14ac:dyDescent="0.3">
      <c r="A499" s="34" t="s">
        <v>662</v>
      </c>
      <c r="B499">
        <v>-1</v>
      </c>
      <c r="C499">
        <v>2050</v>
      </c>
      <c r="D499" s="34" t="s">
        <v>305</v>
      </c>
      <c r="E499" s="34" t="s">
        <v>306</v>
      </c>
      <c r="F499" s="34" t="s">
        <v>600</v>
      </c>
      <c r="G499" s="34" t="s">
        <v>28</v>
      </c>
      <c r="H499" s="34" t="s">
        <v>23</v>
      </c>
      <c r="I499" s="34" t="s">
        <v>19</v>
      </c>
      <c r="J499" s="34" t="s">
        <v>24</v>
      </c>
      <c r="K499" s="34" t="s">
        <v>46</v>
      </c>
      <c r="L499" s="34" t="s">
        <v>47</v>
      </c>
      <c r="M499">
        <v>3.9370000000000003</v>
      </c>
    </row>
    <row r="500" spans="1:13" x14ac:dyDescent="0.3">
      <c r="A500" s="34" t="s">
        <v>662</v>
      </c>
      <c r="B500">
        <v>-1</v>
      </c>
      <c r="C500">
        <v>2050</v>
      </c>
      <c r="D500" s="34" t="s">
        <v>305</v>
      </c>
      <c r="E500" s="34" t="s">
        <v>306</v>
      </c>
      <c r="F500" s="34" t="s">
        <v>600</v>
      </c>
      <c r="G500" s="34" t="s">
        <v>28</v>
      </c>
      <c r="H500" s="34" t="s">
        <v>23</v>
      </c>
      <c r="I500" s="34" t="s">
        <v>19</v>
      </c>
      <c r="J500" s="34" t="s">
        <v>24</v>
      </c>
      <c r="K500" s="34" t="s">
        <v>48</v>
      </c>
      <c r="L500" s="34" t="s">
        <v>47</v>
      </c>
      <c r="M500">
        <v>-3.9370000000000003</v>
      </c>
    </row>
    <row r="501" spans="1:13" x14ac:dyDescent="0.3">
      <c r="A501" s="34" t="s">
        <v>662</v>
      </c>
      <c r="B501">
        <v>-1</v>
      </c>
      <c r="C501">
        <v>2050</v>
      </c>
      <c r="D501" s="34" t="s">
        <v>305</v>
      </c>
      <c r="E501" s="34" t="s">
        <v>306</v>
      </c>
      <c r="F501" s="34" t="s">
        <v>600</v>
      </c>
      <c r="G501" s="34" t="s">
        <v>222</v>
      </c>
      <c r="H501" s="34" t="s">
        <v>21</v>
      </c>
      <c r="I501" s="34" t="s">
        <v>19</v>
      </c>
      <c r="J501" s="34" t="s">
        <v>223</v>
      </c>
      <c r="K501" s="34" t="s">
        <v>46</v>
      </c>
      <c r="L501" s="34" t="s">
        <v>47</v>
      </c>
      <c r="M501">
        <v>2.048</v>
      </c>
    </row>
    <row r="502" spans="1:13" x14ac:dyDescent="0.3">
      <c r="A502" s="34" t="s">
        <v>662</v>
      </c>
      <c r="B502">
        <v>-1</v>
      </c>
      <c r="C502">
        <v>2050</v>
      </c>
      <c r="D502" s="34" t="s">
        <v>305</v>
      </c>
      <c r="E502" s="34" t="s">
        <v>306</v>
      </c>
      <c r="F502" s="34" t="s">
        <v>600</v>
      </c>
      <c r="G502" s="34" t="s">
        <v>222</v>
      </c>
      <c r="H502" s="34" t="s">
        <v>21</v>
      </c>
      <c r="I502" s="34" t="s">
        <v>19</v>
      </c>
      <c r="J502" s="34" t="s">
        <v>223</v>
      </c>
      <c r="K502" s="34" t="s">
        <v>48</v>
      </c>
      <c r="L502" s="34" t="s">
        <v>47</v>
      </c>
      <c r="M502">
        <v>-1.728</v>
      </c>
    </row>
    <row r="503" spans="1:13" x14ac:dyDescent="0.3">
      <c r="A503" s="34" t="s">
        <v>662</v>
      </c>
      <c r="B503">
        <v>-1</v>
      </c>
      <c r="C503">
        <v>2050</v>
      </c>
      <c r="D503" s="34" t="s">
        <v>305</v>
      </c>
      <c r="E503" s="34" t="s">
        <v>306</v>
      </c>
      <c r="F503" s="34" t="s">
        <v>600</v>
      </c>
      <c r="G503" s="34" t="s">
        <v>29</v>
      </c>
      <c r="H503" s="34" t="s">
        <v>21</v>
      </c>
      <c r="I503" s="34" t="s">
        <v>19</v>
      </c>
      <c r="J503" s="34" t="s">
        <v>22</v>
      </c>
      <c r="K503" s="34" t="s">
        <v>46</v>
      </c>
      <c r="L503" s="34" t="s">
        <v>47</v>
      </c>
      <c r="M503">
        <v>0.90587609999999996</v>
      </c>
    </row>
    <row r="504" spans="1:13" x14ac:dyDescent="0.3">
      <c r="A504" s="34" t="s">
        <v>662</v>
      </c>
      <c r="B504">
        <v>-1</v>
      </c>
      <c r="C504">
        <v>2050</v>
      </c>
      <c r="D504" s="34" t="s">
        <v>305</v>
      </c>
      <c r="E504" s="34" t="s">
        <v>306</v>
      </c>
      <c r="F504" s="34" t="s">
        <v>600</v>
      </c>
      <c r="G504" s="34" t="s">
        <v>29</v>
      </c>
      <c r="H504" s="34" t="s">
        <v>21</v>
      </c>
      <c r="I504" s="34" t="s">
        <v>19</v>
      </c>
      <c r="J504" s="34" t="s">
        <v>22</v>
      </c>
      <c r="K504" s="34" t="s">
        <v>48</v>
      </c>
      <c r="L504" s="34" t="s">
        <v>47</v>
      </c>
      <c r="M504">
        <v>-0.90587609999999996</v>
      </c>
    </row>
    <row r="505" spans="1:13" x14ac:dyDescent="0.3">
      <c r="A505" s="34" t="s">
        <v>662</v>
      </c>
      <c r="B505">
        <v>-1</v>
      </c>
      <c r="C505">
        <v>2050</v>
      </c>
      <c r="D505" s="34" t="s">
        <v>305</v>
      </c>
      <c r="E505" s="34" t="s">
        <v>306</v>
      </c>
      <c r="F505" s="34" t="s">
        <v>600</v>
      </c>
      <c r="G505" s="34" t="s">
        <v>20</v>
      </c>
      <c r="H505" s="34" t="s">
        <v>21</v>
      </c>
      <c r="I505" s="34" t="s">
        <v>19</v>
      </c>
      <c r="J505" s="34" t="s">
        <v>22</v>
      </c>
      <c r="K505" s="34" t="s">
        <v>46</v>
      </c>
      <c r="L505" s="34" t="s">
        <v>47</v>
      </c>
      <c r="M505">
        <v>2.3026644000000003</v>
      </c>
    </row>
    <row r="506" spans="1:13" x14ac:dyDescent="0.3">
      <c r="A506" s="34" t="s">
        <v>662</v>
      </c>
      <c r="B506">
        <v>-1</v>
      </c>
      <c r="C506">
        <v>2050</v>
      </c>
      <c r="D506" s="34" t="s">
        <v>305</v>
      </c>
      <c r="E506" s="34" t="s">
        <v>306</v>
      </c>
      <c r="F506" s="34" t="s">
        <v>600</v>
      </c>
      <c r="G506" s="34" t="s">
        <v>20</v>
      </c>
      <c r="H506" s="34" t="s">
        <v>21</v>
      </c>
      <c r="I506" s="34" t="s">
        <v>19</v>
      </c>
      <c r="J506" s="34" t="s">
        <v>22</v>
      </c>
      <c r="K506" s="34" t="s">
        <v>48</v>
      </c>
      <c r="L506" s="34" t="s">
        <v>47</v>
      </c>
      <c r="M506">
        <v>-2.3026644000000007</v>
      </c>
    </row>
    <row r="507" spans="1:13" x14ac:dyDescent="0.3">
      <c r="A507" s="34" t="s">
        <v>662</v>
      </c>
      <c r="B507">
        <v>-1</v>
      </c>
      <c r="C507">
        <v>2050</v>
      </c>
      <c r="D507" s="34" t="s">
        <v>305</v>
      </c>
      <c r="E507" s="34" t="s">
        <v>306</v>
      </c>
      <c r="F507" s="34" t="s">
        <v>600</v>
      </c>
      <c r="G507" s="34" t="s">
        <v>30</v>
      </c>
      <c r="H507" s="34" t="s">
        <v>21</v>
      </c>
      <c r="I507" s="34" t="s">
        <v>19</v>
      </c>
      <c r="J507" s="34" t="s">
        <v>22</v>
      </c>
      <c r="K507" s="34" t="s">
        <v>46</v>
      </c>
      <c r="L507" s="34" t="s">
        <v>47</v>
      </c>
      <c r="M507">
        <v>0.46045950000000002</v>
      </c>
    </row>
    <row r="508" spans="1:13" x14ac:dyDescent="0.3">
      <c r="A508" s="34" t="s">
        <v>662</v>
      </c>
      <c r="B508">
        <v>-1</v>
      </c>
      <c r="C508">
        <v>2050</v>
      </c>
      <c r="D508" s="34" t="s">
        <v>305</v>
      </c>
      <c r="E508" s="34" t="s">
        <v>306</v>
      </c>
      <c r="F508" s="34" t="s">
        <v>600</v>
      </c>
      <c r="G508" s="34" t="s">
        <v>30</v>
      </c>
      <c r="H508" s="34" t="s">
        <v>21</v>
      </c>
      <c r="I508" s="34" t="s">
        <v>19</v>
      </c>
      <c r="J508" s="34" t="s">
        <v>22</v>
      </c>
      <c r="K508" s="34" t="s">
        <v>48</v>
      </c>
      <c r="L508" s="34" t="s">
        <v>47</v>
      </c>
      <c r="M508">
        <v>-0.46045950000000008</v>
      </c>
    </row>
    <row r="509" spans="1:13" x14ac:dyDescent="0.3">
      <c r="A509" s="34" t="s">
        <v>662</v>
      </c>
      <c r="B509">
        <v>-1</v>
      </c>
      <c r="C509">
        <v>2050</v>
      </c>
      <c r="D509" s="34" t="s">
        <v>305</v>
      </c>
      <c r="E509" s="34" t="s">
        <v>306</v>
      </c>
      <c r="F509" s="34" t="s">
        <v>600</v>
      </c>
      <c r="G509" s="34" t="s">
        <v>644</v>
      </c>
      <c r="H509" s="34" t="s">
        <v>21</v>
      </c>
      <c r="I509" s="34" t="s">
        <v>19</v>
      </c>
      <c r="J509" s="34" t="s">
        <v>22</v>
      </c>
      <c r="K509" s="34" t="s">
        <v>49</v>
      </c>
      <c r="L509" s="34" t="s">
        <v>47</v>
      </c>
      <c r="M509">
        <v>10.3</v>
      </c>
    </row>
    <row r="510" spans="1:13" x14ac:dyDescent="0.3">
      <c r="A510" s="34" t="s">
        <v>662</v>
      </c>
      <c r="B510">
        <v>-1</v>
      </c>
      <c r="C510">
        <v>2050</v>
      </c>
      <c r="D510" s="34" t="s">
        <v>305</v>
      </c>
      <c r="E510" s="34" t="s">
        <v>306</v>
      </c>
      <c r="F510" s="34" t="s">
        <v>600</v>
      </c>
      <c r="G510" s="34" t="s">
        <v>645</v>
      </c>
      <c r="H510" s="34" t="s">
        <v>23</v>
      </c>
      <c r="I510" s="34" t="s">
        <v>19</v>
      </c>
      <c r="J510" s="34" t="s">
        <v>24</v>
      </c>
      <c r="K510" s="34" t="s">
        <v>49</v>
      </c>
      <c r="L510" s="34" t="s">
        <v>47</v>
      </c>
      <c r="M510">
        <v>34.664537800122808</v>
      </c>
    </row>
    <row r="511" spans="1:13" x14ac:dyDescent="0.3">
      <c r="A511" s="34" t="s">
        <v>662</v>
      </c>
      <c r="B511">
        <v>-1</v>
      </c>
      <c r="C511">
        <v>2050</v>
      </c>
      <c r="D511" s="34" t="s">
        <v>309</v>
      </c>
      <c r="E511" s="34" t="s">
        <v>310</v>
      </c>
      <c r="F511" s="34" t="s">
        <v>466</v>
      </c>
      <c r="G511" s="34" t="s">
        <v>170</v>
      </c>
      <c r="H511" s="34" t="s">
        <v>18</v>
      </c>
      <c r="I511" s="34" t="s">
        <v>19</v>
      </c>
      <c r="J511" s="34" t="s">
        <v>32</v>
      </c>
      <c r="K511" s="34" t="s">
        <v>46</v>
      </c>
      <c r="L511" s="34" t="s">
        <v>47</v>
      </c>
      <c r="M511">
        <v>0.40550000000000003</v>
      </c>
    </row>
    <row r="512" spans="1:13" x14ac:dyDescent="0.3">
      <c r="A512" s="34" t="s">
        <v>662</v>
      </c>
      <c r="B512">
        <v>-1</v>
      </c>
      <c r="C512">
        <v>2050</v>
      </c>
      <c r="D512" s="34" t="s">
        <v>309</v>
      </c>
      <c r="E512" s="34" t="s">
        <v>310</v>
      </c>
      <c r="F512" s="34" t="s">
        <v>466</v>
      </c>
      <c r="G512" s="34" t="s">
        <v>171</v>
      </c>
      <c r="H512" s="34" t="s">
        <v>18</v>
      </c>
      <c r="I512" s="34" t="s">
        <v>19</v>
      </c>
      <c r="J512" s="34" t="s">
        <v>32</v>
      </c>
      <c r="K512" s="34" t="s">
        <v>46</v>
      </c>
      <c r="L512" s="34" t="s">
        <v>47</v>
      </c>
      <c r="M512">
        <v>0.40550000000000003</v>
      </c>
    </row>
    <row r="513" spans="1:13" x14ac:dyDescent="0.3">
      <c r="A513" s="34" t="s">
        <v>662</v>
      </c>
      <c r="B513">
        <v>-1</v>
      </c>
      <c r="C513">
        <v>2050</v>
      </c>
      <c r="D513" s="34" t="s">
        <v>309</v>
      </c>
      <c r="E513" s="34" t="s">
        <v>310</v>
      </c>
      <c r="F513" s="34" t="s">
        <v>466</v>
      </c>
      <c r="G513" s="34" t="s">
        <v>172</v>
      </c>
      <c r="H513" s="34" t="s">
        <v>18</v>
      </c>
      <c r="I513" s="34" t="s">
        <v>19</v>
      </c>
      <c r="J513" s="34" t="s">
        <v>32</v>
      </c>
      <c r="K513" s="34" t="s">
        <v>46</v>
      </c>
      <c r="L513" s="34" t="s">
        <v>47</v>
      </c>
      <c r="M513">
        <v>0.40550000000000003</v>
      </c>
    </row>
    <row r="514" spans="1:13" x14ac:dyDescent="0.3">
      <c r="A514" s="34" t="s">
        <v>662</v>
      </c>
      <c r="B514">
        <v>-1</v>
      </c>
      <c r="C514">
        <v>2050</v>
      </c>
      <c r="D514" s="34" t="s">
        <v>309</v>
      </c>
      <c r="E514" s="34" t="s">
        <v>310</v>
      </c>
      <c r="F514" s="34" t="s">
        <v>466</v>
      </c>
      <c r="G514" s="34" t="s">
        <v>173</v>
      </c>
      <c r="H514" s="34" t="s">
        <v>18</v>
      </c>
      <c r="I514" s="34" t="s">
        <v>19</v>
      </c>
      <c r="J514" s="34" t="s">
        <v>32</v>
      </c>
      <c r="K514" s="34" t="s">
        <v>46</v>
      </c>
      <c r="L514" s="34" t="s">
        <v>47</v>
      </c>
      <c r="M514">
        <v>0.40550000000000003</v>
      </c>
    </row>
    <row r="515" spans="1:13" x14ac:dyDescent="0.3">
      <c r="A515" s="34" t="s">
        <v>662</v>
      </c>
      <c r="B515">
        <v>-1</v>
      </c>
      <c r="C515">
        <v>2050</v>
      </c>
      <c r="D515" s="34" t="s">
        <v>309</v>
      </c>
      <c r="E515" s="34" t="s">
        <v>310</v>
      </c>
      <c r="F515" s="34" t="s">
        <v>466</v>
      </c>
      <c r="G515" s="34" t="s">
        <v>174</v>
      </c>
      <c r="H515" s="34" t="s">
        <v>18</v>
      </c>
      <c r="I515" s="34" t="s">
        <v>19</v>
      </c>
      <c r="J515" s="34" t="s">
        <v>32</v>
      </c>
      <c r="K515" s="34" t="s">
        <v>46</v>
      </c>
      <c r="L515" s="34" t="s">
        <v>47</v>
      </c>
      <c r="M515">
        <v>0.40550000000000003</v>
      </c>
    </row>
    <row r="516" spans="1:13" x14ac:dyDescent="0.3">
      <c r="A516" s="34" t="s">
        <v>662</v>
      </c>
      <c r="B516">
        <v>-1</v>
      </c>
      <c r="C516">
        <v>2050</v>
      </c>
      <c r="D516" s="34" t="s">
        <v>309</v>
      </c>
      <c r="E516" s="34" t="s">
        <v>310</v>
      </c>
      <c r="F516" s="34" t="s">
        <v>466</v>
      </c>
      <c r="G516" s="34" t="s">
        <v>175</v>
      </c>
      <c r="H516" s="34" t="s">
        <v>18</v>
      </c>
      <c r="I516" s="34" t="s">
        <v>19</v>
      </c>
      <c r="J516" s="34" t="s">
        <v>32</v>
      </c>
      <c r="K516" s="34" t="s">
        <v>46</v>
      </c>
      <c r="L516" s="34" t="s">
        <v>47</v>
      </c>
      <c r="M516">
        <v>0.40550000000000003</v>
      </c>
    </row>
    <row r="517" spans="1:13" x14ac:dyDescent="0.3">
      <c r="A517" s="34" t="s">
        <v>662</v>
      </c>
      <c r="B517">
        <v>-1</v>
      </c>
      <c r="C517">
        <v>2050</v>
      </c>
      <c r="D517" s="34" t="s">
        <v>309</v>
      </c>
      <c r="E517" s="34" t="s">
        <v>310</v>
      </c>
      <c r="F517" s="34" t="s">
        <v>466</v>
      </c>
      <c r="G517" s="34" t="s">
        <v>176</v>
      </c>
      <c r="H517" s="34" t="s">
        <v>18</v>
      </c>
      <c r="I517" s="34" t="s">
        <v>19</v>
      </c>
      <c r="J517" s="34" t="s">
        <v>32</v>
      </c>
      <c r="K517" s="34" t="s">
        <v>46</v>
      </c>
      <c r="L517" s="34" t="s">
        <v>47</v>
      </c>
      <c r="M517">
        <v>0.40550000000000003</v>
      </c>
    </row>
    <row r="518" spans="1:13" x14ac:dyDescent="0.3">
      <c r="A518" s="34" t="s">
        <v>662</v>
      </c>
      <c r="B518">
        <v>-1</v>
      </c>
      <c r="C518">
        <v>2050</v>
      </c>
      <c r="D518" s="34" t="s">
        <v>309</v>
      </c>
      <c r="E518" s="34" t="s">
        <v>310</v>
      </c>
      <c r="F518" s="34" t="s">
        <v>466</v>
      </c>
      <c r="G518" s="34" t="s">
        <v>177</v>
      </c>
      <c r="H518" s="34" t="s">
        <v>18</v>
      </c>
      <c r="I518" s="34" t="s">
        <v>19</v>
      </c>
      <c r="J518" s="34" t="s">
        <v>32</v>
      </c>
      <c r="K518" s="34" t="s">
        <v>46</v>
      </c>
      <c r="L518" s="34" t="s">
        <v>47</v>
      </c>
      <c r="M518">
        <v>0.40550000000000003</v>
      </c>
    </row>
    <row r="519" spans="1:13" x14ac:dyDescent="0.3">
      <c r="A519" s="34" t="s">
        <v>662</v>
      </c>
      <c r="B519">
        <v>-1</v>
      </c>
      <c r="C519">
        <v>2050</v>
      </c>
      <c r="D519" s="34" t="s">
        <v>309</v>
      </c>
      <c r="E519" s="34" t="s">
        <v>310</v>
      </c>
      <c r="F519" s="34" t="s">
        <v>466</v>
      </c>
      <c r="G519" s="34" t="s">
        <v>178</v>
      </c>
      <c r="H519" s="34" t="s">
        <v>18</v>
      </c>
      <c r="I519" s="34" t="s">
        <v>19</v>
      </c>
      <c r="J519" s="34" t="s">
        <v>32</v>
      </c>
      <c r="K519" s="34" t="s">
        <v>46</v>
      </c>
      <c r="L519" s="34" t="s">
        <v>47</v>
      </c>
      <c r="M519">
        <v>0.40550000000000003</v>
      </c>
    </row>
    <row r="520" spans="1:13" x14ac:dyDescent="0.3">
      <c r="A520" s="34" t="s">
        <v>662</v>
      </c>
      <c r="B520">
        <v>-1</v>
      </c>
      <c r="C520">
        <v>2050</v>
      </c>
      <c r="D520" s="34" t="s">
        <v>309</v>
      </c>
      <c r="E520" s="34" t="s">
        <v>310</v>
      </c>
      <c r="F520" s="34" t="s">
        <v>466</v>
      </c>
      <c r="G520" s="34" t="s">
        <v>179</v>
      </c>
      <c r="H520" s="34" t="s">
        <v>18</v>
      </c>
      <c r="I520" s="34" t="s">
        <v>19</v>
      </c>
      <c r="J520" s="34" t="s">
        <v>32</v>
      </c>
      <c r="K520" s="34" t="s">
        <v>46</v>
      </c>
      <c r="L520" s="34" t="s">
        <v>47</v>
      </c>
      <c r="M520">
        <v>0.40550000000000003</v>
      </c>
    </row>
    <row r="521" spans="1:13" x14ac:dyDescent="0.3">
      <c r="A521" s="34" t="s">
        <v>662</v>
      </c>
      <c r="B521">
        <v>-1</v>
      </c>
      <c r="C521">
        <v>2050</v>
      </c>
      <c r="D521" s="34" t="s">
        <v>309</v>
      </c>
      <c r="E521" s="34" t="s">
        <v>310</v>
      </c>
      <c r="F521" s="34" t="s">
        <v>466</v>
      </c>
      <c r="G521" s="34" t="s">
        <v>180</v>
      </c>
      <c r="H521" s="34" t="s">
        <v>18</v>
      </c>
      <c r="I521" s="34" t="s">
        <v>19</v>
      </c>
      <c r="J521" s="34" t="s">
        <v>181</v>
      </c>
      <c r="K521" s="34" t="s">
        <v>46</v>
      </c>
      <c r="L521" s="34" t="s">
        <v>47</v>
      </c>
      <c r="M521">
        <v>1.2282000000000002</v>
      </c>
    </row>
    <row r="522" spans="1:13" x14ac:dyDescent="0.3">
      <c r="A522" s="34" t="s">
        <v>662</v>
      </c>
      <c r="B522">
        <v>-1</v>
      </c>
      <c r="C522">
        <v>2050</v>
      </c>
      <c r="D522" s="34" t="s">
        <v>309</v>
      </c>
      <c r="E522" s="34" t="s">
        <v>310</v>
      </c>
      <c r="F522" s="34" t="s">
        <v>467</v>
      </c>
      <c r="G522" s="34" t="s">
        <v>468</v>
      </c>
      <c r="H522" s="34" t="s">
        <v>469</v>
      </c>
      <c r="I522" s="34" t="s">
        <v>203</v>
      </c>
      <c r="J522" s="34" t="s">
        <v>204</v>
      </c>
      <c r="K522" s="34" t="s">
        <v>46</v>
      </c>
      <c r="L522" s="34" t="s">
        <v>47</v>
      </c>
      <c r="M522">
        <v>0.17321428571428571</v>
      </c>
    </row>
    <row r="523" spans="1:13" x14ac:dyDescent="0.3">
      <c r="A523" s="34" t="s">
        <v>662</v>
      </c>
      <c r="B523">
        <v>-1</v>
      </c>
      <c r="C523">
        <v>2050</v>
      </c>
      <c r="D523" s="34" t="s">
        <v>309</v>
      </c>
      <c r="E523" s="34" t="s">
        <v>310</v>
      </c>
      <c r="F523" s="34" t="s">
        <v>467</v>
      </c>
      <c r="G523" s="34" t="s">
        <v>468</v>
      </c>
      <c r="H523" s="34" t="s">
        <v>469</v>
      </c>
      <c r="I523" s="34" t="s">
        <v>203</v>
      </c>
      <c r="J523" s="34" t="s">
        <v>204</v>
      </c>
      <c r="K523" s="34" t="s">
        <v>48</v>
      </c>
      <c r="L523" s="34" t="s">
        <v>47</v>
      </c>
      <c r="M523">
        <v>-0.17321428571428571</v>
      </c>
    </row>
    <row r="524" spans="1:13" x14ac:dyDescent="0.3">
      <c r="A524" s="34" t="s">
        <v>662</v>
      </c>
      <c r="B524">
        <v>-1</v>
      </c>
      <c r="C524">
        <v>2050</v>
      </c>
      <c r="D524" s="34" t="s">
        <v>309</v>
      </c>
      <c r="E524" s="34" t="s">
        <v>310</v>
      </c>
      <c r="F524" s="34" t="s">
        <v>467</v>
      </c>
      <c r="G524" s="34" t="s">
        <v>468</v>
      </c>
      <c r="H524" s="34" t="s">
        <v>469</v>
      </c>
      <c r="I524" s="34" t="s">
        <v>19</v>
      </c>
      <c r="J524" s="34" t="s">
        <v>204</v>
      </c>
      <c r="K524" s="34" t="s">
        <v>46</v>
      </c>
      <c r="L524" s="34" t="s">
        <v>47</v>
      </c>
      <c r="M524">
        <v>9.7000000000000003E-2</v>
      </c>
    </row>
    <row r="525" spans="1:13" x14ac:dyDescent="0.3">
      <c r="A525" s="34" t="s">
        <v>662</v>
      </c>
      <c r="B525">
        <v>-1</v>
      </c>
      <c r="C525">
        <v>2050</v>
      </c>
      <c r="D525" s="34" t="s">
        <v>309</v>
      </c>
      <c r="E525" s="34" t="s">
        <v>310</v>
      </c>
      <c r="F525" s="34" t="s">
        <v>467</v>
      </c>
      <c r="G525" s="34" t="s">
        <v>468</v>
      </c>
      <c r="H525" s="34" t="s">
        <v>469</v>
      </c>
      <c r="I525" s="34" t="s">
        <v>19</v>
      </c>
      <c r="J525" s="34" t="s">
        <v>204</v>
      </c>
      <c r="K525" s="34" t="s">
        <v>48</v>
      </c>
      <c r="L525" s="34" t="s">
        <v>47</v>
      </c>
      <c r="M525">
        <v>-9.7000000000000003E-2</v>
      </c>
    </row>
    <row r="526" spans="1:13" x14ac:dyDescent="0.3">
      <c r="A526" s="34" t="s">
        <v>662</v>
      </c>
      <c r="B526">
        <v>-1</v>
      </c>
      <c r="C526">
        <v>2050</v>
      </c>
      <c r="D526" s="34" t="s">
        <v>309</v>
      </c>
      <c r="E526" s="34" t="s">
        <v>310</v>
      </c>
      <c r="F526" s="34" t="s">
        <v>467</v>
      </c>
      <c r="G526" s="34" t="s">
        <v>11</v>
      </c>
      <c r="H526" s="34" t="s">
        <v>12</v>
      </c>
      <c r="I526" s="34" t="s">
        <v>13</v>
      </c>
      <c r="J526" s="34" t="s">
        <v>14</v>
      </c>
      <c r="K526" s="34" t="s">
        <v>46</v>
      </c>
      <c r="L526" s="34" t="s">
        <v>47</v>
      </c>
      <c r="M526">
        <v>0.56399999999999939</v>
      </c>
    </row>
    <row r="527" spans="1:13" x14ac:dyDescent="0.3">
      <c r="A527" s="34" t="s">
        <v>662</v>
      </c>
      <c r="B527">
        <v>-1</v>
      </c>
      <c r="C527">
        <v>2050</v>
      </c>
      <c r="D527" s="34" t="s">
        <v>309</v>
      </c>
      <c r="E527" s="34" t="s">
        <v>310</v>
      </c>
      <c r="F527" s="34" t="s">
        <v>467</v>
      </c>
      <c r="G527" s="34" t="s">
        <v>11</v>
      </c>
      <c r="H527" s="34" t="s">
        <v>12</v>
      </c>
      <c r="I527" s="34" t="s">
        <v>13</v>
      </c>
      <c r="J527" s="34" t="s">
        <v>14</v>
      </c>
      <c r="K527" s="34" t="s">
        <v>48</v>
      </c>
      <c r="L527" s="34" t="s">
        <v>47</v>
      </c>
      <c r="M527">
        <v>-0.14099999999999968</v>
      </c>
    </row>
    <row r="528" spans="1:13" x14ac:dyDescent="0.3">
      <c r="A528" s="34" t="s">
        <v>662</v>
      </c>
      <c r="B528">
        <v>-1</v>
      </c>
      <c r="C528">
        <v>2050</v>
      </c>
      <c r="D528" s="34" t="s">
        <v>309</v>
      </c>
      <c r="E528" s="34" t="s">
        <v>310</v>
      </c>
      <c r="F528" s="34" t="s">
        <v>467</v>
      </c>
      <c r="G528" s="34" t="s">
        <v>41</v>
      </c>
      <c r="H528" s="34" t="s">
        <v>40</v>
      </c>
      <c r="I528" s="34" t="s">
        <v>13</v>
      </c>
      <c r="J528" s="34" t="s">
        <v>42</v>
      </c>
      <c r="K528" s="34" t="s">
        <v>46</v>
      </c>
      <c r="L528" s="34" t="s">
        <v>47</v>
      </c>
      <c r="M528">
        <v>0.10461136476058169</v>
      </c>
    </row>
    <row r="529" spans="1:13" x14ac:dyDescent="0.3">
      <c r="A529" s="34" t="s">
        <v>662</v>
      </c>
      <c r="B529">
        <v>-1</v>
      </c>
      <c r="C529">
        <v>2050</v>
      </c>
      <c r="D529" s="34" t="s">
        <v>309</v>
      </c>
      <c r="E529" s="34" t="s">
        <v>310</v>
      </c>
      <c r="F529" s="34" t="s">
        <v>467</v>
      </c>
      <c r="G529" s="34" t="s">
        <v>41</v>
      </c>
      <c r="H529" s="34" t="s">
        <v>40</v>
      </c>
      <c r="I529" s="34" t="s">
        <v>13</v>
      </c>
      <c r="J529" s="34" t="s">
        <v>42</v>
      </c>
      <c r="K529" s="34" t="s">
        <v>48</v>
      </c>
      <c r="L529" s="34" t="s">
        <v>47</v>
      </c>
      <c r="M529">
        <v>-0.10461136476058169</v>
      </c>
    </row>
    <row r="530" spans="1:13" x14ac:dyDescent="0.3">
      <c r="A530" s="34" t="s">
        <v>662</v>
      </c>
      <c r="B530">
        <v>-1</v>
      </c>
      <c r="C530">
        <v>2050</v>
      </c>
      <c r="D530" s="34" t="s">
        <v>309</v>
      </c>
      <c r="E530" s="34" t="s">
        <v>310</v>
      </c>
      <c r="F530" s="34" t="s">
        <v>470</v>
      </c>
      <c r="G530" s="34" t="s">
        <v>247</v>
      </c>
      <c r="H530" s="34" t="s">
        <v>209</v>
      </c>
      <c r="I530" s="34" t="s">
        <v>19</v>
      </c>
      <c r="J530" s="34" t="s">
        <v>27</v>
      </c>
      <c r="K530" s="34" t="s">
        <v>46</v>
      </c>
      <c r="L530" s="34" t="s">
        <v>47</v>
      </c>
      <c r="M530">
        <v>6.3359999999999901E-3</v>
      </c>
    </row>
    <row r="531" spans="1:13" x14ac:dyDescent="0.3">
      <c r="A531" s="34" t="s">
        <v>662</v>
      </c>
      <c r="B531">
        <v>-1</v>
      </c>
      <c r="C531">
        <v>2050</v>
      </c>
      <c r="D531" s="34" t="s">
        <v>309</v>
      </c>
      <c r="E531" s="34" t="s">
        <v>310</v>
      </c>
      <c r="F531" s="34" t="s">
        <v>470</v>
      </c>
      <c r="G531" s="34" t="s">
        <v>247</v>
      </c>
      <c r="H531" s="34" t="s">
        <v>209</v>
      </c>
      <c r="I531" s="34" t="s">
        <v>19</v>
      </c>
      <c r="J531" s="34" t="s">
        <v>27</v>
      </c>
      <c r="K531" s="34" t="s">
        <v>48</v>
      </c>
      <c r="L531" s="34" t="s">
        <v>47</v>
      </c>
      <c r="M531">
        <v>-6.3359999999999901E-3</v>
      </c>
    </row>
    <row r="532" spans="1:13" x14ac:dyDescent="0.3">
      <c r="A532" s="34" t="s">
        <v>662</v>
      </c>
      <c r="B532">
        <v>-1</v>
      </c>
      <c r="C532">
        <v>2050</v>
      </c>
      <c r="D532" s="34" t="s">
        <v>309</v>
      </c>
      <c r="E532" s="34" t="s">
        <v>310</v>
      </c>
      <c r="F532" s="34" t="s">
        <v>601</v>
      </c>
      <c r="G532" s="34" t="s">
        <v>20</v>
      </c>
      <c r="H532" s="34" t="s">
        <v>21</v>
      </c>
      <c r="I532" s="34" t="s">
        <v>19</v>
      </c>
      <c r="J532" s="34" t="s">
        <v>22</v>
      </c>
      <c r="K532" s="34" t="s">
        <v>46</v>
      </c>
      <c r="L532" s="34" t="s">
        <v>47</v>
      </c>
      <c r="M532">
        <v>1.3161213</v>
      </c>
    </row>
    <row r="533" spans="1:13" x14ac:dyDescent="0.3">
      <c r="A533" s="34" t="s">
        <v>662</v>
      </c>
      <c r="B533">
        <v>-1</v>
      </c>
      <c r="C533">
        <v>2050</v>
      </c>
      <c r="D533" s="34" t="s">
        <v>309</v>
      </c>
      <c r="E533" s="34" t="s">
        <v>310</v>
      </c>
      <c r="F533" s="34" t="s">
        <v>601</v>
      </c>
      <c r="G533" s="34" t="s">
        <v>20</v>
      </c>
      <c r="H533" s="34" t="s">
        <v>21</v>
      </c>
      <c r="I533" s="34" t="s">
        <v>19</v>
      </c>
      <c r="J533" s="34" t="s">
        <v>22</v>
      </c>
      <c r="K533" s="34" t="s">
        <v>48</v>
      </c>
      <c r="L533" s="34" t="s">
        <v>47</v>
      </c>
      <c r="M533">
        <v>-1.3161213000000003</v>
      </c>
    </row>
    <row r="534" spans="1:13" x14ac:dyDescent="0.3">
      <c r="A534" s="34" t="s">
        <v>662</v>
      </c>
      <c r="B534">
        <v>-1</v>
      </c>
      <c r="C534">
        <v>2050</v>
      </c>
      <c r="D534" s="34" t="s">
        <v>309</v>
      </c>
      <c r="E534" s="34" t="s">
        <v>310</v>
      </c>
      <c r="F534" s="34" t="s">
        <v>601</v>
      </c>
      <c r="G534" s="34" t="s">
        <v>30</v>
      </c>
      <c r="H534" s="34" t="s">
        <v>21</v>
      </c>
      <c r="I534" s="34" t="s">
        <v>19</v>
      </c>
      <c r="J534" s="34" t="s">
        <v>22</v>
      </c>
      <c r="K534" s="34" t="s">
        <v>46</v>
      </c>
      <c r="L534" s="34" t="s">
        <v>47</v>
      </c>
      <c r="M534">
        <v>0.67287869999999994</v>
      </c>
    </row>
    <row r="535" spans="1:13" x14ac:dyDescent="0.3">
      <c r="A535" s="34" t="s">
        <v>662</v>
      </c>
      <c r="B535">
        <v>-1</v>
      </c>
      <c r="C535">
        <v>2050</v>
      </c>
      <c r="D535" s="34" t="s">
        <v>309</v>
      </c>
      <c r="E535" s="34" t="s">
        <v>310</v>
      </c>
      <c r="F535" s="34" t="s">
        <v>601</v>
      </c>
      <c r="G535" s="34" t="s">
        <v>30</v>
      </c>
      <c r="H535" s="34" t="s">
        <v>21</v>
      </c>
      <c r="I535" s="34" t="s">
        <v>19</v>
      </c>
      <c r="J535" s="34" t="s">
        <v>22</v>
      </c>
      <c r="K535" s="34" t="s">
        <v>48</v>
      </c>
      <c r="L535" s="34" t="s">
        <v>47</v>
      </c>
      <c r="M535">
        <v>-0.67287869999999994</v>
      </c>
    </row>
    <row r="536" spans="1:13" x14ac:dyDescent="0.3">
      <c r="A536" s="34" t="s">
        <v>662</v>
      </c>
      <c r="B536">
        <v>-1</v>
      </c>
      <c r="C536">
        <v>2050</v>
      </c>
      <c r="D536" s="34" t="s">
        <v>309</v>
      </c>
      <c r="E536" s="34" t="s">
        <v>311</v>
      </c>
      <c r="F536" s="34" t="s">
        <v>471</v>
      </c>
      <c r="G536" s="34" t="s">
        <v>170</v>
      </c>
      <c r="H536" s="34" t="s">
        <v>18</v>
      </c>
      <c r="I536" s="34" t="s">
        <v>19</v>
      </c>
      <c r="J536" s="34" t="s">
        <v>32</v>
      </c>
      <c r="K536" s="34" t="s">
        <v>46</v>
      </c>
      <c r="L536" s="34" t="s">
        <v>47</v>
      </c>
      <c r="M536">
        <v>0.407485221835787</v>
      </c>
    </row>
    <row r="537" spans="1:13" x14ac:dyDescent="0.3">
      <c r="A537" s="34" t="s">
        <v>662</v>
      </c>
      <c r="B537">
        <v>-1</v>
      </c>
      <c r="C537">
        <v>2050</v>
      </c>
      <c r="D537" s="34" t="s">
        <v>309</v>
      </c>
      <c r="E537" s="34" t="s">
        <v>311</v>
      </c>
      <c r="F537" s="34" t="s">
        <v>471</v>
      </c>
      <c r="G537" s="34" t="s">
        <v>171</v>
      </c>
      <c r="H537" s="34" t="s">
        <v>18</v>
      </c>
      <c r="I537" s="34" t="s">
        <v>19</v>
      </c>
      <c r="J537" s="34" t="s">
        <v>32</v>
      </c>
      <c r="K537" s="34" t="s">
        <v>46</v>
      </c>
      <c r="L537" s="34" t="s">
        <v>47</v>
      </c>
      <c r="M537">
        <v>0.51548522183578704</v>
      </c>
    </row>
    <row r="538" spans="1:13" x14ac:dyDescent="0.3">
      <c r="A538" s="34" t="s">
        <v>662</v>
      </c>
      <c r="B538">
        <v>-1</v>
      </c>
      <c r="C538">
        <v>2050</v>
      </c>
      <c r="D538" s="34" t="s">
        <v>309</v>
      </c>
      <c r="E538" s="34" t="s">
        <v>311</v>
      </c>
      <c r="F538" s="34" t="s">
        <v>471</v>
      </c>
      <c r="G538" s="34" t="s">
        <v>172</v>
      </c>
      <c r="H538" s="34" t="s">
        <v>18</v>
      </c>
      <c r="I538" s="34" t="s">
        <v>19</v>
      </c>
      <c r="J538" s="34" t="s">
        <v>32</v>
      </c>
      <c r="K538" s="34" t="s">
        <v>46</v>
      </c>
      <c r="L538" s="34" t="s">
        <v>47</v>
      </c>
      <c r="M538">
        <v>0.51548522183578704</v>
      </c>
    </row>
    <row r="539" spans="1:13" x14ac:dyDescent="0.3">
      <c r="A539" s="34" t="s">
        <v>662</v>
      </c>
      <c r="B539">
        <v>-1</v>
      </c>
      <c r="C539">
        <v>2050</v>
      </c>
      <c r="D539" s="34" t="s">
        <v>309</v>
      </c>
      <c r="E539" s="34" t="s">
        <v>311</v>
      </c>
      <c r="F539" s="34" t="s">
        <v>471</v>
      </c>
      <c r="G539" s="34" t="s">
        <v>173</v>
      </c>
      <c r="H539" s="34" t="s">
        <v>18</v>
      </c>
      <c r="I539" s="34" t="s">
        <v>19</v>
      </c>
      <c r="J539" s="34" t="s">
        <v>32</v>
      </c>
      <c r="K539" s="34" t="s">
        <v>46</v>
      </c>
      <c r="L539" s="34" t="s">
        <v>47</v>
      </c>
      <c r="M539">
        <v>0.51548522183578704</v>
      </c>
    </row>
    <row r="540" spans="1:13" x14ac:dyDescent="0.3">
      <c r="A540" s="34" t="s">
        <v>662</v>
      </c>
      <c r="B540">
        <v>-1</v>
      </c>
      <c r="C540">
        <v>2050</v>
      </c>
      <c r="D540" s="34" t="s">
        <v>309</v>
      </c>
      <c r="E540" s="34" t="s">
        <v>311</v>
      </c>
      <c r="F540" s="34" t="s">
        <v>471</v>
      </c>
      <c r="G540" s="34" t="s">
        <v>174</v>
      </c>
      <c r="H540" s="34" t="s">
        <v>18</v>
      </c>
      <c r="I540" s="34" t="s">
        <v>19</v>
      </c>
      <c r="J540" s="34" t="s">
        <v>32</v>
      </c>
      <c r="K540" s="34" t="s">
        <v>46</v>
      </c>
      <c r="L540" s="34" t="s">
        <v>47</v>
      </c>
      <c r="M540">
        <v>0.51548522183578704</v>
      </c>
    </row>
    <row r="541" spans="1:13" x14ac:dyDescent="0.3">
      <c r="A541" s="34" t="s">
        <v>662</v>
      </c>
      <c r="B541">
        <v>-1</v>
      </c>
      <c r="C541">
        <v>2050</v>
      </c>
      <c r="D541" s="34" t="s">
        <v>309</v>
      </c>
      <c r="E541" s="34" t="s">
        <v>311</v>
      </c>
      <c r="F541" s="34" t="s">
        <v>471</v>
      </c>
      <c r="G541" s="34" t="s">
        <v>175</v>
      </c>
      <c r="H541" s="34" t="s">
        <v>18</v>
      </c>
      <c r="I541" s="34" t="s">
        <v>19</v>
      </c>
      <c r="J541" s="34" t="s">
        <v>32</v>
      </c>
      <c r="K541" s="34" t="s">
        <v>46</v>
      </c>
      <c r="L541" s="34" t="s">
        <v>47</v>
      </c>
      <c r="M541">
        <v>0.51548522183578704</v>
      </c>
    </row>
    <row r="542" spans="1:13" x14ac:dyDescent="0.3">
      <c r="A542" s="34" t="s">
        <v>662</v>
      </c>
      <c r="B542">
        <v>-1</v>
      </c>
      <c r="C542">
        <v>2050</v>
      </c>
      <c r="D542" s="34" t="s">
        <v>309</v>
      </c>
      <c r="E542" s="34" t="s">
        <v>311</v>
      </c>
      <c r="F542" s="34" t="s">
        <v>471</v>
      </c>
      <c r="G542" s="34" t="s">
        <v>176</v>
      </c>
      <c r="H542" s="34" t="s">
        <v>18</v>
      </c>
      <c r="I542" s="34" t="s">
        <v>19</v>
      </c>
      <c r="J542" s="34" t="s">
        <v>32</v>
      </c>
      <c r="K542" s="34" t="s">
        <v>46</v>
      </c>
      <c r="L542" s="34" t="s">
        <v>47</v>
      </c>
      <c r="M542">
        <v>0.51548522183578704</v>
      </c>
    </row>
    <row r="543" spans="1:13" x14ac:dyDescent="0.3">
      <c r="A543" s="34" t="s">
        <v>662</v>
      </c>
      <c r="B543">
        <v>-1</v>
      </c>
      <c r="C543">
        <v>2050</v>
      </c>
      <c r="D543" s="34" t="s">
        <v>309</v>
      </c>
      <c r="E543" s="34" t="s">
        <v>311</v>
      </c>
      <c r="F543" s="34" t="s">
        <v>471</v>
      </c>
      <c r="G543" s="34" t="s">
        <v>177</v>
      </c>
      <c r="H543" s="34" t="s">
        <v>18</v>
      </c>
      <c r="I543" s="34" t="s">
        <v>19</v>
      </c>
      <c r="J543" s="34" t="s">
        <v>32</v>
      </c>
      <c r="K543" s="34" t="s">
        <v>46</v>
      </c>
      <c r="L543" s="34" t="s">
        <v>47</v>
      </c>
      <c r="M543">
        <v>0.51548522183578704</v>
      </c>
    </row>
    <row r="544" spans="1:13" x14ac:dyDescent="0.3">
      <c r="A544" s="34" t="s">
        <v>662</v>
      </c>
      <c r="B544">
        <v>-1</v>
      </c>
      <c r="C544">
        <v>2050</v>
      </c>
      <c r="D544" s="34" t="s">
        <v>309</v>
      </c>
      <c r="E544" s="34" t="s">
        <v>311</v>
      </c>
      <c r="F544" s="34" t="s">
        <v>471</v>
      </c>
      <c r="G544" s="34" t="s">
        <v>178</v>
      </c>
      <c r="H544" s="34" t="s">
        <v>18</v>
      </c>
      <c r="I544" s="34" t="s">
        <v>19</v>
      </c>
      <c r="J544" s="34" t="s">
        <v>32</v>
      </c>
      <c r="K544" s="34" t="s">
        <v>46</v>
      </c>
      <c r="L544" s="34" t="s">
        <v>47</v>
      </c>
      <c r="M544">
        <v>0.51548522183578704</v>
      </c>
    </row>
    <row r="545" spans="1:13" x14ac:dyDescent="0.3">
      <c r="A545" s="34" t="s">
        <v>662</v>
      </c>
      <c r="B545">
        <v>-1</v>
      </c>
      <c r="C545">
        <v>2050</v>
      </c>
      <c r="D545" s="34" t="s">
        <v>309</v>
      </c>
      <c r="E545" s="34" t="s">
        <v>311</v>
      </c>
      <c r="F545" s="34" t="s">
        <v>471</v>
      </c>
      <c r="G545" s="34" t="s">
        <v>179</v>
      </c>
      <c r="H545" s="34" t="s">
        <v>18</v>
      </c>
      <c r="I545" s="34" t="s">
        <v>19</v>
      </c>
      <c r="J545" s="34" t="s">
        <v>32</v>
      </c>
      <c r="K545" s="34" t="s">
        <v>46</v>
      </c>
      <c r="L545" s="34" t="s">
        <v>47</v>
      </c>
      <c r="M545">
        <v>0.51548522183578704</v>
      </c>
    </row>
    <row r="546" spans="1:13" x14ac:dyDescent="0.3">
      <c r="A546" s="34" t="s">
        <v>662</v>
      </c>
      <c r="B546">
        <v>-1</v>
      </c>
      <c r="C546">
        <v>2050</v>
      </c>
      <c r="D546" s="34" t="s">
        <v>309</v>
      </c>
      <c r="E546" s="34" t="s">
        <v>311</v>
      </c>
      <c r="F546" s="34" t="s">
        <v>471</v>
      </c>
      <c r="G546" s="34" t="s">
        <v>185</v>
      </c>
      <c r="H546" s="34" t="s">
        <v>18</v>
      </c>
      <c r="I546" s="34" t="s">
        <v>19</v>
      </c>
      <c r="J546" s="34" t="s">
        <v>32</v>
      </c>
      <c r="K546" s="34" t="s">
        <v>46</v>
      </c>
      <c r="L546" s="34" t="s">
        <v>47</v>
      </c>
      <c r="M546">
        <v>0.108</v>
      </c>
    </row>
    <row r="547" spans="1:13" x14ac:dyDescent="0.3">
      <c r="A547" s="34" t="s">
        <v>662</v>
      </c>
      <c r="B547">
        <v>-1</v>
      </c>
      <c r="C547">
        <v>2050</v>
      </c>
      <c r="D547" s="34" t="s">
        <v>309</v>
      </c>
      <c r="E547" s="34" t="s">
        <v>311</v>
      </c>
      <c r="F547" s="34" t="s">
        <v>471</v>
      </c>
      <c r="G547" s="34" t="s">
        <v>180</v>
      </c>
      <c r="H547" s="34" t="s">
        <v>18</v>
      </c>
      <c r="I547" s="34" t="s">
        <v>19</v>
      </c>
      <c r="J547" s="34" t="s">
        <v>181</v>
      </c>
      <c r="K547" s="34" t="s">
        <v>46</v>
      </c>
      <c r="L547" s="34" t="s">
        <v>47</v>
      </c>
      <c r="M547">
        <v>2.9209877816421299</v>
      </c>
    </row>
    <row r="548" spans="1:13" x14ac:dyDescent="0.3">
      <c r="A548" s="34" t="s">
        <v>662</v>
      </c>
      <c r="B548">
        <v>-1</v>
      </c>
      <c r="C548">
        <v>2050</v>
      </c>
      <c r="D548" s="34" t="s">
        <v>309</v>
      </c>
      <c r="E548" s="34" t="s">
        <v>311</v>
      </c>
      <c r="F548" s="34" t="s">
        <v>472</v>
      </c>
      <c r="G548" s="34" t="s">
        <v>247</v>
      </c>
      <c r="H548" s="34" t="s">
        <v>209</v>
      </c>
      <c r="I548" s="34" t="s">
        <v>19</v>
      </c>
      <c r="J548" s="34" t="s">
        <v>27</v>
      </c>
      <c r="K548" s="34" t="s">
        <v>46</v>
      </c>
      <c r="L548" s="34" t="s">
        <v>47</v>
      </c>
      <c r="M548">
        <v>1.3000000000000001E-2</v>
      </c>
    </row>
    <row r="549" spans="1:13" x14ac:dyDescent="0.3">
      <c r="A549" s="34" t="s">
        <v>662</v>
      </c>
      <c r="B549">
        <v>-1</v>
      </c>
      <c r="C549">
        <v>2050</v>
      </c>
      <c r="D549" s="34" t="s">
        <v>309</v>
      </c>
      <c r="E549" s="34" t="s">
        <v>311</v>
      </c>
      <c r="F549" s="34" t="s">
        <v>472</v>
      </c>
      <c r="G549" s="34" t="s">
        <v>247</v>
      </c>
      <c r="H549" s="34" t="s">
        <v>209</v>
      </c>
      <c r="I549" s="34" t="s">
        <v>19</v>
      </c>
      <c r="J549" s="34" t="s">
        <v>27</v>
      </c>
      <c r="K549" s="34" t="s">
        <v>48</v>
      </c>
      <c r="L549" s="34" t="s">
        <v>47</v>
      </c>
      <c r="M549">
        <v>-1.3000000000000001E-2</v>
      </c>
    </row>
    <row r="550" spans="1:13" x14ac:dyDescent="0.3">
      <c r="A550" s="34" t="s">
        <v>662</v>
      </c>
      <c r="B550">
        <v>-1</v>
      </c>
      <c r="C550">
        <v>2050</v>
      </c>
      <c r="D550" s="34" t="s">
        <v>309</v>
      </c>
      <c r="E550" s="34" t="s">
        <v>311</v>
      </c>
      <c r="F550" s="34" t="s">
        <v>472</v>
      </c>
      <c r="G550" s="34" t="s">
        <v>11</v>
      </c>
      <c r="H550" s="34" t="s">
        <v>12</v>
      </c>
      <c r="I550" s="34" t="s">
        <v>13</v>
      </c>
      <c r="J550" s="34" t="s">
        <v>14</v>
      </c>
      <c r="K550" s="34" t="s">
        <v>46</v>
      </c>
      <c r="L550" s="34" t="s">
        <v>47</v>
      </c>
      <c r="M550">
        <v>0.32899999999999996</v>
      </c>
    </row>
    <row r="551" spans="1:13" x14ac:dyDescent="0.3">
      <c r="A551" s="34" t="s">
        <v>662</v>
      </c>
      <c r="B551">
        <v>-1</v>
      </c>
      <c r="C551">
        <v>2050</v>
      </c>
      <c r="D551" s="34" t="s">
        <v>309</v>
      </c>
      <c r="E551" s="34" t="s">
        <v>311</v>
      </c>
      <c r="F551" s="34" t="s">
        <v>472</v>
      </c>
      <c r="G551" s="34" t="s">
        <v>11</v>
      </c>
      <c r="H551" s="34" t="s">
        <v>12</v>
      </c>
      <c r="I551" s="34" t="s">
        <v>13</v>
      </c>
      <c r="J551" s="34" t="s">
        <v>14</v>
      </c>
      <c r="K551" s="34" t="s">
        <v>48</v>
      </c>
      <c r="L551" s="34" t="s">
        <v>47</v>
      </c>
      <c r="M551">
        <v>-8.2000000000000128E-2</v>
      </c>
    </row>
    <row r="552" spans="1:13" x14ac:dyDescent="0.3">
      <c r="A552" s="34" t="s">
        <v>662</v>
      </c>
      <c r="B552">
        <v>-1</v>
      </c>
      <c r="C552">
        <v>2050</v>
      </c>
      <c r="D552" s="34" t="s">
        <v>309</v>
      </c>
      <c r="E552" s="34" t="s">
        <v>311</v>
      </c>
      <c r="F552" s="34" t="s">
        <v>472</v>
      </c>
      <c r="G552" s="34" t="s">
        <v>16</v>
      </c>
      <c r="H552" s="34" t="s">
        <v>12</v>
      </c>
      <c r="I552" s="34" t="s">
        <v>13</v>
      </c>
      <c r="J552" s="34" t="s">
        <v>14</v>
      </c>
      <c r="K552" s="34" t="s">
        <v>49</v>
      </c>
      <c r="L552" s="34" t="s">
        <v>47</v>
      </c>
      <c r="M552">
        <v>0.8525167808774774</v>
      </c>
    </row>
    <row r="553" spans="1:13" x14ac:dyDescent="0.3">
      <c r="A553" s="34" t="s">
        <v>662</v>
      </c>
      <c r="B553">
        <v>-1</v>
      </c>
      <c r="C553">
        <v>2050</v>
      </c>
      <c r="D553" s="34" t="s">
        <v>309</v>
      </c>
      <c r="E553" s="34" t="s">
        <v>311</v>
      </c>
      <c r="F553" s="34" t="s">
        <v>472</v>
      </c>
      <c r="G553" s="34" t="s">
        <v>41</v>
      </c>
      <c r="H553" s="34" t="s">
        <v>40</v>
      </c>
      <c r="I553" s="34" t="s">
        <v>13</v>
      </c>
      <c r="J553" s="34" t="s">
        <v>42</v>
      </c>
      <c r="K553" s="34" t="s">
        <v>46</v>
      </c>
      <c r="L553" s="34" t="s">
        <v>47</v>
      </c>
      <c r="M553">
        <v>0.18788526078142312</v>
      </c>
    </row>
    <row r="554" spans="1:13" x14ac:dyDescent="0.3">
      <c r="A554" s="34" t="s">
        <v>662</v>
      </c>
      <c r="B554">
        <v>-1</v>
      </c>
      <c r="C554">
        <v>2050</v>
      </c>
      <c r="D554" s="34" t="s">
        <v>309</v>
      </c>
      <c r="E554" s="34" t="s">
        <v>311</v>
      </c>
      <c r="F554" s="34" t="s">
        <v>472</v>
      </c>
      <c r="G554" s="34" t="s">
        <v>41</v>
      </c>
      <c r="H554" s="34" t="s">
        <v>40</v>
      </c>
      <c r="I554" s="34" t="s">
        <v>13</v>
      </c>
      <c r="J554" s="34" t="s">
        <v>42</v>
      </c>
      <c r="K554" s="34" t="s">
        <v>48</v>
      </c>
      <c r="L554" s="34" t="s">
        <v>47</v>
      </c>
      <c r="M554">
        <v>-0.18788526078142312</v>
      </c>
    </row>
    <row r="555" spans="1:13" x14ac:dyDescent="0.3">
      <c r="A555" s="34" t="s">
        <v>662</v>
      </c>
      <c r="B555">
        <v>-1</v>
      </c>
      <c r="C555">
        <v>2050</v>
      </c>
      <c r="D555" s="34" t="s">
        <v>309</v>
      </c>
      <c r="E555" s="34" t="s">
        <v>311</v>
      </c>
      <c r="F555" s="34" t="s">
        <v>602</v>
      </c>
      <c r="G555" s="34" t="s">
        <v>29</v>
      </c>
      <c r="H555" s="34" t="s">
        <v>21</v>
      </c>
      <c r="I555" s="34" t="s">
        <v>19</v>
      </c>
      <c r="J555" s="34" t="s">
        <v>22</v>
      </c>
      <c r="K555" s="34" t="s">
        <v>46</v>
      </c>
      <c r="L555" s="34" t="s">
        <v>47</v>
      </c>
      <c r="M555">
        <v>6.8148000000000002E-3</v>
      </c>
    </row>
    <row r="556" spans="1:13" x14ac:dyDescent="0.3">
      <c r="A556" s="34" t="s">
        <v>662</v>
      </c>
      <c r="B556">
        <v>-1</v>
      </c>
      <c r="C556">
        <v>2050</v>
      </c>
      <c r="D556" s="34" t="s">
        <v>309</v>
      </c>
      <c r="E556" s="34" t="s">
        <v>311</v>
      </c>
      <c r="F556" s="34" t="s">
        <v>602</v>
      </c>
      <c r="G556" s="34" t="s">
        <v>29</v>
      </c>
      <c r="H556" s="34" t="s">
        <v>21</v>
      </c>
      <c r="I556" s="34" t="s">
        <v>19</v>
      </c>
      <c r="J556" s="34" t="s">
        <v>22</v>
      </c>
      <c r="K556" s="34" t="s">
        <v>48</v>
      </c>
      <c r="L556" s="34" t="s">
        <v>47</v>
      </c>
      <c r="M556">
        <v>-6.8148000000000019E-3</v>
      </c>
    </row>
    <row r="557" spans="1:13" x14ac:dyDescent="0.3">
      <c r="A557" s="34" t="s">
        <v>662</v>
      </c>
      <c r="B557">
        <v>-1</v>
      </c>
      <c r="C557">
        <v>2050</v>
      </c>
      <c r="D557" s="34" t="s">
        <v>309</v>
      </c>
      <c r="E557" s="34" t="s">
        <v>311</v>
      </c>
      <c r="F557" s="34" t="s">
        <v>602</v>
      </c>
      <c r="G557" s="34" t="s">
        <v>20</v>
      </c>
      <c r="H557" s="34" t="s">
        <v>21</v>
      </c>
      <c r="I557" s="34" t="s">
        <v>19</v>
      </c>
      <c r="J557" s="34" t="s">
        <v>22</v>
      </c>
      <c r="K557" s="34" t="s">
        <v>46</v>
      </c>
      <c r="L557" s="34" t="s">
        <v>47</v>
      </c>
      <c r="M557">
        <v>2.7777881999999998</v>
      </c>
    </row>
    <row r="558" spans="1:13" x14ac:dyDescent="0.3">
      <c r="A558" s="34" t="s">
        <v>662</v>
      </c>
      <c r="B558">
        <v>-1</v>
      </c>
      <c r="C558">
        <v>2050</v>
      </c>
      <c r="D558" s="34" t="s">
        <v>309</v>
      </c>
      <c r="E558" s="34" t="s">
        <v>311</v>
      </c>
      <c r="F558" s="34" t="s">
        <v>602</v>
      </c>
      <c r="G558" s="34" t="s">
        <v>20</v>
      </c>
      <c r="H558" s="34" t="s">
        <v>21</v>
      </c>
      <c r="I558" s="34" t="s">
        <v>19</v>
      </c>
      <c r="J558" s="34" t="s">
        <v>22</v>
      </c>
      <c r="K558" s="34" t="s">
        <v>48</v>
      </c>
      <c r="L558" s="34" t="s">
        <v>47</v>
      </c>
      <c r="M558">
        <v>-2.7777881999999994</v>
      </c>
    </row>
    <row r="559" spans="1:13" x14ac:dyDescent="0.3">
      <c r="A559" s="34" t="s">
        <v>662</v>
      </c>
      <c r="B559">
        <v>-1</v>
      </c>
      <c r="C559">
        <v>2050</v>
      </c>
      <c r="D559" s="34" t="s">
        <v>309</v>
      </c>
      <c r="E559" s="34" t="s">
        <v>311</v>
      </c>
      <c r="F559" s="34" t="s">
        <v>602</v>
      </c>
      <c r="G559" s="34" t="s">
        <v>30</v>
      </c>
      <c r="H559" s="34" t="s">
        <v>21</v>
      </c>
      <c r="I559" s="34" t="s">
        <v>19</v>
      </c>
      <c r="J559" s="34" t="s">
        <v>22</v>
      </c>
      <c r="K559" s="34" t="s">
        <v>46</v>
      </c>
      <c r="L559" s="34" t="s">
        <v>47</v>
      </c>
      <c r="M559">
        <v>1.0010184</v>
      </c>
    </row>
    <row r="560" spans="1:13" x14ac:dyDescent="0.3">
      <c r="A560" s="34" t="s">
        <v>662</v>
      </c>
      <c r="B560">
        <v>-1</v>
      </c>
      <c r="C560">
        <v>2050</v>
      </c>
      <c r="D560" s="34" t="s">
        <v>309</v>
      </c>
      <c r="E560" s="34" t="s">
        <v>311</v>
      </c>
      <c r="F560" s="34" t="s">
        <v>602</v>
      </c>
      <c r="G560" s="34" t="s">
        <v>30</v>
      </c>
      <c r="H560" s="34" t="s">
        <v>21</v>
      </c>
      <c r="I560" s="34" t="s">
        <v>19</v>
      </c>
      <c r="J560" s="34" t="s">
        <v>22</v>
      </c>
      <c r="K560" s="34" t="s">
        <v>48</v>
      </c>
      <c r="L560" s="34" t="s">
        <v>47</v>
      </c>
      <c r="M560">
        <v>-1.0010184</v>
      </c>
    </row>
    <row r="561" spans="1:13" x14ac:dyDescent="0.3">
      <c r="A561" s="34" t="s">
        <v>662</v>
      </c>
      <c r="B561">
        <v>-1</v>
      </c>
      <c r="C561">
        <v>2050</v>
      </c>
      <c r="D561" s="34" t="s">
        <v>309</v>
      </c>
      <c r="E561" s="34" t="s">
        <v>311</v>
      </c>
      <c r="F561" s="34" t="s">
        <v>602</v>
      </c>
      <c r="G561" s="34" t="s">
        <v>644</v>
      </c>
      <c r="H561" s="34" t="s">
        <v>21</v>
      </c>
      <c r="I561" s="34" t="s">
        <v>19</v>
      </c>
      <c r="J561" s="34" t="s">
        <v>22</v>
      </c>
      <c r="K561" s="34" t="s">
        <v>49</v>
      </c>
      <c r="L561" s="34" t="s">
        <v>47</v>
      </c>
      <c r="M561">
        <v>11.036036036036021</v>
      </c>
    </row>
    <row r="562" spans="1:13" x14ac:dyDescent="0.3">
      <c r="A562" s="34" t="s">
        <v>662</v>
      </c>
      <c r="B562">
        <v>-1</v>
      </c>
      <c r="C562">
        <v>2050</v>
      </c>
      <c r="D562" s="34" t="s">
        <v>309</v>
      </c>
      <c r="E562" s="34" t="s">
        <v>312</v>
      </c>
      <c r="F562" s="34" t="s">
        <v>473</v>
      </c>
      <c r="G562" s="34" t="s">
        <v>218</v>
      </c>
      <c r="H562" s="34" t="s">
        <v>201</v>
      </c>
      <c r="I562" s="34" t="s">
        <v>19</v>
      </c>
      <c r="J562" s="34" t="s">
        <v>27</v>
      </c>
      <c r="K562" s="34" t="s">
        <v>46</v>
      </c>
      <c r="L562" s="34" t="s">
        <v>47</v>
      </c>
      <c r="M562">
        <v>3.5000000000000003E-2</v>
      </c>
    </row>
    <row r="563" spans="1:13" x14ac:dyDescent="0.3">
      <c r="A563" s="34" t="s">
        <v>662</v>
      </c>
      <c r="B563">
        <v>-1</v>
      </c>
      <c r="C563">
        <v>2050</v>
      </c>
      <c r="D563" s="34" t="s">
        <v>309</v>
      </c>
      <c r="E563" s="34" t="s">
        <v>312</v>
      </c>
      <c r="F563" s="34" t="s">
        <v>473</v>
      </c>
      <c r="G563" s="34" t="s">
        <v>218</v>
      </c>
      <c r="H563" s="34" t="s">
        <v>201</v>
      </c>
      <c r="I563" s="34" t="s">
        <v>19</v>
      </c>
      <c r="J563" s="34" t="s">
        <v>27</v>
      </c>
      <c r="K563" s="34" t="s">
        <v>48</v>
      </c>
      <c r="L563" s="34" t="s">
        <v>47</v>
      </c>
      <c r="M563">
        <v>-3.5000000000000003E-2</v>
      </c>
    </row>
    <row r="564" spans="1:13" x14ac:dyDescent="0.3">
      <c r="A564" s="34" t="s">
        <v>662</v>
      </c>
      <c r="B564">
        <v>-1</v>
      </c>
      <c r="C564">
        <v>2050</v>
      </c>
      <c r="D564" s="34" t="s">
        <v>309</v>
      </c>
      <c r="E564" s="34" t="s">
        <v>312</v>
      </c>
      <c r="F564" s="34" t="s">
        <v>473</v>
      </c>
      <c r="G564" s="34" t="s">
        <v>474</v>
      </c>
      <c r="H564" s="34" t="s">
        <v>201</v>
      </c>
      <c r="I564" s="34" t="s">
        <v>19</v>
      </c>
      <c r="J564" s="34" t="s">
        <v>27</v>
      </c>
      <c r="K564" s="34" t="s">
        <v>46</v>
      </c>
      <c r="L564" s="34" t="s">
        <v>47</v>
      </c>
      <c r="M564">
        <v>0.86499999999999999</v>
      </c>
    </row>
    <row r="565" spans="1:13" x14ac:dyDescent="0.3">
      <c r="A565" s="34" t="s">
        <v>662</v>
      </c>
      <c r="B565">
        <v>-1</v>
      </c>
      <c r="C565">
        <v>2050</v>
      </c>
      <c r="D565" s="34" t="s">
        <v>309</v>
      </c>
      <c r="E565" s="34" t="s">
        <v>312</v>
      </c>
      <c r="F565" s="34" t="s">
        <v>473</v>
      </c>
      <c r="G565" s="34" t="s">
        <v>474</v>
      </c>
      <c r="H565" s="34" t="s">
        <v>201</v>
      </c>
      <c r="I565" s="34" t="s">
        <v>19</v>
      </c>
      <c r="J565" s="34" t="s">
        <v>27</v>
      </c>
      <c r="K565" s="34" t="s">
        <v>48</v>
      </c>
      <c r="L565" s="34" t="s">
        <v>47</v>
      </c>
      <c r="M565">
        <v>-0.86499999999999999</v>
      </c>
    </row>
    <row r="566" spans="1:13" x14ac:dyDescent="0.3">
      <c r="A566" s="34" t="s">
        <v>662</v>
      </c>
      <c r="B566">
        <v>-1</v>
      </c>
      <c r="C566">
        <v>2050</v>
      </c>
      <c r="D566" s="34" t="s">
        <v>309</v>
      </c>
      <c r="E566" s="34" t="s">
        <v>312</v>
      </c>
      <c r="F566" s="34" t="s">
        <v>473</v>
      </c>
      <c r="G566" s="34" t="s">
        <v>170</v>
      </c>
      <c r="H566" s="34" t="s">
        <v>18</v>
      </c>
      <c r="I566" s="34" t="s">
        <v>19</v>
      </c>
      <c r="J566" s="34" t="s">
        <v>32</v>
      </c>
      <c r="K566" s="34" t="s">
        <v>46</v>
      </c>
      <c r="L566" s="34" t="s">
        <v>47</v>
      </c>
      <c r="M566">
        <v>0.13159999999999999</v>
      </c>
    </row>
    <row r="567" spans="1:13" x14ac:dyDescent="0.3">
      <c r="A567" s="34" t="s">
        <v>662</v>
      </c>
      <c r="B567">
        <v>-1</v>
      </c>
      <c r="C567">
        <v>2050</v>
      </c>
      <c r="D567" s="34" t="s">
        <v>309</v>
      </c>
      <c r="E567" s="34" t="s">
        <v>312</v>
      </c>
      <c r="F567" s="34" t="s">
        <v>473</v>
      </c>
      <c r="G567" s="34" t="s">
        <v>171</v>
      </c>
      <c r="H567" s="34" t="s">
        <v>18</v>
      </c>
      <c r="I567" s="34" t="s">
        <v>19</v>
      </c>
      <c r="J567" s="34" t="s">
        <v>32</v>
      </c>
      <c r="K567" s="34" t="s">
        <v>46</v>
      </c>
      <c r="L567" s="34" t="s">
        <v>47</v>
      </c>
      <c r="M567">
        <v>0.13159999999999999</v>
      </c>
    </row>
    <row r="568" spans="1:13" x14ac:dyDescent="0.3">
      <c r="A568" s="34" t="s">
        <v>662</v>
      </c>
      <c r="B568">
        <v>-1</v>
      </c>
      <c r="C568">
        <v>2050</v>
      </c>
      <c r="D568" s="34" t="s">
        <v>309</v>
      </c>
      <c r="E568" s="34" t="s">
        <v>312</v>
      </c>
      <c r="F568" s="34" t="s">
        <v>473</v>
      </c>
      <c r="G568" s="34" t="s">
        <v>172</v>
      </c>
      <c r="H568" s="34" t="s">
        <v>18</v>
      </c>
      <c r="I568" s="34" t="s">
        <v>19</v>
      </c>
      <c r="J568" s="34" t="s">
        <v>32</v>
      </c>
      <c r="K568" s="34" t="s">
        <v>46</v>
      </c>
      <c r="L568" s="34" t="s">
        <v>47</v>
      </c>
      <c r="M568">
        <v>0.13159999999999999</v>
      </c>
    </row>
    <row r="569" spans="1:13" x14ac:dyDescent="0.3">
      <c r="A569" s="34" t="s">
        <v>662</v>
      </c>
      <c r="B569">
        <v>-1</v>
      </c>
      <c r="C569">
        <v>2050</v>
      </c>
      <c r="D569" s="34" t="s">
        <v>309</v>
      </c>
      <c r="E569" s="34" t="s">
        <v>312</v>
      </c>
      <c r="F569" s="34" t="s">
        <v>473</v>
      </c>
      <c r="G569" s="34" t="s">
        <v>173</v>
      </c>
      <c r="H569" s="34" t="s">
        <v>18</v>
      </c>
      <c r="I569" s="34" t="s">
        <v>19</v>
      </c>
      <c r="J569" s="34" t="s">
        <v>32</v>
      </c>
      <c r="K569" s="34" t="s">
        <v>46</v>
      </c>
      <c r="L569" s="34" t="s">
        <v>47</v>
      </c>
      <c r="M569">
        <v>0.13159999999999999</v>
      </c>
    </row>
    <row r="570" spans="1:13" x14ac:dyDescent="0.3">
      <c r="A570" s="34" t="s">
        <v>662</v>
      </c>
      <c r="B570">
        <v>-1</v>
      </c>
      <c r="C570">
        <v>2050</v>
      </c>
      <c r="D570" s="34" t="s">
        <v>309</v>
      </c>
      <c r="E570" s="34" t="s">
        <v>312</v>
      </c>
      <c r="F570" s="34" t="s">
        <v>473</v>
      </c>
      <c r="G570" s="34" t="s">
        <v>174</v>
      </c>
      <c r="H570" s="34" t="s">
        <v>18</v>
      </c>
      <c r="I570" s="34" t="s">
        <v>19</v>
      </c>
      <c r="J570" s="34" t="s">
        <v>32</v>
      </c>
      <c r="K570" s="34" t="s">
        <v>46</v>
      </c>
      <c r="L570" s="34" t="s">
        <v>47</v>
      </c>
      <c r="M570">
        <v>0.13159999999999999</v>
      </c>
    </row>
    <row r="571" spans="1:13" x14ac:dyDescent="0.3">
      <c r="A571" s="34" t="s">
        <v>662</v>
      </c>
      <c r="B571">
        <v>-1</v>
      </c>
      <c r="C571">
        <v>2050</v>
      </c>
      <c r="D571" s="34" t="s">
        <v>309</v>
      </c>
      <c r="E571" s="34" t="s">
        <v>312</v>
      </c>
      <c r="F571" s="34" t="s">
        <v>473</v>
      </c>
      <c r="G571" s="34" t="s">
        <v>175</v>
      </c>
      <c r="H571" s="34" t="s">
        <v>18</v>
      </c>
      <c r="I571" s="34" t="s">
        <v>19</v>
      </c>
      <c r="J571" s="34" t="s">
        <v>32</v>
      </c>
      <c r="K571" s="34" t="s">
        <v>46</v>
      </c>
      <c r="L571" s="34" t="s">
        <v>47</v>
      </c>
      <c r="M571">
        <v>0.13159999999999999</v>
      </c>
    </row>
    <row r="572" spans="1:13" x14ac:dyDescent="0.3">
      <c r="A572" s="34" t="s">
        <v>662</v>
      </c>
      <c r="B572">
        <v>-1</v>
      </c>
      <c r="C572">
        <v>2050</v>
      </c>
      <c r="D572" s="34" t="s">
        <v>309</v>
      </c>
      <c r="E572" s="34" t="s">
        <v>312</v>
      </c>
      <c r="F572" s="34" t="s">
        <v>473</v>
      </c>
      <c r="G572" s="34" t="s">
        <v>176</v>
      </c>
      <c r="H572" s="34" t="s">
        <v>18</v>
      </c>
      <c r="I572" s="34" t="s">
        <v>19</v>
      </c>
      <c r="J572" s="34" t="s">
        <v>32</v>
      </c>
      <c r="K572" s="34" t="s">
        <v>46</v>
      </c>
      <c r="L572" s="34" t="s">
        <v>47</v>
      </c>
      <c r="M572">
        <v>0.13159999999999999</v>
      </c>
    </row>
    <row r="573" spans="1:13" x14ac:dyDescent="0.3">
      <c r="A573" s="34" t="s">
        <v>662</v>
      </c>
      <c r="B573">
        <v>-1</v>
      </c>
      <c r="C573">
        <v>2050</v>
      </c>
      <c r="D573" s="34" t="s">
        <v>309</v>
      </c>
      <c r="E573" s="34" t="s">
        <v>312</v>
      </c>
      <c r="F573" s="34" t="s">
        <v>473</v>
      </c>
      <c r="G573" s="34" t="s">
        <v>177</v>
      </c>
      <c r="H573" s="34" t="s">
        <v>18</v>
      </c>
      <c r="I573" s="34" t="s">
        <v>19</v>
      </c>
      <c r="J573" s="34" t="s">
        <v>32</v>
      </c>
      <c r="K573" s="34" t="s">
        <v>46</v>
      </c>
      <c r="L573" s="34" t="s">
        <v>47</v>
      </c>
      <c r="M573">
        <v>0.13159999999999999</v>
      </c>
    </row>
    <row r="574" spans="1:13" x14ac:dyDescent="0.3">
      <c r="A574" s="34" t="s">
        <v>662</v>
      </c>
      <c r="B574">
        <v>-1</v>
      </c>
      <c r="C574">
        <v>2050</v>
      </c>
      <c r="D574" s="34" t="s">
        <v>309</v>
      </c>
      <c r="E574" s="34" t="s">
        <v>312</v>
      </c>
      <c r="F574" s="34" t="s">
        <v>473</v>
      </c>
      <c r="G574" s="34" t="s">
        <v>178</v>
      </c>
      <c r="H574" s="34" t="s">
        <v>18</v>
      </c>
      <c r="I574" s="34" t="s">
        <v>19</v>
      </c>
      <c r="J574" s="34" t="s">
        <v>32</v>
      </c>
      <c r="K574" s="34" t="s">
        <v>46</v>
      </c>
      <c r="L574" s="34" t="s">
        <v>47</v>
      </c>
      <c r="M574">
        <v>0.13159999999999999</v>
      </c>
    </row>
    <row r="575" spans="1:13" x14ac:dyDescent="0.3">
      <c r="A575" s="34" t="s">
        <v>662</v>
      </c>
      <c r="B575">
        <v>-1</v>
      </c>
      <c r="C575">
        <v>2050</v>
      </c>
      <c r="D575" s="34" t="s">
        <v>309</v>
      </c>
      <c r="E575" s="34" t="s">
        <v>312</v>
      </c>
      <c r="F575" s="34" t="s">
        <v>473</v>
      </c>
      <c r="G575" s="34" t="s">
        <v>179</v>
      </c>
      <c r="H575" s="34" t="s">
        <v>18</v>
      </c>
      <c r="I575" s="34" t="s">
        <v>19</v>
      </c>
      <c r="J575" s="34" t="s">
        <v>32</v>
      </c>
      <c r="K575" s="34" t="s">
        <v>46</v>
      </c>
      <c r="L575" s="34" t="s">
        <v>47</v>
      </c>
      <c r="M575">
        <v>0.13159999999999999</v>
      </c>
    </row>
    <row r="576" spans="1:13" x14ac:dyDescent="0.3">
      <c r="A576" s="34" t="s">
        <v>662</v>
      </c>
      <c r="B576">
        <v>-1</v>
      </c>
      <c r="C576">
        <v>2050</v>
      </c>
      <c r="D576" s="34" t="s">
        <v>309</v>
      </c>
      <c r="E576" s="34" t="s">
        <v>312</v>
      </c>
      <c r="F576" s="34" t="s">
        <v>473</v>
      </c>
      <c r="G576" s="34" t="s">
        <v>180</v>
      </c>
      <c r="H576" s="34" t="s">
        <v>18</v>
      </c>
      <c r="I576" s="34" t="s">
        <v>19</v>
      </c>
      <c r="J576" s="34" t="s">
        <v>181</v>
      </c>
      <c r="K576" s="34" t="s">
        <v>46</v>
      </c>
      <c r="L576" s="34" t="s">
        <v>47</v>
      </c>
      <c r="M576">
        <v>1.2985899999999999</v>
      </c>
    </row>
    <row r="577" spans="1:13" x14ac:dyDescent="0.3">
      <c r="A577" s="34" t="s">
        <v>662</v>
      </c>
      <c r="B577">
        <v>-1</v>
      </c>
      <c r="C577">
        <v>2050</v>
      </c>
      <c r="D577" s="34" t="s">
        <v>309</v>
      </c>
      <c r="E577" s="34" t="s">
        <v>312</v>
      </c>
      <c r="F577" s="34" t="s">
        <v>473</v>
      </c>
      <c r="G577" s="34" t="s">
        <v>475</v>
      </c>
      <c r="H577" s="34" t="s">
        <v>237</v>
      </c>
      <c r="I577" s="34" t="s">
        <v>19</v>
      </c>
      <c r="J577" s="34" t="s">
        <v>27</v>
      </c>
      <c r="K577" s="34" t="s">
        <v>46</v>
      </c>
      <c r="L577" s="34" t="s">
        <v>47</v>
      </c>
      <c r="M577">
        <v>0.5</v>
      </c>
    </row>
    <row r="578" spans="1:13" x14ac:dyDescent="0.3">
      <c r="A578" s="34" t="s">
        <v>662</v>
      </c>
      <c r="B578">
        <v>-1</v>
      </c>
      <c r="C578">
        <v>2050</v>
      </c>
      <c r="D578" s="34" t="s">
        <v>309</v>
      </c>
      <c r="E578" s="34" t="s">
        <v>312</v>
      </c>
      <c r="F578" s="34" t="s">
        <v>473</v>
      </c>
      <c r="G578" s="34" t="s">
        <v>475</v>
      </c>
      <c r="H578" s="34" t="s">
        <v>237</v>
      </c>
      <c r="I578" s="34" t="s">
        <v>19</v>
      </c>
      <c r="J578" s="34" t="s">
        <v>27</v>
      </c>
      <c r="K578" s="34" t="s">
        <v>48</v>
      </c>
      <c r="L578" s="34" t="s">
        <v>47</v>
      </c>
      <c r="M578">
        <v>-0.5</v>
      </c>
    </row>
    <row r="579" spans="1:13" x14ac:dyDescent="0.3">
      <c r="A579" s="34" t="s">
        <v>662</v>
      </c>
      <c r="B579">
        <v>-1</v>
      </c>
      <c r="C579">
        <v>2050</v>
      </c>
      <c r="D579" s="34" t="s">
        <v>309</v>
      </c>
      <c r="E579" s="34" t="s">
        <v>312</v>
      </c>
      <c r="F579" s="34" t="s">
        <v>473</v>
      </c>
      <c r="G579" s="34" t="s">
        <v>253</v>
      </c>
      <c r="H579" s="34" t="s">
        <v>254</v>
      </c>
      <c r="I579" s="34" t="s">
        <v>19</v>
      </c>
      <c r="J579" s="34" t="s">
        <v>27</v>
      </c>
      <c r="K579" s="34" t="s">
        <v>46</v>
      </c>
      <c r="L579" s="34" t="s">
        <v>47</v>
      </c>
      <c r="M579">
        <v>8.8490000000000002</v>
      </c>
    </row>
    <row r="580" spans="1:13" x14ac:dyDescent="0.3">
      <c r="A580" s="34" t="s">
        <v>662</v>
      </c>
      <c r="B580">
        <v>-1</v>
      </c>
      <c r="C580">
        <v>2050</v>
      </c>
      <c r="D580" s="34" t="s">
        <v>309</v>
      </c>
      <c r="E580" s="34" t="s">
        <v>312</v>
      </c>
      <c r="F580" s="34" t="s">
        <v>473</v>
      </c>
      <c r="G580" s="34" t="s">
        <v>253</v>
      </c>
      <c r="H580" s="34" t="s">
        <v>254</v>
      </c>
      <c r="I580" s="34" t="s">
        <v>19</v>
      </c>
      <c r="J580" s="34" t="s">
        <v>27</v>
      </c>
      <c r="K580" s="34" t="s">
        <v>48</v>
      </c>
      <c r="L580" s="34" t="s">
        <v>47</v>
      </c>
      <c r="M580">
        <v>-8.8490000000000002</v>
      </c>
    </row>
    <row r="581" spans="1:13" x14ac:dyDescent="0.3">
      <c r="A581" s="34" t="s">
        <v>662</v>
      </c>
      <c r="B581">
        <v>-1</v>
      </c>
      <c r="C581">
        <v>2050</v>
      </c>
      <c r="D581" s="34" t="s">
        <v>309</v>
      </c>
      <c r="E581" s="34" t="s">
        <v>312</v>
      </c>
      <c r="F581" s="34" t="s">
        <v>476</v>
      </c>
      <c r="G581" s="34" t="s">
        <v>477</v>
      </c>
      <c r="H581" s="34" t="s">
        <v>237</v>
      </c>
      <c r="I581" s="34" t="s">
        <v>203</v>
      </c>
      <c r="J581" s="34" t="s">
        <v>204</v>
      </c>
      <c r="K581" s="34" t="s">
        <v>46</v>
      </c>
      <c r="L581" s="34" t="s">
        <v>47</v>
      </c>
      <c r="M581">
        <v>0.40163934426229508</v>
      </c>
    </row>
    <row r="582" spans="1:13" x14ac:dyDescent="0.3">
      <c r="A582" s="34" t="s">
        <v>662</v>
      </c>
      <c r="B582">
        <v>-1</v>
      </c>
      <c r="C582">
        <v>2050</v>
      </c>
      <c r="D582" s="34" t="s">
        <v>309</v>
      </c>
      <c r="E582" s="34" t="s">
        <v>312</v>
      </c>
      <c r="F582" s="34" t="s">
        <v>476</v>
      </c>
      <c r="G582" s="34" t="s">
        <v>477</v>
      </c>
      <c r="H582" s="34" t="s">
        <v>237</v>
      </c>
      <c r="I582" s="34" t="s">
        <v>203</v>
      </c>
      <c r="J582" s="34" t="s">
        <v>204</v>
      </c>
      <c r="K582" s="34" t="s">
        <v>48</v>
      </c>
      <c r="L582" s="34" t="s">
        <v>47</v>
      </c>
      <c r="M582">
        <v>-0.40163934426229508</v>
      </c>
    </row>
    <row r="583" spans="1:13" x14ac:dyDescent="0.3">
      <c r="A583" s="34" t="s">
        <v>662</v>
      </c>
      <c r="B583">
        <v>-1</v>
      </c>
      <c r="C583">
        <v>2050</v>
      </c>
      <c r="D583" s="34" t="s">
        <v>309</v>
      </c>
      <c r="E583" s="34" t="s">
        <v>312</v>
      </c>
      <c r="F583" s="34" t="s">
        <v>476</v>
      </c>
      <c r="G583" s="34" t="s">
        <v>477</v>
      </c>
      <c r="H583" s="34" t="s">
        <v>237</v>
      </c>
      <c r="I583" s="34" t="s">
        <v>19</v>
      </c>
      <c r="J583" s="34" t="s">
        <v>204</v>
      </c>
      <c r="K583" s="34" t="s">
        <v>46</v>
      </c>
      <c r="L583" s="34" t="s">
        <v>47</v>
      </c>
      <c r="M583">
        <v>0.245</v>
      </c>
    </row>
    <row r="584" spans="1:13" x14ac:dyDescent="0.3">
      <c r="A584" s="34" t="s">
        <v>662</v>
      </c>
      <c r="B584">
        <v>-1</v>
      </c>
      <c r="C584">
        <v>2050</v>
      </c>
      <c r="D584" s="34" t="s">
        <v>309</v>
      </c>
      <c r="E584" s="34" t="s">
        <v>312</v>
      </c>
      <c r="F584" s="34" t="s">
        <v>476</v>
      </c>
      <c r="G584" s="34" t="s">
        <v>477</v>
      </c>
      <c r="H584" s="34" t="s">
        <v>237</v>
      </c>
      <c r="I584" s="34" t="s">
        <v>19</v>
      </c>
      <c r="J584" s="34" t="s">
        <v>204</v>
      </c>
      <c r="K584" s="34" t="s">
        <v>48</v>
      </c>
      <c r="L584" s="34" t="s">
        <v>47</v>
      </c>
      <c r="M584">
        <v>-0.245</v>
      </c>
    </row>
    <row r="585" spans="1:13" x14ac:dyDescent="0.3">
      <c r="A585" s="34" t="s">
        <v>662</v>
      </c>
      <c r="B585">
        <v>-1</v>
      </c>
      <c r="C585">
        <v>2050</v>
      </c>
      <c r="D585" s="34" t="s">
        <v>309</v>
      </c>
      <c r="E585" s="34" t="s">
        <v>312</v>
      </c>
      <c r="F585" s="34" t="s">
        <v>476</v>
      </c>
      <c r="G585" s="34" t="s">
        <v>478</v>
      </c>
      <c r="H585" s="34" t="s">
        <v>26</v>
      </c>
      <c r="I585" s="34" t="s">
        <v>203</v>
      </c>
      <c r="J585" s="34" t="s">
        <v>204</v>
      </c>
      <c r="K585" s="34" t="s">
        <v>46</v>
      </c>
      <c r="L585" s="34" t="s">
        <v>47</v>
      </c>
      <c r="M585">
        <v>0.11590909090909092</v>
      </c>
    </row>
    <row r="586" spans="1:13" x14ac:dyDescent="0.3">
      <c r="A586" s="34" t="s">
        <v>662</v>
      </c>
      <c r="B586">
        <v>-1</v>
      </c>
      <c r="C586">
        <v>2050</v>
      </c>
      <c r="D586" s="34" t="s">
        <v>309</v>
      </c>
      <c r="E586" s="34" t="s">
        <v>312</v>
      </c>
      <c r="F586" s="34" t="s">
        <v>476</v>
      </c>
      <c r="G586" s="34" t="s">
        <v>478</v>
      </c>
      <c r="H586" s="34" t="s">
        <v>26</v>
      </c>
      <c r="I586" s="34" t="s">
        <v>203</v>
      </c>
      <c r="J586" s="34" t="s">
        <v>204</v>
      </c>
      <c r="K586" s="34" t="s">
        <v>48</v>
      </c>
      <c r="L586" s="34" t="s">
        <v>47</v>
      </c>
      <c r="M586">
        <v>-0.11590909090909092</v>
      </c>
    </row>
    <row r="587" spans="1:13" x14ac:dyDescent="0.3">
      <c r="A587" s="34" t="s">
        <v>662</v>
      </c>
      <c r="B587">
        <v>-1</v>
      </c>
      <c r="C587">
        <v>2050</v>
      </c>
      <c r="D587" s="34" t="s">
        <v>309</v>
      </c>
      <c r="E587" s="34" t="s">
        <v>312</v>
      </c>
      <c r="F587" s="34" t="s">
        <v>476</v>
      </c>
      <c r="G587" s="34" t="s">
        <v>478</v>
      </c>
      <c r="H587" s="34" t="s">
        <v>26</v>
      </c>
      <c r="I587" s="34" t="s">
        <v>19</v>
      </c>
      <c r="J587" s="34" t="s">
        <v>204</v>
      </c>
      <c r="K587" s="34" t="s">
        <v>46</v>
      </c>
      <c r="L587" s="34" t="s">
        <v>47</v>
      </c>
      <c r="M587">
        <v>5.1000000000000004E-2</v>
      </c>
    </row>
    <row r="588" spans="1:13" x14ac:dyDescent="0.3">
      <c r="A588" s="34" t="s">
        <v>662</v>
      </c>
      <c r="B588">
        <v>-1</v>
      </c>
      <c r="C588">
        <v>2050</v>
      </c>
      <c r="D588" s="34" t="s">
        <v>309</v>
      </c>
      <c r="E588" s="34" t="s">
        <v>312</v>
      </c>
      <c r="F588" s="34" t="s">
        <v>476</v>
      </c>
      <c r="G588" s="34" t="s">
        <v>478</v>
      </c>
      <c r="H588" s="34" t="s">
        <v>26</v>
      </c>
      <c r="I588" s="34" t="s">
        <v>19</v>
      </c>
      <c r="J588" s="34" t="s">
        <v>204</v>
      </c>
      <c r="K588" s="34" t="s">
        <v>48</v>
      </c>
      <c r="L588" s="34" t="s">
        <v>47</v>
      </c>
      <c r="M588">
        <v>-5.1000000000000004E-2</v>
      </c>
    </row>
    <row r="589" spans="1:13" x14ac:dyDescent="0.3">
      <c r="A589" s="34" t="s">
        <v>662</v>
      </c>
      <c r="B589">
        <v>-1</v>
      </c>
      <c r="C589">
        <v>2050</v>
      </c>
      <c r="D589" s="34" t="s">
        <v>309</v>
      </c>
      <c r="E589" s="34" t="s">
        <v>312</v>
      </c>
      <c r="F589" s="34" t="s">
        <v>476</v>
      </c>
      <c r="G589" s="34" t="s">
        <v>479</v>
      </c>
      <c r="H589" s="34" t="s">
        <v>462</v>
      </c>
      <c r="I589" s="34" t="s">
        <v>203</v>
      </c>
      <c r="J589" s="34" t="s">
        <v>204</v>
      </c>
      <c r="K589" s="34" t="s">
        <v>46</v>
      </c>
      <c r="L589" s="34" t="s">
        <v>47</v>
      </c>
      <c r="M589">
        <v>0.11590909090909092</v>
      </c>
    </row>
    <row r="590" spans="1:13" x14ac:dyDescent="0.3">
      <c r="A590" s="34" t="s">
        <v>662</v>
      </c>
      <c r="B590">
        <v>-1</v>
      </c>
      <c r="C590">
        <v>2050</v>
      </c>
      <c r="D590" s="34" t="s">
        <v>309</v>
      </c>
      <c r="E590" s="34" t="s">
        <v>312</v>
      </c>
      <c r="F590" s="34" t="s">
        <v>476</v>
      </c>
      <c r="G590" s="34" t="s">
        <v>479</v>
      </c>
      <c r="H590" s="34" t="s">
        <v>462</v>
      </c>
      <c r="I590" s="34" t="s">
        <v>203</v>
      </c>
      <c r="J590" s="34" t="s">
        <v>204</v>
      </c>
      <c r="K590" s="34" t="s">
        <v>48</v>
      </c>
      <c r="L590" s="34" t="s">
        <v>47</v>
      </c>
      <c r="M590">
        <v>-0.11590909090909092</v>
      </c>
    </row>
    <row r="591" spans="1:13" x14ac:dyDescent="0.3">
      <c r="A591" s="34" t="s">
        <v>662</v>
      </c>
      <c r="B591">
        <v>-1</v>
      </c>
      <c r="C591">
        <v>2050</v>
      </c>
      <c r="D591" s="34" t="s">
        <v>309</v>
      </c>
      <c r="E591" s="34" t="s">
        <v>312</v>
      </c>
      <c r="F591" s="34" t="s">
        <v>476</v>
      </c>
      <c r="G591" s="34" t="s">
        <v>479</v>
      </c>
      <c r="H591" s="34" t="s">
        <v>462</v>
      </c>
      <c r="I591" s="34" t="s">
        <v>19</v>
      </c>
      <c r="J591" s="34" t="s">
        <v>204</v>
      </c>
      <c r="K591" s="34" t="s">
        <v>46</v>
      </c>
      <c r="L591" s="34" t="s">
        <v>47</v>
      </c>
      <c r="M591">
        <v>5.1000000000000004E-2</v>
      </c>
    </row>
    <row r="592" spans="1:13" x14ac:dyDescent="0.3">
      <c r="A592" s="34" t="s">
        <v>662</v>
      </c>
      <c r="B592">
        <v>-1</v>
      </c>
      <c r="C592">
        <v>2050</v>
      </c>
      <c r="D592" s="34" t="s">
        <v>309</v>
      </c>
      <c r="E592" s="34" t="s">
        <v>312</v>
      </c>
      <c r="F592" s="34" t="s">
        <v>476</v>
      </c>
      <c r="G592" s="34" t="s">
        <v>479</v>
      </c>
      <c r="H592" s="34" t="s">
        <v>462</v>
      </c>
      <c r="I592" s="34" t="s">
        <v>19</v>
      </c>
      <c r="J592" s="34" t="s">
        <v>204</v>
      </c>
      <c r="K592" s="34" t="s">
        <v>48</v>
      </c>
      <c r="L592" s="34" t="s">
        <v>47</v>
      </c>
      <c r="M592">
        <v>-5.1000000000000004E-2</v>
      </c>
    </row>
    <row r="593" spans="1:13" x14ac:dyDescent="0.3">
      <c r="A593" s="34" t="s">
        <v>662</v>
      </c>
      <c r="B593">
        <v>-1</v>
      </c>
      <c r="C593">
        <v>2050</v>
      </c>
      <c r="D593" s="34" t="s">
        <v>309</v>
      </c>
      <c r="E593" s="34" t="s">
        <v>312</v>
      </c>
      <c r="F593" s="34" t="s">
        <v>476</v>
      </c>
      <c r="G593" s="34" t="s">
        <v>474</v>
      </c>
      <c r="H593" s="34" t="s">
        <v>201</v>
      </c>
      <c r="I593" s="34" t="s">
        <v>19</v>
      </c>
      <c r="J593" s="34" t="s">
        <v>27</v>
      </c>
      <c r="K593" s="34" t="s">
        <v>46</v>
      </c>
      <c r="L593" s="34" t="s">
        <v>47</v>
      </c>
      <c r="M593">
        <v>7.0000000000000007E-2</v>
      </c>
    </row>
    <row r="594" spans="1:13" x14ac:dyDescent="0.3">
      <c r="A594" s="34" t="s">
        <v>662</v>
      </c>
      <c r="B594">
        <v>-1</v>
      </c>
      <c r="C594">
        <v>2050</v>
      </c>
      <c r="D594" s="34" t="s">
        <v>309</v>
      </c>
      <c r="E594" s="34" t="s">
        <v>312</v>
      </c>
      <c r="F594" s="34" t="s">
        <v>476</v>
      </c>
      <c r="G594" s="34" t="s">
        <v>474</v>
      </c>
      <c r="H594" s="34" t="s">
        <v>201</v>
      </c>
      <c r="I594" s="34" t="s">
        <v>19</v>
      </c>
      <c r="J594" s="34" t="s">
        <v>27</v>
      </c>
      <c r="K594" s="34" t="s">
        <v>48</v>
      </c>
      <c r="L594" s="34" t="s">
        <v>47</v>
      </c>
      <c r="M594">
        <v>-7.0000000000000007E-2</v>
      </c>
    </row>
    <row r="595" spans="1:13" x14ac:dyDescent="0.3">
      <c r="A595" s="34" t="s">
        <v>662</v>
      </c>
      <c r="B595">
        <v>-1</v>
      </c>
      <c r="C595">
        <v>2050</v>
      </c>
      <c r="D595" s="34" t="s">
        <v>309</v>
      </c>
      <c r="E595" s="34" t="s">
        <v>312</v>
      </c>
      <c r="F595" s="34" t="s">
        <v>476</v>
      </c>
      <c r="G595" s="34" t="s">
        <v>480</v>
      </c>
      <c r="H595" s="34" t="s">
        <v>39</v>
      </c>
      <c r="I595" s="34" t="s">
        <v>203</v>
      </c>
      <c r="J595" s="34" t="s">
        <v>204</v>
      </c>
      <c r="K595" s="34" t="s">
        <v>46</v>
      </c>
      <c r="L595" s="34" t="s">
        <v>47</v>
      </c>
      <c r="M595">
        <v>0.27835294117647064</v>
      </c>
    </row>
    <row r="596" spans="1:13" x14ac:dyDescent="0.3">
      <c r="A596" s="34" t="s">
        <v>662</v>
      </c>
      <c r="B596">
        <v>-1</v>
      </c>
      <c r="C596">
        <v>2050</v>
      </c>
      <c r="D596" s="34" t="s">
        <v>309</v>
      </c>
      <c r="E596" s="34" t="s">
        <v>312</v>
      </c>
      <c r="F596" s="34" t="s">
        <v>476</v>
      </c>
      <c r="G596" s="34" t="s">
        <v>480</v>
      </c>
      <c r="H596" s="34" t="s">
        <v>39</v>
      </c>
      <c r="I596" s="34" t="s">
        <v>203</v>
      </c>
      <c r="J596" s="34" t="s">
        <v>204</v>
      </c>
      <c r="K596" s="34" t="s">
        <v>48</v>
      </c>
      <c r="L596" s="34" t="s">
        <v>47</v>
      </c>
      <c r="M596">
        <v>-0.27835294117647064</v>
      </c>
    </row>
    <row r="597" spans="1:13" x14ac:dyDescent="0.3">
      <c r="A597" s="34" t="s">
        <v>662</v>
      </c>
      <c r="B597">
        <v>-1</v>
      </c>
      <c r="C597">
        <v>2050</v>
      </c>
      <c r="D597" s="34" t="s">
        <v>309</v>
      </c>
      <c r="E597" s="34" t="s">
        <v>312</v>
      </c>
      <c r="F597" s="34" t="s">
        <v>476</v>
      </c>
      <c r="G597" s="34" t="s">
        <v>480</v>
      </c>
      <c r="H597" s="34" t="s">
        <v>39</v>
      </c>
      <c r="I597" s="34" t="s">
        <v>19</v>
      </c>
      <c r="J597" s="34" t="s">
        <v>204</v>
      </c>
      <c r="K597" s="34" t="s">
        <v>46</v>
      </c>
      <c r="L597" s="34" t="s">
        <v>47</v>
      </c>
      <c r="M597">
        <v>9.4640000000000002E-2</v>
      </c>
    </row>
    <row r="598" spans="1:13" x14ac:dyDescent="0.3">
      <c r="A598" s="34" t="s">
        <v>662</v>
      </c>
      <c r="B598">
        <v>-1</v>
      </c>
      <c r="C598">
        <v>2050</v>
      </c>
      <c r="D598" s="34" t="s">
        <v>309</v>
      </c>
      <c r="E598" s="34" t="s">
        <v>312</v>
      </c>
      <c r="F598" s="34" t="s">
        <v>476</v>
      </c>
      <c r="G598" s="34" t="s">
        <v>480</v>
      </c>
      <c r="H598" s="34" t="s">
        <v>39</v>
      </c>
      <c r="I598" s="34" t="s">
        <v>19</v>
      </c>
      <c r="J598" s="34" t="s">
        <v>204</v>
      </c>
      <c r="K598" s="34" t="s">
        <v>48</v>
      </c>
      <c r="L598" s="34" t="s">
        <v>47</v>
      </c>
      <c r="M598">
        <v>-9.4640000000000002E-2</v>
      </c>
    </row>
    <row r="599" spans="1:13" x14ac:dyDescent="0.3">
      <c r="A599" s="34" t="s">
        <v>662</v>
      </c>
      <c r="B599">
        <v>-1</v>
      </c>
      <c r="C599">
        <v>2050</v>
      </c>
      <c r="D599" s="34" t="s">
        <v>309</v>
      </c>
      <c r="E599" s="34" t="s">
        <v>312</v>
      </c>
      <c r="F599" s="34" t="s">
        <v>476</v>
      </c>
      <c r="G599" s="34" t="s">
        <v>481</v>
      </c>
      <c r="H599" s="34" t="s">
        <v>482</v>
      </c>
      <c r="I599" s="34" t="s">
        <v>203</v>
      </c>
      <c r="J599" s="34" t="s">
        <v>204</v>
      </c>
      <c r="K599" s="34" t="s">
        <v>46</v>
      </c>
      <c r="L599" s="34" t="s">
        <v>47</v>
      </c>
      <c r="M599">
        <v>0.3126760563380282</v>
      </c>
    </row>
    <row r="600" spans="1:13" x14ac:dyDescent="0.3">
      <c r="A600" s="34" t="s">
        <v>662</v>
      </c>
      <c r="B600">
        <v>-1</v>
      </c>
      <c r="C600">
        <v>2050</v>
      </c>
      <c r="D600" s="34" t="s">
        <v>309</v>
      </c>
      <c r="E600" s="34" t="s">
        <v>312</v>
      </c>
      <c r="F600" s="34" t="s">
        <v>476</v>
      </c>
      <c r="G600" s="34" t="s">
        <v>481</v>
      </c>
      <c r="H600" s="34" t="s">
        <v>482</v>
      </c>
      <c r="I600" s="34" t="s">
        <v>203</v>
      </c>
      <c r="J600" s="34" t="s">
        <v>204</v>
      </c>
      <c r="K600" s="34" t="s">
        <v>48</v>
      </c>
      <c r="L600" s="34" t="s">
        <v>47</v>
      </c>
      <c r="M600">
        <v>-0.3126760563380282</v>
      </c>
    </row>
    <row r="601" spans="1:13" x14ac:dyDescent="0.3">
      <c r="A601" s="34" t="s">
        <v>662</v>
      </c>
      <c r="B601">
        <v>-1</v>
      </c>
      <c r="C601">
        <v>2050</v>
      </c>
      <c r="D601" s="34" t="s">
        <v>309</v>
      </c>
      <c r="E601" s="34" t="s">
        <v>312</v>
      </c>
      <c r="F601" s="34" t="s">
        <v>476</v>
      </c>
      <c r="G601" s="34" t="s">
        <v>481</v>
      </c>
      <c r="H601" s="34" t="s">
        <v>482</v>
      </c>
      <c r="I601" s="34" t="s">
        <v>19</v>
      </c>
      <c r="J601" s="34" t="s">
        <v>204</v>
      </c>
      <c r="K601" s="34" t="s">
        <v>46</v>
      </c>
      <c r="L601" s="34" t="s">
        <v>47</v>
      </c>
      <c r="M601">
        <v>0.222</v>
      </c>
    </row>
    <row r="602" spans="1:13" x14ac:dyDescent="0.3">
      <c r="A602" s="34" t="s">
        <v>662</v>
      </c>
      <c r="B602">
        <v>-1</v>
      </c>
      <c r="C602">
        <v>2050</v>
      </c>
      <c r="D602" s="34" t="s">
        <v>309</v>
      </c>
      <c r="E602" s="34" t="s">
        <v>312</v>
      </c>
      <c r="F602" s="34" t="s">
        <v>476</v>
      </c>
      <c r="G602" s="34" t="s">
        <v>481</v>
      </c>
      <c r="H602" s="34" t="s">
        <v>482</v>
      </c>
      <c r="I602" s="34" t="s">
        <v>19</v>
      </c>
      <c r="J602" s="34" t="s">
        <v>204</v>
      </c>
      <c r="K602" s="34" t="s">
        <v>48</v>
      </c>
      <c r="L602" s="34" t="s">
        <v>47</v>
      </c>
      <c r="M602">
        <v>-0.222</v>
      </c>
    </row>
    <row r="603" spans="1:13" x14ac:dyDescent="0.3">
      <c r="A603" s="34" t="s">
        <v>662</v>
      </c>
      <c r="B603">
        <v>-1</v>
      </c>
      <c r="C603">
        <v>2050</v>
      </c>
      <c r="D603" s="34" t="s">
        <v>309</v>
      </c>
      <c r="E603" s="34" t="s">
        <v>312</v>
      </c>
      <c r="F603" s="34" t="s">
        <v>476</v>
      </c>
      <c r="G603" s="34" t="s">
        <v>483</v>
      </c>
      <c r="H603" s="34" t="s">
        <v>39</v>
      </c>
      <c r="I603" s="34" t="s">
        <v>203</v>
      </c>
      <c r="J603" s="34" t="s">
        <v>204</v>
      </c>
      <c r="K603" s="34" t="s">
        <v>46</v>
      </c>
      <c r="L603" s="34" t="s">
        <v>47</v>
      </c>
      <c r="M603">
        <v>0.30952380952380948</v>
      </c>
    </row>
    <row r="604" spans="1:13" x14ac:dyDescent="0.3">
      <c r="A604" s="34" t="s">
        <v>662</v>
      </c>
      <c r="B604">
        <v>-1</v>
      </c>
      <c r="C604">
        <v>2050</v>
      </c>
      <c r="D604" s="34" t="s">
        <v>309</v>
      </c>
      <c r="E604" s="34" t="s">
        <v>312</v>
      </c>
      <c r="F604" s="34" t="s">
        <v>476</v>
      </c>
      <c r="G604" s="34" t="s">
        <v>483</v>
      </c>
      <c r="H604" s="34" t="s">
        <v>39</v>
      </c>
      <c r="I604" s="34" t="s">
        <v>203</v>
      </c>
      <c r="J604" s="34" t="s">
        <v>204</v>
      </c>
      <c r="K604" s="34" t="s">
        <v>48</v>
      </c>
      <c r="L604" s="34" t="s">
        <v>47</v>
      </c>
      <c r="M604">
        <v>-0.30952380952380948</v>
      </c>
    </row>
    <row r="605" spans="1:13" x14ac:dyDescent="0.3">
      <c r="A605" s="34" t="s">
        <v>662</v>
      </c>
      <c r="B605">
        <v>-1</v>
      </c>
      <c r="C605">
        <v>2050</v>
      </c>
      <c r="D605" s="34" t="s">
        <v>309</v>
      </c>
      <c r="E605" s="34" t="s">
        <v>312</v>
      </c>
      <c r="F605" s="34" t="s">
        <v>476</v>
      </c>
      <c r="G605" s="34" t="s">
        <v>483</v>
      </c>
      <c r="H605" s="34" t="s">
        <v>39</v>
      </c>
      <c r="I605" s="34" t="s">
        <v>19</v>
      </c>
      <c r="J605" s="34" t="s">
        <v>204</v>
      </c>
      <c r="K605" s="34" t="s">
        <v>46</v>
      </c>
      <c r="L605" s="34" t="s">
        <v>47</v>
      </c>
      <c r="M605">
        <v>0.13</v>
      </c>
    </row>
    <row r="606" spans="1:13" x14ac:dyDescent="0.3">
      <c r="A606" s="34" t="s">
        <v>662</v>
      </c>
      <c r="B606">
        <v>-1</v>
      </c>
      <c r="C606">
        <v>2050</v>
      </c>
      <c r="D606" s="34" t="s">
        <v>309</v>
      </c>
      <c r="E606" s="34" t="s">
        <v>312</v>
      </c>
      <c r="F606" s="34" t="s">
        <v>476</v>
      </c>
      <c r="G606" s="34" t="s">
        <v>483</v>
      </c>
      <c r="H606" s="34" t="s">
        <v>39</v>
      </c>
      <c r="I606" s="34" t="s">
        <v>19</v>
      </c>
      <c r="J606" s="34" t="s">
        <v>204</v>
      </c>
      <c r="K606" s="34" t="s">
        <v>48</v>
      </c>
      <c r="L606" s="34" t="s">
        <v>47</v>
      </c>
      <c r="M606">
        <v>-0.13</v>
      </c>
    </row>
    <row r="607" spans="1:13" x14ac:dyDescent="0.3">
      <c r="A607" s="34" t="s">
        <v>662</v>
      </c>
      <c r="B607">
        <v>-1</v>
      </c>
      <c r="C607">
        <v>2050</v>
      </c>
      <c r="D607" s="34" t="s">
        <v>309</v>
      </c>
      <c r="E607" s="34" t="s">
        <v>312</v>
      </c>
      <c r="F607" s="34" t="s">
        <v>476</v>
      </c>
      <c r="G607" s="34" t="s">
        <v>11</v>
      </c>
      <c r="H607" s="34" t="s">
        <v>12</v>
      </c>
      <c r="I607" s="34" t="s">
        <v>13</v>
      </c>
      <c r="J607" s="34" t="s">
        <v>14</v>
      </c>
      <c r="K607" s="34" t="s">
        <v>46</v>
      </c>
      <c r="L607" s="34" t="s">
        <v>47</v>
      </c>
      <c r="M607">
        <v>6.2539999999999978</v>
      </c>
    </row>
    <row r="608" spans="1:13" x14ac:dyDescent="0.3">
      <c r="A608" s="34" t="s">
        <v>662</v>
      </c>
      <c r="B608">
        <v>-1</v>
      </c>
      <c r="C608">
        <v>2050</v>
      </c>
      <c r="D608" s="34" t="s">
        <v>309</v>
      </c>
      <c r="E608" s="34" t="s">
        <v>312</v>
      </c>
      <c r="F608" s="34" t="s">
        <v>476</v>
      </c>
      <c r="G608" s="34" t="s">
        <v>11</v>
      </c>
      <c r="H608" s="34" t="s">
        <v>12</v>
      </c>
      <c r="I608" s="34" t="s">
        <v>13</v>
      </c>
      <c r="J608" s="34" t="s">
        <v>14</v>
      </c>
      <c r="K608" s="34" t="s">
        <v>48</v>
      </c>
      <c r="L608" s="34" t="s">
        <v>47</v>
      </c>
      <c r="M608">
        <v>-1.881469089424751</v>
      </c>
    </row>
    <row r="609" spans="1:13" x14ac:dyDescent="0.3">
      <c r="A609" s="34" t="s">
        <v>662</v>
      </c>
      <c r="B609">
        <v>-1</v>
      </c>
      <c r="C609">
        <v>2050</v>
      </c>
      <c r="D609" s="34" t="s">
        <v>309</v>
      </c>
      <c r="E609" s="34" t="s">
        <v>312</v>
      </c>
      <c r="F609" s="34" t="s">
        <v>476</v>
      </c>
      <c r="G609" s="34" t="s">
        <v>41</v>
      </c>
      <c r="H609" s="34" t="s">
        <v>40</v>
      </c>
      <c r="I609" s="34" t="s">
        <v>13</v>
      </c>
      <c r="J609" s="34" t="s">
        <v>42</v>
      </c>
      <c r="K609" s="34" t="s">
        <v>46</v>
      </c>
      <c r="L609" s="34" t="s">
        <v>47</v>
      </c>
      <c r="M609">
        <v>0.92596955404012482</v>
      </c>
    </row>
    <row r="610" spans="1:13" x14ac:dyDescent="0.3">
      <c r="A610" s="34" t="s">
        <v>662</v>
      </c>
      <c r="B610">
        <v>-1</v>
      </c>
      <c r="C610">
        <v>2050</v>
      </c>
      <c r="D610" s="34" t="s">
        <v>309</v>
      </c>
      <c r="E610" s="34" t="s">
        <v>312</v>
      </c>
      <c r="F610" s="34" t="s">
        <v>476</v>
      </c>
      <c r="G610" s="34" t="s">
        <v>41</v>
      </c>
      <c r="H610" s="34" t="s">
        <v>40</v>
      </c>
      <c r="I610" s="34" t="s">
        <v>13</v>
      </c>
      <c r="J610" s="34" t="s">
        <v>42</v>
      </c>
      <c r="K610" s="34" t="s">
        <v>48</v>
      </c>
      <c r="L610" s="34" t="s">
        <v>47</v>
      </c>
      <c r="M610">
        <v>-0.92596955404012482</v>
      </c>
    </row>
    <row r="611" spans="1:13" x14ac:dyDescent="0.3">
      <c r="A611" s="34" t="s">
        <v>662</v>
      </c>
      <c r="B611">
        <v>-1</v>
      </c>
      <c r="C611">
        <v>2050</v>
      </c>
      <c r="D611" s="34" t="s">
        <v>309</v>
      </c>
      <c r="E611" s="34" t="s">
        <v>312</v>
      </c>
      <c r="F611" s="34" t="s">
        <v>484</v>
      </c>
      <c r="G611" s="34" t="s">
        <v>474</v>
      </c>
      <c r="H611" s="34" t="s">
        <v>201</v>
      </c>
      <c r="I611" s="34" t="s">
        <v>19</v>
      </c>
      <c r="J611" s="34" t="s">
        <v>27</v>
      </c>
      <c r="K611" s="34" t="s">
        <v>46</v>
      </c>
      <c r="L611" s="34" t="s">
        <v>47</v>
      </c>
      <c r="M611">
        <v>4.2000000000000006E-3</v>
      </c>
    </row>
    <row r="612" spans="1:13" x14ac:dyDescent="0.3">
      <c r="A612" s="34" t="s">
        <v>662</v>
      </c>
      <c r="B612">
        <v>-1</v>
      </c>
      <c r="C612">
        <v>2050</v>
      </c>
      <c r="D612" s="34" t="s">
        <v>309</v>
      </c>
      <c r="E612" s="34" t="s">
        <v>312</v>
      </c>
      <c r="F612" s="34" t="s">
        <v>484</v>
      </c>
      <c r="G612" s="34" t="s">
        <v>474</v>
      </c>
      <c r="H612" s="34" t="s">
        <v>201</v>
      </c>
      <c r="I612" s="34" t="s">
        <v>19</v>
      </c>
      <c r="J612" s="34" t="s">
        <v>27</v>
      </c>
      <c r="K612" s="34" t="s">
        <v>48</v>
      </c>
      <c r="L612" s="34" t="s">
        <v>47</v>
      </c>
      <c r="M612">
        <v>-4.2000000000000006E-3</v>
      </c>
    </row>
    <row r="613" spans="1:13" x14ac:dyDescent="0.3">
      <c r="A613" s="34" t="s">
        <v>662</v>
      </c>
      <c r="B613">
        <v>-1</v>
      </c>
      <c r="C613">
        <v>2050</v>
      </c>
      <c r="D613" s="34" t="s">
        <v>309</v>
      </c>
      <c r="E613" s="34" t="s">
        <v>312</v>
      </c>
      <c r="F613" s="34" t="s">
        <v>603</v>
      </c>
      <c r="G613" s="34" t="s">
        <v>29</v>
      </c>
      <c r="H613" s="34" t="s">
        <v>21</v>
      </c>
      <c r="I613" s="34" t="s">
        <v>19</v>
      </c>
      <c r="J613" s="34" t="s">
        <v>22</v>
      </c>
      <c r="K613" s="34" t="s">
        <v>46</v>
      </c>
      <c r="L613" s="34" t="s">
        <v>47</v>
      </c>
      <c r="M613">
        <v>0.43956640000000002</v>
      </c>
    </row>
    <row r="614" spans="1:13" x14ac:dyDescent="0.3">
      <c r="A614" s="34" t="s">
        <v>662</v>
      </c>
      <c r="B614">
        <v>-1</v>
      </c>
      <c r="C614">
        <v>2050</v>
      </c>
      <c r="D614" s="34" t="s">
        <v>309</v>
      </c>
      <c r="E614" s="34" t="s">
        <v>312</v>
      </c>
      <c r="F614" s="34" t="s">
        <v>603</v>
      </c>
      <c r="G614" s="34" t="s">
        <v>29</v>
      </c>
      <c r="H614" s="34" t="s">
        <v>21</v>
      </c>
      <c r="I614" s="34" t="s">
        <v>19</v>
      </c>
      <c r="J614" s="34" t="s">
        <v>22</v>
      </c>
      <c r="K614" s="34" t="s">
        <v>48</v>
      </c>
      <c r="L614" s="34" t="s">
        <v>47</v>
      </c>
      <c r="M614">
        <v>-0.43956640000000002</v>
      </c>
    </row>
    <row r="615" spans="1:13" x14ac:dyDescent="0.3">
      <c r="A615" s="34" t="s">
        <v>662</v>
      </c>
      <c r="B615">
        <v>-1</v>
      </c>
      <c r="C615">
        <v>2050</v>
      </c>
      <c r="D615" s="34" t="s">
        <v>309</v>
      </c>
      <c r="E615" s="34" t="s">
        <v>312</v>
      </c>
      <c r="F615" s="34" t="s">
        <v>603</v>
      </c>
      <c r="G615" s="34" t="s">
        <v>20</v>
      </c>
      <c r="H615" s="34" t="s">
        <v>21</v>
      </c>
      <c r="I615" s="34" t="s">
        <v>19</v>
      </c>
      <c r="J615" s="34" t="s">
        <v>22</v>
      </c>
      <c r="K615" s="34" t="s">
        <v>46</v>
      </c>
      <c r="L615" s="34" t="s">
        <v>47</v>
      </c>
      <c r="M615">
        <v>1.9831811000000001</v>
      </c>
    </row>
    <row r="616" spans="1:13" x14ac:dyDescent="0.3">
      <c r="A616" s="34" t="s">
        <v>662</v>
      </c>
      <c r="B616">
        <v>-1</v>
      </c>
      <c r="C616">
        <v>2050</v>
      </c>
      <c r="D616" s="34" t="s">
        <v>309</v>
      </c>
      <c r="E616" s="34" t="s">
        <v>312</v>
      </c>
      <c r="F616" s="34" t="s">
        <v>603</v>
      </c>
      <c r="G616" s="34" t="s">
        <v>20</v>
      </c>
      <c r="H616" s="34" t="s">
        <v>21</v>
      </c>
      <c r="I616" s="34" t="s">
        <v>19</v>
      </c>
      <c r="J616" s="34" t="s">
        <v>22</v>
      </c>
      <c r="K616" s="34" t="s">
        <v>48</v>
      </c>
      <c r="L616" s="34" t="s">
        <v>47</v>
      </c>
      <c r="M616">
        <v>-1.9831811000000006</v>
      </c>
    </row>
    <row r="617" spans="1:13" x14ac:dyDescent="0.3">
      <c r="A617" s="34" t="s">
        <v>662</v>
      </c>
      <c r="B617">
        <v>-1</v>
      </c>
      <c r="C617">
        <v>2050</v>
      </c>
      <c r="D617" s="34" t="s">
        <v>309</v>
      </c>
      <c r="E617" s="34" t="s">
        <v>312</v>
      </c>
      <c r="F617" s="34" t="s">
        <v>603</v>
      </c>
      <c r="G617" s="34" t="s">
        <v>30</v>
      </c>
      <c r="H617" s="34" t="s">
        <v>21</v>
      </c>
      <c r="I617" s="34" t="s">
        <v>19</v>
      </c>
      <c r="J617" s="34" t="s">
        <v>22</v>
      </c>
      <c r="K617" s="34" t="s">
        <v>46</v>
      </c>
      <c r="L617" s="34" t="s">
        <v>47</v>
      </c>
      <c r="M617">
        <v>0.59625250000000007</v>
      </c>
    </row>
    <row r="618" spans="1:13" x14ac:dyDescent="0.3">
      <c r="A618" s="34" t="s">
        <v>662</v>
      </c>
      <c r="B618">
        <v>-1</v>
      </c>
      <c r="C618">
        <v>2050</v>
      </c>
      <c r="D618" s="34" t="s">
        <v>309</v>
      </c>
      <c r="E618" s="34" t="s">
        <v>312</v>
      </c>
      <c r="F618" s="34" t="s">
        <v>603</v>
      </c>
      <c r="G618" s="34" t="s">
        <v>30</v>
      </c>
      <c r="H618" s="34" t="s">
        <v>21</v>
      </c>
      <c r="I618" s="34" t="s">
        <v>19</v>
      </c>
      <c r="J618" s="34" t="s">
        <v>22</v>
      </c>
      <c r="K618" s="34" t="s">
        <v>48</v>
      </c>
      <c r="L618" s="34" t="s">
        <v>47</v>
      </c>
      <c r="M618">
        <v>-0.59625250000000007</v>
      </c>
    </row>
    <row r="619" spans="1:13" x14ac:dyDescent="0.3">
      <c r="A619" s="34" t="s">
        <v>662</v>
      </c>
      <c r="B619">
        <v>-1</v>
      </c>
      <c r="C619">
        <v>2050</v>
      </c>
      <c r="D619" s="34" t="s">
        <v>309</v>
      </c>
      <c r="E619" s="34" t="s">
        <v>312</v>
      </c>
      <c r="F619" s="34" t="s">
        <v>603</v>
      </c>
      <c r="G619" s="34" t="s">
        <v>644</v>
      </c>
      <c r="H619" s="34" t="s">
        <v>21</v>
      </c>
      <c r="I619" s="34" t="s">
        <v>19</v>
      </c>
      <c r="J619" s="34" t="s">
        <v>22</v>
      </c>
      <c r="K619" s="34" t="s">
        <v>49</v>
      </c>
      <c r="L619" s="34" t="s">
        <v>47</v>
      </c>
      <c r="M619">
        <v>10.9966216216216</v>
      </c>
    </row>
    <row r="620" spans="1:13" x14ac:dyDescent="0.3">
      <c r="A620" s="34" t="s">
        <v>662</v>
      </c>
      <c r="B620">
        <v>-1</v>
      </c>
      <c r="C620">
        <v>2050</v>
      </c>
      <c r="D620" s="34" t="s">
        <v>309</v>
      </c>
      <c r="E620" s="34" t="s">
        <v>312</v>
      </c>
      <c r="F620" s="34" t="s">
        <v>603</v>
      </c>
      <c r="G620" s="34" t="s">
        <v>645</v>
      </c>
      <c r="H620" s="34" t="s">
        <v>23</v>
      </c>
      <c r="I620" s="34" t="s">
        <v>19</v>
      </c>
      <c r="J620" s="34" t="s">
        <v>24</v>
      </c>
      <c r="K620" s="34" t="s">
        <v>49</v>
      </c>
      <c r="L620" s="34" t="s">
        <v>47</v>
      </c>
      <c r="M620">
        <v>9.1948028978600593</v>
      </c>
    </row>
    <row r="621" spans="1:13" x14ac:dyDescent="0.3">
      <c r="A621" s="34" t="s">
        <v>662</v>
      </c>
      <c r="B621">
        <v>-1</v>
      </c>
      <c r="C621">
        <v>2050</v>
      </c>
      <c r="D621" s="34" t="s">
        <v>309</v>
      </c>
      <c r="E621" s="34" t="s">
        <v>313</v>
      </c>
      <c r="F621" s="34" t="s">
        <v>485</v>
      </c>
      <c r="G621" s="34" t="s">
        <v>474</v>
      </c>
      <c r="H621" s="34" t="s">
        <v>201</v>
      </c>
      <c r="I621" s="34" t="s">
        <v>19</v>
      </c>
      <c r="J621" s="34" t="s">
        <v>27</v>
      </c>
      <c r="K621" s="34" t="s">
        <v>46</v>
      </c>
      <c r="L621" s="34" t="s">
        <v>47</v>
      </c>
      <c r="M621">
        <v>0.59299999999999997</v>
      </c>
    </row>
    <row r="622" spans="1:13" x14ac:dyDescent="0.3">
      <c r="A622" s="34" t="s">
        <v>662</v>
      </c>
      <c r="B622">
        <v>-1</v>
      </c>
      <c r="C622">
        <v>2050</v>
      </c>
      <c r="D622" s="34" t="s">
        <v>309</v>
      </c>
      <c r="E622" s="34" t="s">
        <v>313</v>
      </c>
      <c r="F622" s="34" t="s">
        <v>485</v>
      </c>
      <c r="G622" s="34" t="s">
        <v>474</v>
      </c>
      <c r="H622" s="34" t="s">
        <v>201</v>
      </c>
      <c r="I622" s="34" t="s">
        <v>19</v>
      </c>
      <c r="J622" s="34" t="s">
        <v>27</v>
      </c>
      <c r="K622" s="34" t="s">
        <v>48</v>
      </c>
      <c r="L622" s="34" t="s">
        <v>47</v>
      </c>
      <c r="M622">
        <v>-0.59299999999999997</v>
      </c>
    </row>
    <row r="623" spans="1:13" x14ac:dyDescent="0.3">
      <c r="A623" s="34" t="s">
        <v>662</v>
      </c>
      <c r="B623">
        <v>-1</v>
      </c>
      <c r="C623">
        <v>2050</v>
      </c>
      <c r="D623" s="34" t="s">
        <v>309</v>
      </c>
      <c r="E623" s="34" t="s">
        <v>313</v>
      </c>
      <c r="F623" s="34" t="s">
        <v>485</v>
      </c>
      <c r="G623" s="34" t="s">
        <v>170</v>
      </c>
      <c r="H623" s="34" t="s">
        <v>18</v>
      </c>
      <c r="I623" s="34" t="s">
        <v>19</v>
      </c>
      <c r="J623" s="34" t="s">
        <v>32</v>
      </c>
      <c r="K623" s="34" t="s">
        <v>46</v>
      </c>
      <c r="L623" s="34" t="s">
        <v>47</v>
      </c>
      <c r="M623">
        <v>1.5287300663378099E-2</v>
      </c>
    </row>
    <row r="624" spans="1:13" x14ac:dyDescent="0.3">
      <c r="A624" s="34" t="s">
        <v>662</v>
      </c>
      <c r="B624">
        <v>-1</v>
      </c>
      <c r="C624">
        <v>2050</v>
      </c>
      <c r="D624" s="34" t="s">
        <v>309</v>
      </c>
      <c r="E624" s="34" t="s">
        <v>313</v>
      </c>
      <c r="F624" s="34" t="s">
        <v>485</v>
      </c>
      <c r="G624" s="34" t="s">
        <v>171</v>
      </c>
      <c r="H624" s="34" t="s">
        <v>18</v>
      </c>
      <c r="I624" s="34" t="s">
        <v>19</v>
      </c>
      <c r="J624" s="34" t="s">
        <v>32</v>
      </c>
      <c r="K624" s="34" t="s">
        <v>46</v>
      </c>
      <c r="L624" s="34" t="s">
        <v>47</v>
      </c>
      <c r="M624">
        <v>1.5287300663378099E-2</v>
      </c>
    </row>
    <row r="625" spans="1:13" x14ac:dyDescent="0.3">
      <c r="A625" s="34" t="s">
        <v>662</v>
      </c>
      <c r="B625">
        <v>-1</v>
      </c>
      <c r="C625">
        <v>2050</v>
      </c>
      <c r="D625" s="34" t="s">
        <v>309</v>
      </c>
      <c r="E625" s="34" t="s">
        <v>313</v>
      </c>
      <c r="F625" s="34" t="s">
        <v>485</v>
      </c>
      <c r="G625" s="34" t="s">
        <v>172</v>
      </c>
      <c r="H625" s="34" t="s">
        <v>18</v>
      </c>
      <c r="I625" s="34" t="s">
        <v>19</v>
      </c>
      <c r="J625" s="34" t="s">
        <v>32</v>
      </c>
      <c r="K625" s="34" t="s">
        <v>46</v>
      </c>
      <c r="L625" s="34" t="s">
        <v>47</v>
      </c>
      <c r="M625">
        <v>1.5287300663378099E-2</v>
      </c>
    </row>
    <row r="626" spans="1:13" x14ac:dyDescent="0.3">
      <c r="A626" s="34" t="s">
        <v>662</v>
      </c>
      <c r="B626">
        <v>-1</v>
      </c>
      <c r="C626">
        <v>2050</v>
      </c>
      <c r="D626" s="34" t="s">
        <v>309</v>
      </c>
      <c r="E626" s="34" t="s">
        <v>313</v>
      </c>
      <c r="F626" s="34" t="s">
        <v>485</v>
      </c>
      <c r="G626" s="34" t="s">
        <v>173</v>
      </c>
      <c r="H626" s="34" t="s">
        <v>18</v>
      </c>
      <c r="I626" s="34" t="s">
        <v>19</v>
      </c>
      <c r="J626" s="34" t="s">
        <v>32</v>
      </c>
      <c r="K626" s="34" t="s">
        <v>46</v>
      </c>
      <c r="L626" s="34" t="s">
        <v>47</v>
      </c>
      <c r="M626">
        <v>1.5287300663378099E-2</v>
      </c>
    </row>
    <row r="627" spans="1:13" x14ac:dyDescent="0.3">
      <c r="A627" s="34" t="s">
        <v>662</v>
      </c>
      <c r="B627">
        <v>-1</v>
      </c>
      <c r="C627">
        <v>2050</v>
      </c>
      <c r="D627" s="34" t="s">
        <v>309</v>
      </c>
      <c r="E627" s="34" t="s">
        <v>313</v>
      </c>
      <c r="F627" s="34" t="s">
        <v>485</v>
      </c>
      <c r="G627" s="34" t="s">
        <v>174</v>
      </c>
      <c r="H627" s="34" t="s">
        <v>18</v>
      </c>
      <c r="I627" s="34" t="s">
        <v>19</v>
      </c>
      <c r="J627" s="34" t="s">
        <v>32</v>
      </c>
      <c r="K627" s="34" t="s">
        <v>46</v>
      </c>
      <c r="L627" s="34" t="s">
        <v>47</v>
      </c>
      <c r="M627">
        <v>1.5287300663378099E-2</v>
      </c>
    </row>
    <row r="628" spans="1:13" x14ac:dyDescent="0.3">
      <c r="A628" s="34" t="s">
        <v>662</v>
      </c>
      <c r="B628">
        <v>-1</v>
      </c>
      <c r="C628">
        <v>2050</v>
      </c>
      <c r="D628" s="34" t="s">
        <v>309</v>
      </c>
      <c r="E628" s="34" t="s">
        <v>313</v>
      </c>
      <c r="F628" s="34" t="s">
        <v>485</v>
      </c>
      <c r="G628" s="34" t="s">
        <v>175</v>
      </c>
      <c r="H628" s="34" t="s">
        <v>18</v>
      </c>
      <c r="I628" s="34" t="s">
        <v>19</v>
      </c>
      <c r="J628" s="34" t="s">
        <v>32</v>
      </c>
      <c r="K628" s="34" t="s">
        <v>46</v>
      </c>
      <c r="L628" s="34" t="s">
        <v>47</v>
      </c>
      <c r="M628">
        <v>1.5287300663378099E-2</v>
      </c>
    </row>
    <row r="629" spans="1:13" x14ac:dyDescent="0.3">
      <c r="A629" s="34" t="s">
        <v>662</v>
      </c>
      <c r="B629">
        <v>-1</v>
      </c>
      <c r="C629">
        <v>2050</v>
      </c>
      <c r="D629" s="34" t="s">
        <v>309</v>
      </c>
      <c r="E629" s="34" t="s">
        <v>313</v>
      </c>
      <c r="F629" s="34" t="s">
        <v>485</v>
      </c>
      <c r="G629" s="34" t="s">
        <v>176</v>
      </c>
      <c r="H629" s="34" t="s">
        <v>18</v>
      </c>
      <c r="I629" s="34" t="s">
        <v>19</v>
      </c>
      <c r="J629" s="34" t="s">
        <v>32</v>
      </c>
      <c r="K629" s="34" t="s">
        <v>46</v>
      </c>
      <c r="L629" s="34" t="s">
        <v>47</v>
      </c>
      <c r="M629">
        <v>1.5287300663378099E-2</v>
      </c>
    </row>
    <row r="630" spans="1:13" x14ac:dyDescent="0.3">
      <c r="A630" s="34" t="s">
        <v>662</v>
      </c>
      <c r="B630">
        <v>-1</v>
      </c>
      <c r="C630">
        <v>2050</v>
      </c>
      <c r="D630" s="34" t="s">
        <v>309</v>
      </c>
      <c r="E630" s="34" t="s">
        <v>313</v>
      </c>
      <c r="F630" s="34" t="s">
        <v>485</v>
      </c>
      <c r="G630" s="34" t="s">
        <v>177</v>
      </c>
      <c r="H630" s="34" t="s">
        <v>18</v>
      </c>
      <c r="I630" s="34" t="s">
        <v>19</v>
      </c>
      <c r="J630" s="34" t="s">
        <v>32</v>
      </c>
      <c r="K630" s="34" t="s">
        <v>46</v>
      </c>
      <c r="L630" s="34" t="s">
        <v>47</v>
      </c>
      <c r="M630">
        <v>1.5287300663378099E-2</v>
      </c>
    </row>
    <row r="631" spans="1:13" x14ac:dyDescent="0.3">
      <c r="A631" s="34" t="s">
        <v>662</v>
      </c>
      <c r="B631">
        <v>-1</v>
      </c>
      <c r="C631">
        <v>2050</v>
      </c>
      <c r="D631" s="34" t="s">
        <v>309</v>
      </c>
      <c r="E631" s="34" t="s">
        <v>313</v>
      </c>
      <c r="F631" s="34" t="s">
        <v>485</v>
      </c>
      <c r="G631" s="34" t="s">
        <v>178</v>
      </c>
      <c r="H631" s="34" t="s">
        <v>18</v>
      </c>
      <c r="I631" s="34" t="s">
        <v>19</v>
      </c>
      <c r="J631" s="34" t="s">
        <v>32</v>
      </c>
      <c r="K631" s="34" t="s">
        <v>46</v>
      </c>
      <c r="L631" s="34" t="s">
        <v>47</v>
      </c>
      <c r="M631">
        <v>1.5287300663378099E-2</v>
      </c>
    </row>
    <row r="632" spans="1:13" x14ac:dyDescent="0.3">
      <c r="A632" s="34" t="s">
        <v>662</v>
      </c>
      <c r="B632">
        <v>-1</v>
      </c>
      <c r="C632">
        <v>2050</v>
      </c>
      <c r="D632" s="34" t="s">
        <v>309</v>
      </c>
      <c r="E632" s="34" t="s">
        <v>313</v>
      </c>
      <c r="F632" s="34" t="s">
        <v>485</v>
      </c>
      <c r="G632" s="34" t="s">
        <v>179</v>
      </c>
      <c r="H632" s="34" t="s">
        <v>18</v>
      </c>
      <c r="I632" s="34" t="s">
        <v>19</v>
      </c>
      <c r="J632" s="34" t="s">
        <v>32</v>
      </c>
      <c r="K632" s="34" t="s">
        <v>46</v>
      </c>
      <c r="L632" s="34" t="s">
        <v>47</v>
      </c>
      <c r="M632">
        <v>1.5287300663378099E-2</v>
      </c>
    </row>
    <row r="633" spans="1:13" x14ac:dyDescent="0.3">
      <c r="A633" s="34" t="s">
        <v>662</v>
      </c>
      <c r="B633">
        <v>-1</v>
      </c>
      <c r="C633">
        <v>2050</v>
      </c>
      <c r="D633" s="34" t="s">
        <v>309</v>
      </c>
      <c r="E633" s="34" t="s">
        <v>313</v>
      </c>
      <c r="F633" s="34" t="s">
        <v>485</v>
      </c>
      <c r="G633" s="34" t="s">
        <v>180</v>
      </c>
      <c r="H633" s="34" t="s">
        <v>18</v>
      </c>
      <c r="I633" s="34" t="s">
        <v>19</v>
      </c>
      <c r="J633" s="34" t="s">
        <v>181</v>
      </c>
      <c r="K633" s="34" t="s">
        <v>46</v>
      </c>
      <c r="L633" s="34" t="s">
        <v>47</v>
      </c>
      <c r="M633">
        <v>0.18933699336621901</v>
      </c>
    </row>
    <row r="634" spans="1:13" x14ac:dyDescent="0.3">
      <c r="A634" s="34" t="s">
        <v>662</v>
      </c>
      <c r="B634">
        <v>-1</v>
      </c>
      <c r="C634">
        <v>2050</v>
      </c>
      <c r="D634" s="34" t="s">
        <v>309</v>
      </c>
      <c r="E634" s="34" t="s">
        <v>313</v>
      </c>
      <c r="F634" s="34" t="s">
        <v>485</v>
      </c>
      <c r="G634" s="34" t="s">
        <v>475</v>
      </c>
      <c r="H634" s="34" t="s">
        <v>237</v>
      </c>
      <c r="I634" s="34" t="s">
        <v>19</v>
      </c>
      <c r="J634" s="34" t="s">
        <v>27</v>
      </c>
      <c r="K634" s="34" t="s">
        <v>46</v>
      </c>
      <c r="L634" s="34" t="s">
        <v>47</v>
      </c>
      <c r="M634">
        <v>0.66</v>
      </c>
    </row>
    <row r="635" spans="1:13" x14ac:dyDescent="0.3">
      <c r="A635" s="34" t="s">
        <v>662</v>
      </c>
      <c r="B635">
        <v>-1</v>
      </c>
      <c r="C635">
        <v>2050</v>
      </c>
      <c r="D635" s="34" t="s">
        <v>309</v>
      </c>
      <c r="E635" s="34" t="s">
        <v>313</v>
      </c>
      <c r="F635" s="34" t="s">
        <v>485</v>
      </c>
      <c r="G635" s="34" t="s">
        <v>475</v>
      </c>
      <c r="H635" s="34" t="s">
        <v>237</v>
      </c>
      <c r="I635" s="34" t="s">
        <v>19</v>
      </c>
      <c r="J635" s="34" t="s">
        <v>27</v>
      </c>
      <c r="K635" s="34" t="s">
        <v>48</v>
      </c>
      <c r="L635" s="34" t="s">
        <v>47</v>
      </c>
      <c r="M635">
        <v>-0.66</v>
      </c>
    </row>
    <row r="636" spans="1:13" x14ac:dyDescent="0.3">
      <c r="A636" s="34" t="s">
        <v>662</v>
      </c>
      <c r="B636">
        <v>-1</v>
      </c>
      <c r="C636">
        <v>2050</v>
      </c>
      <c r="D636" s="34" t="s">
        <v>309</v>
      </c>
      <c r="E636" s="34" t="s">
        <v>313</v>
      </c>
      <c r="F636" s="34" t="s">
        <v>486</v>
      </c>
      <c r="G636" s="34" t="s">
        <v>474</v>
      </c>
      <c r="H636" s="34" t="s">
        <v>201</v>
      </c>
      <c r="I636" s="34" t="s">
        <v>19</v>
      </c>
      <c r="J636" s="34" t="s">
        <v>27</v>
      </c>
      <c r="K636" s="34" t="s">
        <v>46</v>
      </c>
      <c r="L636" s="34" t="s">
        <v>47</v>
      </c>
      <c r="M636">
        <v>8.5000000000000006E-3</v>
      </c>
    </row>
    <row r="637" spans="1:13" x14ac:dyDescent="0.3">
      <c r="A637" s="34" t="s">
        <v>662</v>
      </c>
      <c r="B637">
        <v>-1</v>
      </c>
      <c r="C637">
        <v>2050</v>
      </c>
      <c r="D637" s="34" t="s">
        <v>309</v>
      </c>
      <c r="E637" s="34" t="s">
        <v>313</v>
      </c>
      <c r="F637" s="34" t="s">
        <v>486</v>
      </c>
      <c r="G637" s="34" t="s">
        <v>474</v>
      </c>
      <c r="H637" s="34" t="s">
        <v>201</v>
      </c>
      <c r="I637" s="34" t="s">
        <v>19</v>
      </c>
      <c r="J637" s="34" t="s">
        <v>27</v>
      </c>
      <c r="K637" s="34" t="s">
        <v>48</v>
      </c>
      <c r="L637" s="34" t="s">
        <v>47</v>
      </c>
      <c r="M637">
        <v>-8.5000000000000006E-3</v>
      </c>
    </row>
    <row r="638" spans="1:13" x14ac:dyDescent="0.3">
      <c r="A638" s="34" t="s">
        <v>662</v>
      </c>
      <c r="B638">
        <v>-1</v>
      </c>
      <c r="C638">
        <v>2050</v>
      </c>
      <c r="D638" s="34" t="s">
        <v>309</v>
      </c>
      <c r="E638" s="34" t="s">
        <v>313</v>
      </c>
      <c r="F638" s="34" t="s">
        <v>486</v>
      </c>
      <c r="G638" s="34" t="s">
        <v>487</v>
      </c>
      <c r="H638" s="34" t="s">
        <v>40</v>
      </c>
      <c r="I638" s="34" t="s">
        <v>203</v>
      </c>
      <c r="J638" s="34" t="s">
        <v>204</v>
      </c>
      <c r="K638" s="34" t="s">
        <v>46</v>
      </c>
      <c r="L638" s="34" t="s">
        <v>47</v>
      </c>
      <c r="M638">
        <v>0.24943820224719102</v>
      </c>
    </row>
    <row r="639" spans="1:13" x14ac:dyDescent="0.3">
      <c r="A639" s="34" t="s">
        <v>662</v>
      </c>
      <c r="B639">
        <v>-1</v>
      </c>
      <c r="C639">
        <v>2050</v>
      </c>
      <c r="D639" s="34" t="s">
        <v>309</v>
      </c>
      <c r="E639" s="34" t="s">
        <v>313</v>
      </c>
      <c r="F639" s="34" t="s">
        <v>486</v>
      </c>
      <c r="G639" s="34" t="s">
        <v>487</v>
      </c>
      <c r="H639" s="34" t="s">
        <v>40</v>
      </c>
      <c r="I639" s="34" t="s">
        <v>203</v>
      </c>
      <c r="J639" s="34" t="s">
        <v>204</v>
      </c>
      <c r="K639" s="34" t="s">
        <v>48</v>
      </c>
      <c r="L639" s="34" t="s">
        <v>47</v>
      </c>
      <c r="M639">
        <v>-0.24943820224719102</v>
      </c>
    </row>
    <row r="640" spans="1:13" x14ac:dyDescent="0.3">
      <c r="A640" s="34" t="s">
        <v>662</v>
      </c>
      <c r="B640">
        <v>-1</v>
      </c>
      <c r="C640">
        <v>2050</v>
      </c>
      <c r="D640" s="34" t="s">
        <v>309</v>
      </c>
      <c r="E640" s="34" t="s">
        <v>313</v>
      </c>
      <c r="F640" s="34" t="s">
        <v>486</v>
      </c>
      <c r="G640" s="34" t="s">
        <v>487</v>
      </c>
      <c r="H640" s="34" t="s">
        <v>40</v>
      </c>
      <c r="I640" s="34" t="s">
        <v>19</v>
      </c>
      <c r="J640" s="34" t="s">
        <v>204</v>
      </c>
      <c r="K640" s="34" t="s">
        <v>46</v>
      </c>
      <c r="L640" s="34" t="s">
        <v>47</v>
      </c>
      <c r="M640">
        <v>0.44400000000000001</v>
      </c>
    </row>
    <row r="641" spans="1:13" x14ac:dyDescent="0.3">
      <c r="A641" s="34" t="s">
        <v>662</v>
      </c>
      <c r="B641">
        <v>-1</v>
      </c>
      <c r="C641">
        <v>2050</v>
      </c>
      <c r="D641" s="34" t="s">
        <v>309</v>
      </c>
      <c r="E641" s="34" t="s">
        <v>313</v>
      </c>
      <c r="F641" s="34" t="s">
        <v>486</v>
      </c>
      <c r="G641" s="34" t="s">
        <v>487</v>
      </c>
      <c r="H641" s="34" t="s">
        <v>40</v>
      </c>
      <c r="I641" s="34" t="s">
        <v>19</v>
      </c>
      <c r="J641" s="34" t="s">
        <v>204</v>
      </c>
      <c r="K641" s="34" t="s">
        <v>48</v>
      </c>
      <c r="L641" s="34" t="s">
        <v>47</v>
      </c>
      <c r="M641">
        <v>-0.44400000000000001</v>
      </c>
    </row>
    <row r="642" spans="1:13" x14ac:dyDescent="0.3">
      <c r="A642" s="34" t="s">
        <v>662</v>
      </c>
      <c r="B642">
        <v>-1</v>
      </c>
      <c r="C642">
        <v>2050</v>
      </c>
      <c r="D642" s="34" t="s">
        <v>309</v>
      </c>
      <c r="E642" s="34" t="s">
        <v>313</v>
      </c>
      <c r="F642" s="34" t="s">
        <v>486</v>
      </c>
      <c r="G642" s="34" t="s">
        <v>11</v>
      </c>
      <c r="H642" s="34" t="s">
        <v>12</v>
      </c>
      <c r="I642" s="34" t="s">
        <v>13</v>
      </c>
      <c r="J642" s="34" t="s">
        <v>14</v>
      </c>
      <c r="K642" s="34" t="s">
        <v>46</v>
      </c>
      <c r="L642" s="34" t="s">
        <v>47</v>
      </c>
      <c r="M642">
        <v>1.5159999999999976</v>
      </c>
    </row>
    <row r="643" spans="1:13" x14ac:dyDescent="0.3">
      <c r="A643" s="34" t="s">
        <v>662</v>
      </c>
      <c r="B643">
        <v>-1</v>
      </c>
      <c r="C643">
        <v>2050</v>
      </c>
      <c r="D643" s="34" t="s">
        <v>309</v>
      </c>
      <c r="E643" s="34" t="s">
        <v>313</v>
      </c>
      <c r="F643" s="34" t="s">
        <v>486</v>
      </c>
      <c r="G643" s="34" t="s">
        <v>11</v>
      </c>
      <c r="H643" s="34" t="s">
        <v>12</v>
      </c>
      <c r="I643" s="34" t="s">
        <v>13</v>
      </c>
      <c r="J643" s="34" t="s">
        <v>14</v>
      </c>
      <c r="K643" s="34" t="s">
        <v>48</v>
      </c>
      <c r="L643" s="34" t="s">
        <v>47</v>
      </c>
      <c r="M643">
        <v>-0.37900000000000006</v>
      </c>
    </row>
    <row r="644" spans="1:13" x14ac:dyDescent="0.3">
      <c r="A644" s="34" t="s">
        <v>662</v>
      </c>
      <c r="B644">
        <v>-1</v>
      </c>
      <c r="C644">
        <v>2050</v>
      </c>
      <c r="D644" s="34" t="s">
        <v>309</v>
      </c>
      <c r="E644" s="34" t="s">
        <v>313</v>
      </c>
      <c r="F644" s="34" t="s">
        <v>486</v>
      </c>
      <c r="G644" s="34" t="s">
        <v>41</v>
      </c>
      <c r="H644" s="34" t="s">
        <v>40</v>
      </c>
      <c r="I644" s="34" t="s">
        <v>13</v>
      </c>
      <c r="J644" s="34" t="s">
        <v>42</v>
      </c>
      <c r="K644" s="34" t="s">
        <v>46</v>
      </c>
      <c r="L644" s="34" t="s">
        <v>47</v>
      </c>
      <c r="M644">
        <v>0.27019144038862147</v>
      </c>
    </row>
    <row r="645" spans="1:13" x14ac:dyDescent="0.3">
      <c r="A645" s="34" t="s">
        <v>662</v>
      </c>
      <c r="B645">
        <v>-1</v>
      </c>
      <c r="C645">
        <v>2050</v>
      </c>
      <c r="D645" s="34" t="s">
        <v>309</v>
      </c>
      <c r="E645" s="34" t="s">
        <v>313</v>
      </c>
      <c r="F645" s="34" t="s">
        <v>486</v>
      </c>
      <c r="G645" s="34" t="s">
        <v>41</v>
      </c>
      <c r="H645" s="34" t="s">
        <v>40</v>
      </c>
      <c r="I645" s="34" t="s">
        <v>13</v>
      </c>
      <c r="J645" s="34" t="s">
        <v>42</v>
      </c>
      <c r="K645" s="34" t="s">
        <v>48</v>
      </c>
      <c r="L645" s="34" t="s">
        <v>47</v>
      </c>
      <c r="M645">
        <v>-0.27019144038862147</v>
      </c>
    </row>
    <row r="646" spans="1:13" x14ac:dyDescent="0.3">
      <c r="A646" s="34" t="s">
        <v>662</v>
      </c>
      <c r="B646">
        <v>-1</v>
      </c>
      <c r="C646">
        <v>2050</v>
      </c>
      <c r="D646" s="34" t="s">
        <v>309</v>
      </c>
      <c r="E646" s="34" t="s">
        <v>313</v>
      </c>
      <c r="F646" s="34" t="s">
        <v>604</v>
      </c>
      <c r="G646" s="34" t="s">
        <v>29</v>
      </c>
      <c r="H646" s="34" t="s">
        <v>21</v>
      </c>
      <c r="I646" s="34" t="s">
        <v>19</v>
      </c>
      <c r="J646" s="34" t="s">
        <v>22</v>
      </c>
      <c r="K646" s="34" t="s">
        <v>46</v>
      </c>
      <c r="L646" s="34" t="s">
        <v>47</v>
      </c>
      <c r="M646">
        <v>0.36828178919999999</v>
      </c>
    </row>
    <row r="647" spans="1:13" x14ac:dyDescent="0.3">
      <c r="A647" s="34" t="s">
        <v>662</v>
      </c>
      <c r="B647">
        <v>-1</v>
      </c>
      <c r="C647">
        <v>2050</v>
      </c>
      <c r="D647" s="34" t="s">
        <v>309</v>
      </c>
      <c r="E647" s="34" t="s">
        <v>313</v>
      </c>
      <c r="F647" s="34" t="s">
        <v>604</v>
      </c>
      <c r="G647" s="34" t="s">
        <v>29</v>
      </c>
      <c r="H647" s="34" t="s">
        <v>21</v>
      </c>
      <c r="I647" s="34" t="s">
        <v>19</v>
      </c>
      <c r="J647" s="34" t="s">
        <v>22</v>
      </c>
      <c r="K647" s="34" t="s">
        <v>48</v>
      </c>
      <c r="L647" s="34" t="s">
        <v>47</v>
      </c>
      <c r="M647">
        <v>-0.36828178919999993</v>
      </c>
    </row>
    <row r="648" spans="1:13" x14ac:dyDescent="0.3">
      <c r="A648" s="34" t="s">
        <v>662</v>
      </c>
      <c r="B648">
        <v>-1</v>
      </c>
      <c r="C648">
        <v>2050</v>
      </c>
      <c r="D648" s="34" t="s">
        <v>309</v>
      </c>
      <c r="E648" s="34" t="s">
        <v>313</v>
      </c>
      <c r="F648" s="34" t="s">
        <v>604</v>
      </c>
      <c r="G648" s="34" t="s">
        <v>20</v>
      </c>
      <c r="H648" s="34" t="s">
        <v>21</v>
      </c>
      <c r="I648" s="34" t="s">
        <v>19</v>
      </c>
      <c r="J648" s="34" t="s">
        <v>22</v>
      </c>
      <c r="K648" s="34" t="s">
        <v>46</v>
      </c>
      <c r="L648" s="34" t="s">
        <v>47</v>
      </c>
      <c r="M648">
        <v>0.97126701660000014</v>
      </c>
    </row>
    <row r="649" spans="1:13" x14ac:dyDescent="0.3">
      <c r="A649" s="34" t="s">
        <v>662</v>
      </c>
      <c r="B649">
        <v>-1</v>
      </c>
      <c r="C649">
        <v>2050</v>
      </c>
      <c r="D649" s="34" t="s">
        <v>309</v>
      </c>
      <c r="E649" s="34" t="s">
        <v>313</v>
      </c>
      <c r="F649" s="34" t="s">
        <v>604</v>
      </c>
      <c r="G649" s="34" t="s">
        <v>20</v>
      </c>
      <c r="H649" s="34" t="s">
        <v>21</v>
      </c>
      <c r="I649" s="34" t="s">
        <v>19</v>
      </c>
      <c r="J649" s="34" t="s">
        <v>22</v>
      </c>
      <c r="K649" s="34" t="s">
        <v>48</v>
      </c>
      <c r="L649" s="34" t="s">
        <v>47</v>
      </c>
      <c r="M649">
        <v>-0.97126701660000003</v>
      </c>
    </row>
    <row r="650" spans="1:13" x14ac:dyDescent="0.3">
      <c r="A650" s="34" t="s">
        <v>662</v>
      </c>
      <c r="B650">
        <v>-1</v>
      </c>
      <c r="C650">
        <v>2050</v>
      </c>
      <c r="D650" s="34" t="s">
        <v>309</v>
      </c>
      <c r="E650" s="34" t="s">
        <v>313</v>
      </c>
      <c r="F650" s="34" t="s">
        <v>604</v>
      </c>
      <c r="G650" s="34" t="s">
        <v>30</v>
      </c>
      <c r="H650" s="34" t="s">
        <v>21</v>
      </c>
      <c r="I650" s="34" t="s">
        <v>19</v>
      </c>
      <c r="J650" s="34" t="s">
        <v>22</v>
      </c>
      <c r="K650" s="34" t="s">
        <v>46</v>
      </c>
      <c r="L650" s="34" t="s">
        <v>47</v>
      </c>
      <c r="M650">
        <v>0.45344919420000002</v>
      </c>
    </row>
    <row r="651" spans="1:13" x14ac:dyDescent="0.3">
      <c r="A651" s="34" t="s">
        <v>662</v>
      </c>
      <c r="B651">
        <v>-1</v>
      </c>
      <c r="C651">
        <v>2050</v>
      </c>
      <c r="D651" s="34" t="s">
        <v>309</v>
      </c>
      <c r="E651" s="34" t="s">
        <v>313</v>
      </c>
      <c r="F651" s="34" t="s">
        <v>604</v>
      </c>
      <c r="G651" s="34" t="s">
        <v>30</v>
      </c>
      <c r="H651" s="34" t="s">
        <v>21</v>
      </c>
      <c r="I651" s="34" t="s">
        <v>19</v>
      </c>
      <c r="J651" s="34" t="s">
        <v>22</v>
      </c>
      <c r="K651" s="34" t="s">
        <v>48</v>
      </c>
      <c r="L651" s="34" t="s">
        <v>47</v>
      </c>
      <c r="M651">
        <v>-0.45344919420000002</v>
      </c>
    </row>
    <row r="652" spans="1:13" x14ac:dyDescent="0.3">
      <c r="A652" s="34" t="s">
        <v>662</v>
      </c>
      <c r="B652">
        <v>-1</v>
      </c>
      <c r="C652">
        <v>2050</v>
      </c>
      <c r="D652" s="34" t="s">
        <v>309</v>
      </c>
      <c r="E652" s="34" t="s">
        <v>313</v>
      </c>
      <c r="F652" s="34" t="s">
        <v>604</v>
      </c>
      <c r="G652" s="34" t="s">
        <v>644</v>
      </c>
      <c r="H652" s="34" t="s">
        <v>21</v>
      </c>
      <c r="I652" s="34" t="s">
        <v>19</v>
      </c>
      <c r="J652" s="34" t="s">
        <v>22</v>
      </c>
      <c r="K652" s="34" t="s">
        <v>49</v>
      </c>
      <c r="L652" s="34" t="s">
        <v>47</v>
      </c>
      <c r="M652">
        <v>4.0334084084084001</v>
      </c>
    </row>
    <row r="653" spans="1:13" x14ac:dyDescent="0.3">
      <c r="A653" s="34" t="s">
        <v>662</v>
      </c>
      <c r="B653">
        <v>-1</v>
      </c>
      <c r="C653">
        <v>2050</v>
      </c>
      <c r="D653" s="34" t="s">
        <v>314</v>
      </c>
      <c r="E653" s="34" t="s">
        <v>397</v>
      </c>
      <c r="F653" s="34" t="s">
        <v>316</v>
      </c>
      <c r="G653" s="34" t="s">
        <v>317</v>
      </c>
      <c r="H653" s="34" t="s">
        <v>40</v>
      </c>
      <c r="I653" s="34" t="s">
        <v>19</v>
      </c>
      <c r="J653" s="34" t="s">
        <v>27</v>
      </c>
      <c r="K653" s="34" t="s">
        <v>46</v>
      </c>
      <c r="L653" s="34" t="s">
        <v>47</v>
      </c>
      <c r="M653">
        <v>13.903</v>
      </c>
    </row>
    <row r="654" spans="1:13" x14ac:dyDescent="0.3">
      <c r="A654" s="34" t="s">
        <v>662</v>
      </c>
      <c r="B654">
        <v>-1</v>
      </c>
      <c r="C654">
        <v>2050</v>
      </c>
      <c r="D654" s="34" t="s">
        <v>314</v>
      </c>
      <c r="E654" s="34" t="s">
        <v>397</v>
      </c>
      <c r="F654" s="34" t="s">
        <v>316</v>
      </c>
      <c r="G654" s="34" t="s">
        <v>317</v>
      </c>
      <c r="H654" s="34" t="s">
        <v>40</v>
      </c>
      <c r="I654" s="34" t="s">
        <v>19</v>
      </c>
      <c r="J654" s="34" t="s">
        <v>27</v>
      </c>
      <c r="K654" s="34" t="s">
        <v>48</v>
      </c>
      <c r="L654" s="34" t="s">
        <v>47</v>
      </c>
      <c r="M654">
        <v>-13.903</v>
      </c>
    </row>
    <row r="655" spans="1:13" x14ac:dyDescent="0.3">
      <c r="A655" s="34" t="s">
        <v>662</v>
      </c>
      <c r="B655">
        <v>-1</v>
      </c>
      <c r="C655">
        <v>2050</v>
      </c>
      <c r="D655" s="34" t="s">
        <v>314</v>
      </c>
      <c r="E655" s="34" t="s">
        <v>397</v>
      </c>
      <c r="F655" s="34" t="s">
        <v>316</v>
      </c>
      <c r="G655" s="34" t="s">
        <v>318</v>
      </c>
      <c r="H655" s="34" t="s">
        <v>40</v>
      </c>
      <c r="I655" s="34" t="s">
        <v>19</v>
      </c>
      <c r="J655" s="34" t="s">
        <v>27</v>
      </c>
      <c r="K655" s="34" t="s">
        <v>46</v>
      </c>
      <c r="L655" s="34" t="s">
        <v>47</v>
      </c>
      <c r="M655">
        <v>13.872</v>
      </c>
    </row>
    <row r="656" spans="1:13" x14ac:dyDescent="0.3">
      <c r="A656" s="34" t="s">
        <v>662</v>
      </c>
      <c r="B656">
        <v>-1</v>
      </c>
      <c r="C656">
        <v>2050</v>
      </c>
      <c r="D656" s="34" t="s">
        <v>314</v>
      </c>
      <c r="E656" s="34" t="s">
        <v>397</v>
      </c>
      <c r="F656" s="34" t="s">
        <v>316</v>
      </c>
      <c r="G656" s="34" t="s">
        <v>318</v>
      </c>
      <c r="H656" s="34" t="s">
        <v>40</v>
      </c>
      <c r="I656" s="34" t="s">
        <v>19</v>
      </c>
      <c r="J656" s="34" t="s">
        <v>27</v>
      </c>
      <c r="K656" s="34" t="s">
        <v>48</v>
      </c>
      <c r="L656" s="34" t="s">
        <v>47</v>
      </c>
      <c r="M656">
        <v>-13.872</v>
      </c>
    </row>
    <row r="657" spans="1:13" x14ac:dyDescent="0.3">
      <c r="A657" s="34" t="s">
        <v>662</v>
      </c>
      <c r="B657">
        <v>-1</v>
      </c>
      <c r="C657">
        <v>2050</v>
      </c>
      <c r="D657" s="34" t="s">
        <v>314</v>
      </c>
      <c r="E657" s="34" t="s">
        <v>397</v>
      </c>
      <c r="F657" s="34" t="s">
        <v>316</v>
      </c>
      <c r="G657" s="34" t="s">
        <v>308</v>
      </c>
      <c r="H657" s="34" t="s">
        <v>40</v>
      </c>
      <c r="I657" s="34" t="s">
        <v>203</v>
      </c>
      <c r="J657" s="34" t="s">
        <v>204</v>
      </c>
      <c r="K657" s="34" t="s">
        <v>46</v>
      </c>
      <c r="L657" s="34" t="s">
        <v>47</v>
      </c>
      <c r="M657">
        <v>0.30410256410256409</v>
      </c>
    </row>
    <row r="658" spans="1:13" x14ac:dyDescent="0.3">
      <c r="A658" s="34" t="s">
        <v>662</v>
      </c>
      <c r="B658">
        <v>-1</v>
      </c>
      <c r="C658">
        <v>2050</v>
      </c>
      <c r="D658" s="34" t="s">
        <v>314</v>
      </c>
      <c r="E658" s="34" t="s">
        <v>397</v>
      </c>
      <c r="F658" s="34" t="s">
        <v>316</v>
      </c>
      <c r="G658" s="34" t="s">
        <v>308</v>
      </c>
      <c r="H658" s="34" t="s">
        <v>40</v>
      </c>
      <c r="I658" s="34" t="s">
        <v>203</v>
      </c>
      <c r="J658" s="34" t="s">
        <v>204</v>
      </c>
      <c r="K658" s="34" t="s">
        <v>48</v>
      </c>
      <c r="L658" s="34" t="s">
        <v>47</v>
      </c>
      <c r="M658">
        <v>-0.30410256410256409</v>
      </c>
    </row>
    <row r="659" spans="1:13" x14ac:dyDescent="0.3">
      <c r="A659" s="34" t="s">
        <v>662</v>
      </c>
      <c r="B659">
        <v>-1</v>
      </c>
      <c r="C659">
        <v>2050</v>
      </c>
      <c r="D659" s="34" t="s">
        <v>314</v>
      </c>
      <c r="E659" s="34" t="s">
        <v>397</v>
      </c>
      <c r="F659" s="34" t="s">
        <v>316</v>
      </c>
      <c r="G659" s="34" t="s">
        <v>308</v>
      </c>
      <c r="H659" s="34" t="s">
        <v>40</v>
      </c>
      <c r="I659" s="34" t="s">
        <v>19</v>
      </c>
      <c r="J659" s="34" t="s">
        <v>204</v>
      </c>
      <c r="K659" s="34" t="s">
        <v>46</v>
      </c>
      <c r="L659" s="34" t="s">
        <v>47</v>
      </c>
      <c r="M659">
        <v>0.59299999999999997</v>
      </c>
    </row>
    <row r="660" spans="1:13" x14ac:dyDescent="0.3">
      <c r="A660" s="34" t="s">
        <v>662</v>
      </c>
      <c r="B660">
        <v>-1</v>
      </c>
      <c r="C660">
        <v>2050</v>
      </c>
      <c r="D660" s="34" t="s">
        <v>314</v>
      </c>
      <c r="E660" s="34" t="s">
        <v>397</v>
      </c>
      <c r="F660" s="34" t="s">
        <v>316</v>
      </c>
      <c r="G660" s="34" t="s">
        <v>308</v>
      </c>
      <c r="H660" s="34" t="s">
        <v>40</v>
      </c>
      <c r="I660" s="34" t="s">
        <v>19</v>
      </c>
      <c r="J660" s="34" t="s">
        <v>204</v>
      </c>
      <c r="K660" s="34" t="s">
        <v>48</v>
      </c>
      <c r="L660" s="34" t="s">
        <v>47</v>
      </c>
      <c r="M660">
        <v>-0.59299999999999997</v>
      </c>
    </row>
    <row r="661" spans="1:13" x14ac:dyDescent="0.3">
      <c r="A661" s="34" t="s">
        <v>662</v>
      </c>
      <c r="B661">
        <v>-1</v>
      </c>
      <c r="C661">
        <v>2050</v>
      </c>
      <c r="D661" s="34" t="s">
        <v>314</v>
      </c>
      <c r="E661" s="34" t="s">
        <v>397</v>
      </c>
      <c r="F661" s="34" t="s">
        <v>316</v>
      </c>
      <c r="G661" s="34" t="s">
        <v>247</v>
      </c>
      <c r="H661" s="34" t="s">
        <v>209</v>
      </c>
      <c r="I661" s="34" t="s">
        <v>19</v>
      </c>
      <c r="J661" s="34" t="s">
        <v>27</v>
      </c>
      <c r="K661" s="34" t="s">
        <v>46</v>
      </c>
      <c r="L661" s="34" t="s">
        <v>47</v>
      </c>
      <c r="M661">
        <v>1.3109999999999999</v>
      </c>
    </row>
    <row r="662" spans="1:13" x14ac:dyDescent="0.3">
      <c r="A662" s="34" t="s">
        <v>662</v>
      </c>
      <c r="B662">
        <v>-1</v>
      </c>
      <c r="C662">
        <v>2050</v>
      </c>
      <c r="D662" s="34" t="s">
        <v>314</v>
      </c>
      <c r="E662" s="34" t="s">
        <v>397</v>
      </c>
      <c r="F662" s="34" t="s">
        <v>316</v>
      </c>
      <c r="G662" s="34" t="s">
        <v>247</v>
      </c>
      <c r="H662" s="34" t="s">
        <v>209</v>
      </c>
      <c r="I662" s="34" t="s">
        <v>19</v>
      </c>
      <c r="J662" s="34" t="s">
        <v>27</v>
      </c>
      <c r="K662" s="34" t="s">
        <v>48</v>
      </c>
      <c r="L662" s="34" t="s">
        <v>47</v>
      </c>
      <c r="M662">
        <v>-1.3109999999999999</v>
      </c>
    </row>
    <row r="663" spans="1:13" x14ac:dyDescent="0.3">
      <c r="A663" s="34" t="s">
        <v>662</v>
      </c>
      <c r="B663">
        <v>-1</v>
      </c>
      <c r="C663">
        <v>2050</v>
      </c>
      <c r="D663" s="34" t="s">
        <v>314</v>
      </c>
      <c r="E663" s="34" t="s">
        <v>397</v>
      </c>
      <c r="F663" s="34" t="s">
        <v>316</v>
      </c>
      <c r="G663" s="34" t="s">
        <v>227</v>
      </c>
      <c r="H663" s="34" t="s">
        <v>201</v>
      </c>
      <c r="I663" s="34" t="s">
        <v>19</v>
      </c>
      <c r="J663" s="34" t="s">
        <v>27</v>
      </c>
      <c r="K663" s="34" t="s">
        <v>46</v>
      </c>
      <c r="L663" s="34" t="s">
        <v>47</v>
      </c>
      <c r="M663">
        <v>0.12770000000000001</v>
      </c>
    </row>
    <row r="664" spans="1:13" x14ac:dyDescent="0.3">
      <c r="A664" s="34" t="s">
        <v>662</v>
      </c>
      <c r="B664">
        <v>-1</v>
      </c>
      <c r="C664">
        <v>2050</v>
      </c>
      <c r="D664" s="34" t="s">
        <v>314</v>
      </c>
      <c r="E664" s="34" t="s">
        <v>397</v>
      </c>
      <c r="F664" s="34" t="s">
        <v>316</v>
      </c>
      <c r="G664" s="34" t="s">
        <v>227</v>
      </c>
      <c r="H664" s="34" t="s">
        <v>201</v>
      </c>
      <c r="I664" s="34" t="s">
        <v>19</v>
      </c>
      <c r="J664" s="34" t="s">
        <v>27</v>
      </c>
      <c r="K664" s="34" t="s">
        <v>48</v>
      </c>
      <c r="L664" s="34" t="s">
        <v>47</v>
      </c>
      <c r="M664">
        <v>-0.12770000000000001</v>
      </c>
    </row>
    <row r="665" spans="1:13" x14ac:dyDescent="0.3">
      <c r="A665" s="34" t="s">
        <v>662</v>
      </c>
      <c r="B665">
        <v>-1</v>
      </c>
      <c r="C665">
        <v>2050</v>
      </c>
      <c r="D665" s="34" t="s">
        <v>314</v>
      </c>
      <c r="E665" s="34" t="s">
        <v>397</v>
      </c>
      <c r="F665" s="34" t="s">
        <v>316</v>
      </c>
      <c r="G665" s="34" t="s">
        <v>217</v>
      </c>
      <c r="H665" s="34" t="s">
        <v>201</v>
      </c>
      <c r="I665" s="34" t="s">
        <v>19</v>
      </c>
      <c r="J665" s="34" t="s">
        <v>27</v>
      </c>
      <c r="K665" s="34" t="s">
        <v>46</v>
      </c>
      <c r="L665" s="34" t="s">
        <v>47</v>
      </c>
      <c r="M665">
        <v>3.1199999999999999E-2</v>
      </c>
    </row>
    <row r="666" spans="1:13" x14ac:dyDescent="0.3">
      <c r="A666" s="34" t="s">
        <v>662</v>
      </c>
      <c r="B666">
        <v>-1</v>
      </c>
      <c r="C666">
        <v>2050</v>
      </c>
      <c r="D666" s="34" t="s">
        <v>314</v>
      </c>
      <c r="E666" s="34" t="s">
        <v>397</v>
      </c>
      <c r="F666" s="34" t="s">
        <v>316</v>
      </c>
      <c r="G666" s="34" t="s">
        <v>217</v>
      </c>
      <c r="H666" s="34" t="s">
        <v>201</v>
      </c>
      <c r="I666" s="34" t="s">
        <v>19</v>
      </c>
      <c r="J666" s="34" t="s">
        <v>27</v>
      </c>
      <c r="K666" s="34" t="s">
        <v>48</v>
      </c>
      <c r="L666" s="34" t="s">
        <v>47</v>
      </c>
      <c r="M666">
        <v>-3.1199999999999999E-2</v>
      </c>
    </row>
    <row r="667" spans="1:13" x14ac:dyDescent="0.3">
      <c r="A667" s="34" t="s">
        <v>662</v>
      </c>
      <c r="B667">
        <v>-1</v>
      </c>
      <c r="C667">
        <v>2050</v>
      </c>
      <c r="D667" s="34" t="s">
        <v>314</v>
      </c>
      <c r="E667" s="34" t="s">
        <v>397</v>
      </c>
      <c r="F667" s="34" t="s">
        <v>316</v>
      </c>
      <c r="G667" s="34" t="s">
        <v>260</v>
      </c>
      <c r="H667" s="34" t="s">
        <v>237</v>
      </c>
      <c r="I667" s="34" t="s">
        <v>19</v>
      </c>
      <c r="J667" s="34" t="s">
        <v>27</v>
      </c>
      <c r="K667" s="34" t="s">
        <v>46</v>
      </c>
      <c r="L667" s="34" t="s">
        <v>47</v>
      </c>
      <c r="M667">
        <v>0.95800000000000007</v>
      </c>
    </row>
    <row r="668" spans="1:13" x14ac:dyDescent="0.3">
      <c r="A668" s="34" t="s">
        <v>662</v>
      </c>
      <c r="B668">
        <v>-1</v>
      </c>
      <c r="C668">
        <v>2050</v>
      </c>
      <c r="D668" s="34" t="s">
        <v>314</v>
      </c>
      <c r="E668" s="34" t="s">
        <v>397</v>
      </c>
      <c r="F668" s="34" t="s">
        <v>316</v>
      </c>
      <c r="G668" s="34" t="s">
        <v>260</v>
      </c>
      <c r="H668" s="34" t="s">
        <v>237</v>
      </c>
      <c r="I668" s="34" t="s">
        <v>19</v>
      </c>
      <c r="J668" s="34" t="s">
        <v>27</v>
      </c>
      <c r="K668" s="34" t="s">
        <v>48</v>
      </c>
      <c r="L668" s="34" t="s">
        <v>47</v>
      </c>
      <c r="M668">
        <v>-0.95800000000000007</v>
      </c>
    </row>
    <row r="669" spans="1:13" x14ac:dyDescent="0.3">
      <c r="A669" s="34" t="s">
        <v>662</v>
      </c>
      <c r="B669">
        <v>-1</v>
      </c>
      <c r="C669">
        <v>2050</v>
      </c>
      <c r="D669" s="34" t="s">
        <v>314</v>
      </c>
      <c r="E669" s="34" t="s">
        <v>397</v>
      </c>
      <c r="F669" s="34" t="s">
        <v>316</v>
      </c>
      <c r="G669" s="34" t="s">
        <v>261</v>
      </c>
      <c r="H669" s="34" t="s">
        <v>237</v>
      </c>
      <c r="I669" s="34" t="s">
        <v>19</v>
      </c>
      <c r="J669" s="34" t="s">
        <v>27</v>
      </c>
      <c r="K669" s="34" t="s">
        <v>46</v>
      </c>
      <c r="L669" s="34" t="s">
        <v>47</v>
      </c>
      <c r="M669">
        <v>0.21</v>
      </c>
    </row>
    <row r="670" spans="1:13" x14ac:dyDescent="0.3">
      <c r="A670" s="34" t="s">
        <v>662</v>
      </c>
      <c r="B670">
        <v>-1</v>
      </c>
      <c r="C670">
        <v>2050</v>
      </c>
      <c r="D670" s="34" t="s">
        <v>314</v>
      </c>
      <c r="E670" s="34" t="s">
        <v>397</v>
      </c>
      <c r="F670" s="34" t="s">
        <v>316</v>
      </c>
      <c r="G670" s="34" t="s">
        <v>261</v>
      </c>
      <c r="H670" s="34" t="s">
        <v>237</v>
      </c>
      <c r="I670" s="34" t="s">
        <v>19</v>
      </c>
      <c r="J670" s="34" t="s">
        <v>27</v>
      </c>
      <c r="K670" s="34" t="s">
        <v>48</v>
      </c>
      <c r="L670" s="34" t="s">
        <v>47</v>
      </c>
      <c r="M670">
        <v>-0.21</v>
      </c>
    </row>
    <row r="671" spans="1:13" x14ac:dyDescent="0.3">
      <c r="A671" s="34" t="s">
        <v>662</v>
      </c>
      <c r="B671">
        <v>-1</v>
      </c>
      <c r="C671">
        <v>2050</v>
      </c>
      <c r="D671" s="34" t="s">
        <v>314</v>
      </c>
      <c r="E671" s="34" t="s">
        <v>397</v>
      </c>
      <c r="F671" s="34" t="s">
        <v>316</v>
      </c>
      <c r="G671" s="34" t="s">
        <v>320</v>
      </c>
      <c r="H671" s="34" t="s">
        <v>40</v>
      </c>
      <c r="I671" s="34" t="s">
        <v>19</v>
      </c>
      <c r="J671" s="34" t="s">
        <v>27</v>
      </c>
      <c r="K671" s="34" t="s">
        <v>46</v>
      </c>
      <c r="L671" s="34" t="s">
        <v>47</v>
      </c>
      <c r="M671">
        <v>0.54</v>
      </c>
    </row>
    <row r="672" spans="1:13" x14ac:dyDescent="0.3">
      <c r="A672" s="34" t="s">
        <v>662</v>
      </c>
      <c r="B672">
        <v>-1</v>
      </c>
      <c r="C672">
        <v>2050</v>
      </c>
      <c r="D672" s="34" t="s">
        <v>314</v>
      </c>
      <c r="E672" s="34" t="s">
        <v>397</v>
      </c>
      <c r="F672" s="34" t="s">
        <v>316</v>
      </c>
      <c r="G672" s="34" t="s">
        <v>320</v>
      </c>
      <c r="H672" s="34" t="s">
        <v>40</v>
      </c>
      <c r="I672" s="34" t="s">
        <v>19</v>
      </c>
      <c r="J672" s="34" t="s">
        <v>27</v>
      </c>
      <c r="K672" s="34" t="s">
        <v>48</v>
      </c>
      <c r="L672" s="34" t="s">
        <v>47</v>
      </c>
      <c r="M672">
        <v>-0.54</v>
      </c>
    </row>
    <row r="673" spans="1:13" x14ac:dyDescent="0.3">
      <c r="A673" s="34" t="s">
        <v>662</v>
      </c>
      <c r="B673">
        <v>-1</v>
      </c>
      <c r="C673">
        <v>2050</v>
      </c>
      <c r="D673" s="34" t="s">
        <v>314</v>
      </c>
      <c r="E673" s="34" t="s">
        <v>397</v>
      </c>
      <c r="F673" s="34" t="s">
        <v>316</v>
      </c>
      <c r="G673" s="34" t="s">
        <v>293</v>
      </c>
      <c r="H673" s="34" t="s">
        <v>40</v>
      </c>
      <c r="I673" s="34" t="s">
        <v>19</v>
      </c>
      <c r="J673" s="34" t="s">
        <v>27</v>
      </c>
      <c r="K673" s="34" t="s">
        <v>46</v>
      </c>
      <c r="L673" s="34" t="s">
        <v>47</v>
      </c>
      <c r="M673">
        <v>0.74150000000000005</v>
      </c>
    </row>
    <row r="674" spans="1:13" x14ac:dyDescent="0.3">
      <c r="A674" s="34" t="s">
        <v>662</v>
      </c>
      <c r="B674">
        <v>-1</v>
      </c>
      <c r="C674">
        <v>2050</v>
      </c>
      <c r="D674" s="34" t="s">
        <v>314</v>
      </c>
      <c r="E674" s="34" t="s">
        <v>397</v>
      </c>
      <c r="F674" s="34" t="s">
        <v>316</v>
      </c>
      <c r="G674" s="34" t="s">
        <v>293</v>
      </c>
      <c r="H674" s="34" t="s">
        <v>40</v>
      </c>
      <c r="I674" s="34" t="s">
        <v>19</v>
      </c>
      <c r="J674" s="34" t="s">
        <v>27</v>
      </c>
      <c r="K674" s="34" t="s">
        <v>48</v>
      </c>
      <c r="L674" s="34" t="s">
        <v>47</v>
      </c>
      <c r="M674">
        <v>-0.74150000000000005</v>
      </c>
    </row>
    <row r="675" spans="1:13" x14ac:dyDescent="0.3">
      <c r="A675" s="34" t="s">
        <v>662</v>
      </c>
      <c r="B675">
        <v>-1</v>
      </c>
      <c r="C675">
        <v>2050</v>
      </c>
      <c r="D675" s="34" t="s">
        <v>314</v>
      </c>
      <c r="E675" s="34" t="s">
        <v>397</v>
      </c>
      <c r="F675" s="34" t="s">
        <v>316</v>
      </c>
      <c r="G675" s="34" t="s">
        <v>321</v>
      </c>
      <c r="H675" s="34" t="s">
        <v>40</v>
      </c>
      <c r="I675" s="34" t="s">
        <v>19</v>
      </c>
      <c r="J675" s="34" t="s">
        <v>27</v>
      </c>
      <c r="K675" s="34" t="s">
        <v>46</v>
      </c>
      <c r="L675" s="34" t="s">
        <v>47</v>
      </c>
      <c r="M675">
        <v>4.2299999999999997E-2</v>
      </c>
    </row>
    <row r="676" spans="1:13" x14ac:dyDescent="0.3">
      <c r="A676" s="34" t="s">
        <v>662</v>
      </c>
      <c r="B676">
        <v>-1</v>
      </c>
      <c r="C676">
        <v>2050</v>
      </c>
      <c r="D676" s="34" t="s">
        <v>314</v>
      </c>
      <c r="E676" s="34" t="s">
        <v>397</v>
      </c>
      <c r="F676" s="34" t="s">
        <v>316</v>
      </c>
      <c r="G676" s="34" t="s">
        <v>321</v>
      </c>
      <c r="H676" s="34" t="s">
        <v>40</v>
      </c>
      <c r="I676" s="34" t="s">
        <v>19</v>
      </c>
      <c r="J676" s="34" t="s">
        <v>27</v>
      </c>
      <c r="K676" s="34" t="s">
        <v>48</v>
      </c>
      <c r="L676" s="34" t="s">
        <v>47</v>
      </c>
      <c r="M676">
        <v>-4.2299999999999997E-2</v>
      </c>
    </row>
    <row r="677" spans="1:13" x14ac:dyDescent="0.3">
      <c r="A677" s="34" t="s">
        <v>662</v>
      </c>
      <c r="B677">
        <v>-1</v>
      </c>
      <c r="C677">
        <v>2050</v>
      </c>
      <c r="D677" s="34" t="s">
        <v>314</v>
      </c>
      <c r="E677" s="34" t="s">
        <v>397</v>
      </c>
      <c r="F677" s="34" t="s">
        <v>316</v>
      </c>
      <c r="G677" s="34" t="s">
        <v>28</v>
      </c>
      <c r="H677" s="34" t="s">
        <v>23</v>
      </c>
      <c r="I677" s="34" t="s">
        <v>19</v>
      </c>
      <c r="J677" s="34" t="s">
        <v>24</v>
      </c>
      <c r="K677" s="34" t="s">
        <v>46</v>
      </c>
      <c r="L677" s="34" t="s">
        <v>47</v>
      </c>
      <c r="M677">
        <v>15.35173463067</v>
      </c>
    </row>
    <row r="678" spans="1:13" x14ac:dyDescent="0.3">
      <c r="A678" s="34" t="s">
        <v>662</v>
      </c>
      <c r="B678">
        <v>-1</v>
      </c>
      <c r="C678">
        <v>2050</v>
      </c>
      <c r="D678" s="34" t="s">
        <v>314</v>
      </c>
      <c r="E678" s="34" t="s">
        <v>397</v>
      </c>
      <c r="F678" s="34" t="s">
        <v>316</v>
      </c>
      <c r="G678" s="34" t="s">
        <v>28</v>
      </c>
      <c r="H678" s="34" t="s">
        <v>23</v>
      </c>
      <c r="I678" s="34" t="s">
        <v>19</v>
      </c>
      <c r="J678" s="34" t="s">
        <v>24</v>
      </c>
      <c r="K678" s="34" t="s">
        <v>48</v>
      </c>
      <c r="L678" s="34" t="s">
        <v>47</v>
      </c>
      <c r="M678">
        <v>-15.35173463067</v>
      </c>
    </row>
    <row r="679" spans="1:13" x14ac:dyDescent="0.3">
      <c r="A679" s="34" t="s">
        <v>662</v>
      </c>
      <c r="B679">
        <v>-1</v>
      </c>
      <c r="C679">
        <v>2050</v>
      </c>
      <c r="D679" s="34" t="s">
        <v>314</v>
      </c>
      <c r="E679" s="34" t="s">
        <v>397</v>
      </c>
      <c r="F679" s="34" t="s">
        <v>316</v>
      </c>
      <c r="G679" s="34" t="s">
        <v>180</v>
      </c>
      <c r="H679" s="34" t="s">
        <v>18</v>
      </c>
      <c r="I679" s="34" t="s">
        <v>19</v>
      </c>
      <c r="J679" s="34" t="s">
        <v>181</v>
      </c>
      <c r="K679" s="34" t="s">
        <v>46</v>
      </c>
      <c r="L679" s="34" t="s">
        <v>47</v>
      </c>
      <c r="M679">
        <v>1.742</v>
      </c>
    </row>
    <row r="680" spans="1:13" x14ac:dyDescent="0.3">
      <c r="A680" s="34" t="s">
        <v>662</v>
      </c>
      <c r="B680">
        <v>-1</v>
      </c>
      <c r="C680">
        <v>2050</v>
      </c>
      <c r="D680" s="34" t="s">
        <v>314</v>
      </c>
      <c r="E680" s="34" t="s">
        <v>397</v>
      </c>
      <c r="F680" s="34" t="s">
        <v>316</v>
      </c>
      <c r="G680" s="34" t="s">
        <v>322</v>
      </c>
      <c r="H680" s="34" t="s">
        <v>39</v>
      </c>
      <c r="I680" s="34" t="s">
        <v>19</v>
      </c>
      <c r="J680" s="34" t="s">
        <v>27</v>
      </c>
      <c r="K680" s="34" t="s">
        <v>46</v>
      </c>
      <c r="L680" s="34" t="s">
        <v>47</v>
      </c>
      <c r="M680">
        <v>8.3640000000000008</v>
      </c>
    </row>
    <row r="681" spans="1:13" x14ac:dyDescent="0.3">
      <c r="A681" s="34" t="s">
        <v>662</v>
      </c>
      <c r="B681">
        <v>-1</v>
      </c>
      <c r="C681">
        <v>2050</v>
      </c>
      <c r="D681" s="34" t="s">
        <v>314</v>
      </c>
      <c r="E681" s="34" t="s">
        <v>397</v>
      </c>
      <c r="F681" s="34" t="s">
        <v>316</v>
      </c>
      <c r="G681" s="34" t="s">
        <v>322</v>
      </c>
      <c r="H681" s="34" t="s">
        <v>39</v>
      </c>
      <c r="I681" s="34" t="s">
        <v>19</v>
      </c>
      <c r="J681" s="34" t="s">
        <v>27</v>
      </c>
      <c r="K681" s="34" t="s">
        <v>48</v>
      </c>
      <c r="L681" s="34" t="s">
        <v>47</v>
      </c>
      <c r="M681">
        <v>-8.3640000000000008</v>
      </c>
    </row>
    <row r="682" spans="1:13" x14ac:dyDescent="0.3">
      <c r="A682" s="34" t="s">
        <v>662</v>
      </c>
      <c r="B682">
        <v>-1</v>
      </c>
      <c r="C682">
        <v>2050</v>
      </c>
      <c r="D682" s="34" t="s">
        <v>314</v>
      </c>
      <c r="E682" s="34" t="s">
        <v>397</v>
      </c>
      <c r="F682" s="34" t="s">
        <v>316</v>
      </c>
      <c r="G682" s="34" t="s">
        <v>285</v>
      </c>
      <c r="H682" s="34" t="s">
        <v>39</v>
      </c>
      <c r="I682" s="34" t="s">
        <v>19</v>
      </c>
      <c r="J682" s="34" t="s">
        <v>27</v>
      </c>
      <c r="K682" s="34" t="s">
        <v>46</v>
      </c>
      <c r="L682" s="34" t="s">
        <v>47</v>
      </c>
      <c r="M682">
        <v>6.1109999999999998</v>
      </c>
    </row>
    <row r="683" spans="1:13" x14ac:dyDescent="0.3">
      <c r="A683" s="34" t="s">
        <v>662</v>
      </c>
      <c r="B683">
        <v>-1</v>
      </c>
      <c r="C683">
        <v>2050</v>
      </c>
      <c r="D683" s="34" t="s">
        <v>314</v>
      </c>
      <c r="E683" s="34" t="s">
        <v>397</v>
      </c>
      <c r="F683" s="34" t="s">
        <v>316</v>
      </c>
      <c r="G683" s="34" t="s">
        <v>285</v>
      </c>
      <c r="H683" s="34" t="s">
        <v>39</v>
      </c>
      <c r="I683" s="34" t="s">
        <v>19</v>
      </c>
      <c r="J683" s="34" t="s">
        <v>27</v>
      </c>
      <c r="K683" s="34" t="s">
        <v>48</v>
      </c>
      <c r="L683" s="34" t="s">
        <v>47</v>
      </c>
      <c r="M683">
        <v>-6.1109999999999998</v>
      </c>
    </row>
    <row r="684" spans="1:13" x14ac:dyDescent="0.3">
      <c r="A684" s="34" t="s">
        <v>662</v>
      </c>
      <c r="B684">
        <v>-1</v>
      </c>
      <c r="C684">
        <v>2050</v>
      </c>
      <c r="D684" s="34" t="s">
        <v>314</v>
      </c>
      <c r="E684" s="34" t="s">
        <v>397</v>
      </c>
      <c r="F684" s="34" t="s">
        <v>316</v>
      </c>
      <c r="G684" s="34" t="s">
        <v>307</v>
      </c>
      <c r="H684" s="34" t="s">
        <v>26</v>
      </c>
      <c r="I684" s="34" t="s">
        <v>19</v>
      </c>
      <c r="J684" s="34" t="s">
        <v>27</v>
      </c>
      <c r="K684" s="34" t="s">
        <v>46</v>
      </c>
      <c r="L684" s="34" t="s">
        <v>47</v>
      </c>
      <c r="M684">
        <v>1.978</v>
      </c>
    </row>
    <row r="685" spans="1:13" x14ac:dyDescent="0.3">
      <c r="A685" s="34" t="s">
        <v>662</v>
      </c>
      <c r="B685">
        <v>-1</v>
      </c>
      <c r="C685">
        <v>2050</v>
      </c>
      <c r="D685" s="34" t="s">
        <v>314</v>
      </c>
      <c r="E685" s="34" t="s">
        <v>397</v>
      </c>
      <c r="F685" s="34" t="s">
        <v>316</v>
      </c>
      <c r="G685" s="34" t="s">
        <v>307</v>
      </c>
      <c r="H685" s="34" t="s">
        <v>26</v>
      </c>
      <c r="I685" s="34" t="s">
        <v>19</v>
      </c>
      <c r="J685" s="34" t="s">
        <v>27</v>
      </c>
      <c r="K685" s="34" t="s">
        <v>48</v>
      </c>
      <c r="L685" s="34" t="s">
        <v>47</v>
      </c>
      <c r="M685">
        <v>-1.978</v>
      </c>
    </row>
    <row r="686" spans="1:13" x14ac:dyDescent="0.3">
      <c r="A686" s="34" t="s">
        <v>662</v>
      </c>
      <c r="B686">
        <v>-1</v>
      </c>
      <c r="C686">
        <v>2050</v>
      </c>
      <c r="D686" s="34" t="s">
        <v>314</v>
      </c>
      <c r="E686" s="34" t="s">
        <v>397</v>
      </c>
      <c r="F686" s="34" t="s">
        <v>316</v>
      </c>
      <c r="G686" s="34" t="s">
        <v>270</v>
      </c>
      <c r="H686" s="34" t="s">
        <v>26</v>
      </c>
      <c r="I686" s="34" t="s">
        <v>19</v>
      </c>
      <c r="J686" s="34" t="s">
        <v>27</v>
      </c>
      <c r="K686" s="34" t="s">
        <v>46</v>
      </c>
      <c r="L686" s="34" t="s">
        <v>47</v>
      </c>
      <c r="M686">
        <v>0.40052599999999999</v>
      </c>
    </row>
    <row r="687" spans="1:13" x14ac:dyDescent="0.3">
      <c r="A687" s="34" t="s">
        <v>662</v>
      </c>
      <c r="B687">
        <v>-1</v>
      </c>
      <c r="C687">
        <v>2050</v>
      </c>
      <c r="D687" s="34" t="s">
        <v>314</v>
      </c>
      <c r="E687" s="34" t="s">
        <v>397</v>
      </c>
      <c r="F687" s="34" t="s">
        <v>316</v>
      </c>
      <c r="G687" s="34" t="s">
        <v>270</v>
      </c>
      <c r="H687" s="34" t="s">
        <v>26</v>
      </c>
      <c r="I687" s="34" t="s">
        <v>19</v>
      </c>
      <c r="J687" s="34" t="s">
        <v>27</v>
      </c>
      <c r="K687" s="34" t="s">
        <v>48</v>
      </c>
      <c r="L687" s="34" t="s">
        <v>47</v>
      </c>
      <c r="M687">
        <v>-3.6999999999999998E-2</v>
      </c>
    </row>
    <row r="688" spans="1:13" x14ac:dyDescent="0.3">
      <c r="A688" s="34" t="s">
        <v>662</v>
      </c>
      <c r="B688">
        <v>-1</v>
      </c>
      <c r="C688">
        <v>2050</v>
      </c>
      <c r="D688" s="34" t="s">
        <v>314</v>
      </c>
      <c r="E688" s="34" t="s">
        <v>397</v>
      </c>
      <c r="F688" s="34" t="s">
        <v>316</v>
      </c>
      <c r="G688" s="34" t="s">
        <v>253</v>
      </c>
      <c r="H688" s="34" t="s">
        <v>254</v>
      </c>
      <c r="I688" s="34" t="s">
        <v>19</v>
      </c>
      <c r="J688" s="34" t="s">
        <v>27</v>
      </c>
      <c r="K688" s="34" t="s">
        <v>46</v>
      </c>
      <c r="L688" s="34" t="s">
        <v>47</v>
      </c>
      <c r="M688">
        <v>12.561</v>
      </c>
    </row>
    <row r="689" spans="1:13" x14ac:dyDescent="0.3">
      <c r="A689" s="34" t="s">
        <v>662</v>
      </c>
      <c r="B689">
        <v>-1</v>
      </c>
      <c r="C689">
        <v>2050</v>
      </c>
      <c r="D689" s="34" t="s">
        <v>314</v>
      </c>
      <c r="E689" s="34" t="s">
        <v>397</v>
      </c>
      <c r="F689" s="34" t="s">
        <v>316</v>
      </c>
      <c r="G689" s="34" t="s">
        <v>253</v>
      </c>
      <c r="H689" s="34" t="s">
        <v>254</v>
      </c>
      <c r="I689" s="34" t="s">
        <v>19</v>
      </c>
      <c r="J689" s="34" t="s">
        <v>27</v>
      </c>
      <c r="K689" s="34" t="s">
        <v>48</v>
      </c>
      <c r="L689" s="34" t="s">
        <v>47</v>
      </c>
      <c r="M689">
        <v>-9.3610000000000007</v>
      </c>
    </row>
    <row r="690" spans="1:13" x14ac:dyDescent="0.3">
      <c r="A690" s="34" t="s">
        <v>662</v>
      </c>
      <c r="B690">
        <v>-1</v>
      </c>
      <c r="C690">
        <v>2050</v>
      </c>
      <c r="D690" s="34" t="s">
        <v>314</v>
      </c>
      <c r="E690" s="34" t="s">
        <v>397</v>
      </c>
      <c r="F690" s="34" t="s">
        <v>316</v>
      </c>
      <c r="G690" s="34" t="s">
        <v>323</v>
      </c>
      <c r="H690" s="34" t="s">
        <v>324</v>
      </c>
      <c r="I690" s="34" t="s">
        <v>19</v>
      </c>
      <c r="J690" s="34" t="s">
        <v>27</v>
      </c>
      <c r="K690" s="34" t="s">
        <v>46</v>
      </c>
      <c r="L690" s="34" t="s">
        <v>47</v>
      </c>
      <c r="M690">
        <v>3.7999999999999999E-2</v>
      </c>
    </row>
    <row r="691" spans="1:13" x14ac:dyDescent="0.3">
      <c r="A691" s="34" t="s">
        <v>662</v>
      </c>
      <c r="B691">
        <v>-1</v>
      </c>
      <c r="C691">
        <v>2050</v>
      </c>
      <c r="D691" s="34" t="s">
        <v>314</v>
      </c>
      <c r="E691" s="34" t="s">
        <v>397</v>
      </c>
      <c r="F691" s="34" t="s">
        <v>316</v>
      </c>
      <c r="G691" s="34" t="s">
        <v>323</v>
      </c>
      <c r="H691" s="34" t="s">
        <v>324</v>
      </c>
      <c r="I691" s="34" t="s">
        <v>19</v>
      </c>
      <c r="J691" s="34" t="s">
        <v>27</v>
      </c>
      <c r="K691" s="34" t="s">
        <v>48</v>
      </c>
      <c r="L691" s="34" t="s">
        <v>47</v>
      </c>
      <c r="M691">
        <v>-3.7999999999999999E-2</v>
      </c>
    </row>
    <row r="692" spans="1:13" x14ac:dyDescent="0.3">
      <c r="A692" s="34" t="s">
        <v>662</v>
      </c>
      <c r="B692">
        <v>-1</v>
      </c>
      <c r="C692">
        <v>2050</v>
      </c>
      <c r="D692" s="34" t="s">
        <v>314</v>
      </c>
      <c r="E692" s="34" t="s">
        <v>397</v>
      </c>
      <c r="F692" s="34" t="s">
        <v>316</v>
      </c>
      <c r="G692" s="34" t="s">
        <v>325</v>
      </c>
      <c r="H692" s="34" t="s">
        <v>234</v>
      </c>
      <c r="I692" s="34" t="s">
        <v>19</v>
      </c>
      <c r="J692" s="34" t="s">
        <v>27</v>
      </c>
      <c r="K692" s="34" t="s">
        <v>46</v>
      </c>
      <c r="L692" s="34" t="s">
        <v>47</v>
      </c>
      <c r="M692">
        <v>2.0623</v>
      </c>
    </row>
    <row r="693" spans="1:13" x14ac:dyDescent="0.3">
      <c r="A693" s="34" t="s">
        <v>662</v>
      </c>
      <c r="B693">
        <v>-1</v>
      </c>
      <c r="C693">
        <v>2050</v>
      </c>
      <c r="D693" s="34" t="s">
        <v>314</v>
      </c>
      <c r="E693" s="34" t="s">
        <v>397</v>
      </c>
      <c r="F693" s="34" t="s">
        <v>316</v>
      </c>
      <c r="G693" s="34" t="s">
        <v>325</v>
      </c>
      <c r="H693" s="34" t="s">
        <v>234</v>
      </c>
      <c r="I693" s="34" t="s">
        <v>19</v>
      </c>
      <c r="J693" s="34" t="s">
        <v>27</v>
      </c>
      <c r="K693" s="34" t="s">
        <v>48</v>
      </c>
      <c r="L693" s="34" t="s">
        <v>47</v>
      </c>
      <c r="M693">
        <v>-2.0623</v>
      </c>
    </row>
    <row r="694" spans="1:13" x14ac:dyDescent="0.3">
      <c r="A694" s="34" t="s">
        <v>662</v>
      </c>
      <c r="B694">
        <v>-1</v>
      </c>
      <c r="C694">
        <v>2050</v>
      </c>
      <c r="D694" s="34" t="s">
        <v>314</v>
      </c>
      <c r="E694" s="34" t="s">
        <v>397</v>
      </c>
      <c r="F694" s="34" t="s">
        <v>316</v>
      </c>
      <c r="G694" s="34" t="s">
        <v>29</v>
      </c>
      <c r="H694" s="34" t="s">
        <v>21</v>
      </c>
      <c r="I694" s="34" t="s">
        <v>19</v>
      </c>
      <c r="J694" s="34" t="s">
        <v>22</v>
      </c>
      <c r="K694" s="34" t="s">
        <v>46</v>
      </c>
      <c r="L694" s="34" t="s">
        <v>47</v>
      </c>
      <c r="M694">
        <v>1.1282624627119999</v>
      </c>
    </row>
    <row r="695" spans="1:13" x14ac:dyDescent="0.3">
      <c r="A695" s="34" t="s">
        <v>662</v>
      </c>
      <c r="B695">
        <v>-1</v>
      </c>
      <c r="C695">
        <v>2050</v>
      </c>
      <c r="D695" s="34" t="s">
        <v>314</v>
      </c>
      <c r="E695" s="34" t="s">
        <v>397</v>
      </c>
      <c r="F695" s="34" t="s">
        <v>316</v>
      </c>
      <c r="G695" s="34" t="s">
        <v>29</v>
      </c>
      <c r="H695" s="34" t="s">
        <v>21</v>
      </c>
      <c r="I695" s="34" t="s">
        <v>19</v>
      </c>
      <c r="J695" s="34" t="s">
        <v>22</v>
      </c>
      <c r="K695" s="34" t="s">
        <v>48</v>
      </c>
      <c r="L695" s="34" t="s">
        <v>47</v>
      </c>
      <c r="M695">
        <v>-1.1282624627119999</v>
      </c>
    </row>
    <row r="696" spans="1:13" x14ac:dyDescent="0.3">
      <c r="A696" s="34" t="s">
        <v>662</v>
      </c>
      <c r="B696">
        <v>-1</v>
      </c>
      <c r="C696">
        <v>2050</v>
      </c>
      <c r="D696" s="34" t="s">
        <v>314</v>
      </c>
      <c r="E696" s="34" t="s">
        <v>397</v>
      </c>
      <c r="F696" s="34" t="s">
        <v>316</v>
      </c>
      <c r="G696" s="34" t="s">
        <v>20</v>
      </c>
      <c r="H696" s="34" t="s">
        <v>21</v>
      </c>
      <c r="I696" s="34" t="s">
        <v>19</v>
      </c>
      <c r="J696" s="34" t="s">
        <v>22</v>
      </c>
      <c r="K696" s="34" t="s">
        <v>46</v>
      </c>
      <c r="L696" s="34" t="s">
        <v>47</v>
      </c>
      <c r="M696">
        <v>8.1211237814080004</v>
      </c>
    </row>
    <row r="697" spans="1:13" x14ac:dyDescent="0.3">
      <c r="A697" s="34" t="s">
        <v>662</v>
      </c>
      <c r="B697">
        <v>-1</v>
      </c>
      <c r="C697">
        <v>2050</v>
      </c>
      <c r="D697" s="34" t="s">
        <v>314</v>
      </c>
      <c r="E697" s="34" t="s">
        <v>397</v>
      </c>
      <c r="F697" s="34" t="s">
        <v>316</v>
      </c>
      <c r="G697" s="34" t="s">
        <v>20</v>
      </c>
      <c r="H697" s="34" t="s">
        <v>21</v>
      </c>
      <c r="I697" s="34" t="s">
        <v>19</v>
      </c>
      <c r="J697" s="34" t="s">
        <v>22</v>
      </c>
      <c r="K697" s="34" t="s">
        <v>48</v>
      </c>
      <c r="L697" s="34" t="s">
        <v>47</v>
      </c>
      <c r="M697">
        <v>-8.1211237814079986</v>
      </c>
    </row>
    <row r="698" spans="1:13" x14ac:dyDescent="0.3">
      <c r="A698" s="34" t="s">
        <v>662</v>
      </c>
      <c r="B698">
        <v>-1</v>
      </c>
      <c r="C698">
        <v>2050</v>
      </c>
      <c r="D698" s="34" t="s">
        <v>314</v>
      </c>
      <c r="E698" s="34" t="s">
        <v>397</v>
      </c>
      <c r="F698" s="34" t="s">
        <v>316</v>
      </c>
      <c r="G698" s="34" t="s">
        <v>30</v>
      </c>
      <c r="H698" s="34" t="s">
        <v>21</v>
      </c>
      <c r="I698" s="34" t="s">
        <v>19</v>
      </c>
      <c r="J698" s="34" t="s">
        <v>22</v>
      </c>
      <c r="K698" s="34" t="s">
        <v>46</v>
      </c>
      <c r="L698" s="34" t="s">
        <v>47</v>
      </c>
      <c r="M698">
        <v>5.5378019958799998</v>
      </c>
    </row>
    <row r="699" spans="1:13" x14ac:dyDescent="0.3">
      <c r="A699" s="34" t="s">
        <v>662</v>
      </c>
      <c r="B699">
        <v>-1</v>
      </c>
      <c r="C699">
        <v>2050</v>
      </c>
      <c r="D699" s="34" t="s">
        <v>314</v>
      </c>
      <c r="E699" s="34" t="s">
        <v>397</v>
      </c>
      <c r="F699" s="34" t="s">
        <v>316</v>
      </c>
      <c r="G699" s="34" t="s">
        <v>30</v>
      </c>
      <c r="H699" s="34" t="s">
        <v>21</v>
      </c>
      <c r="I699" s="34" t="s">
        <v>19</v>
      </c>
      <c r="J699" s="34" t="s">
        <v>22</v>
      </c>
      <c r="K699" s="34" t="s">
        <v>48</v>
      </c>
      <c r="L699" s="34" t="s">
        <v>47</v>
      </c>
      <c r="M699">
        <v>-5.5378019958800007</v>
      </c>
    </row>
    <row r="700" spans="1:13" x14ac:dyDescent="0.3">
      <c r="A700" s="34" t="s">
        <v>662</v>
      </c>
      <c r="B700">
        <v>-1</v>
      </c>
      <c r="C700">
        <v>2050</v>
      </c>
      <c r="D700" s="34" t="s">
        <v>314</v>
      </c>
      <c r="E700" s="34" t="s">
        <v>397</v>
      </c>
      <c r="F700" s="34" t="s">
        <v>316</v>
      </c>
      <c r="G700" s="34" t="s">
        <v>16</v>
      </c>
      <c r="H700" s="34" t="s">
        <v>12</v>
      </c>
      <c r="I700" s="34" t="s">
        <v>13</v>
      </c>
      <c r="J700" s="34" t="s">
        <v>14</v>
      </c>
      <c r="K700" s="34" t="s">
        <v>49</v>
      </c>
      <c r="L700" s="34" t="s">
        <v>47</v>
      </c>
      <c r="M700">
        <v>30.946789561785273</v>
      </c>
    </row>
    <row r="701" spans="1:13" x14ac:dyDescent="0.3">
      <c r="A701" s="34" t="s">
        <v>662</v>
      </c>
      <c r="B701">
        <v>-1</v>
      </c>
      <c r="C701">
        <v>2050</v>
      </c>
      <c r="D701" s="34" t="s">
        <v>314</v>
      </c>
      <c r="E701" s="34" t="s">
        <v>397</v>
      </c>
      <c r="F701" s="34" t="s">
        <v>316</v>
      </c>
      <c r="G701" s="34" t="s">
        <v>393</v>
      </c>
      <c r="H701" s="34" t="s">
        <v>13</v>
      </c>
      <c r="I701" s="34" t="s">
        <v>19</v>
      </c>
      <c r="J701" s="34" t="s">
        <v>391</v>
      </c>
      <c r="K701" s="34" t="s">
        <v>49</v>
      </c>
      <c r="L701" s="34" t="s">
        <v>47</v>
      </c>
      <c r="M701">
        <v>2.4005833795148606</v>
      </c>
    </row>
    <row r="702" spans="1:13" x14ac:dyDescent="0.3">
      <c r="A702" s="34" t="s">
        <v>662</v>
      </c>
      <c r="B702">
        <v>-1</v>
      </c>
      <c r="C702">
        <v>2050</v>
      </c>
      <c r="D702" s="34" t="s">
        <v>314</v>
      </c>
      <c r="E702" s="34" t="s">
        <v>397</v>
      </c>
      <c r="F702" s="34" t="s">
        <v>316</v>
      </c>
      <c r="G702" s="34" t="s">
        <v>392</v>
      </c>
      <c r="H702" s="34" t="s">
        <v>13</v>
      </c>
      <c r="I702" s="34" t="s">
        <v>13</v>
      </c>
      <c r="J702" s="34" t="s">
        <v>17</v>
      </c>
      <c r="K702" s="34" t="s">
        <v>49</v>
      </c>
      <c r="L702" s="34" t="s">
        <v>47</v>
      </c>
      <c r="M702">
        <v>66.397232435741955</v>
      </c>
    </row>
    <row r="703" spans="1:13" x14ac:dyDescent="0.3">
      <c r="A703" s="34" t="s">
        <v>662</v>
      </c>
      <c r="B703">
        <v>-1</v>
      </c>
      <c r="C703">
        <v>2050</v>
      </c>
      <c r="D703" s="34" t="s">
        <v>314</v>
      </c>
      <c r="E703" s="34" t="s">
        <v>397</v>
      </c>
      <c r="F703" s="34" t="s">
        <v>316</v>
      </c>
      <c r="G703" s="34" t="s">
        <v>41</v>
      </c>
      <c r="H703" s="34" t="s">
        <v>40</v>
      </c>
      <c r="I703" s="34" t="s">
        <v>13</v>
      </c>
      <c r="J703" s="34" t="s">
        <v>42</v>
      </c>
      <c r="K703" s="34" t="s">
        <v>46</v>
      </c>
      <c r="L703" s="34" t="s">
        <v>47</v>
      </c>
      <c r="M703">
        <v>3.1149191591514356</v>
      </c>
    </row>
    <row r="704" spans="1:13" x14ac:dyDescent="0.3">
      <c r="A704" s="34" t="s">
        <v>662</v>
      </c>
      <c r="B704">
        <v>-1</v>
      </c>
      <c r="C704">
        <v>2050</v>
      </c>
      <c r="D704" s="34" t="s">
        <v>314</v>
      </c>
      <c r="E704" s="34" t="s">
        <v>397</v>
      </c>
      <c r="F704" s="34" t="s">
        <v>316</v>
      </c>
      <c r="G704" s="34" t="s">
        <v>41</v>
      </c>
      <c r="H704" s="34" t="s">
        <v>40</v>
      </c>
      <c r="I704" s="34" t="s">
        <v>13</v>
      </c>
      <c r="J704" s="34" t="s">
        <v>42</v>
      </c>
      <c r="K704" s="34" t="s">
        <v>49</v>
      </c>
      <c r="L704" s="34" t="s">
        <v>47</v>
      </c>
      <c r="M704">
        <v>-6.3664629124104976E-16</v>
      </c>
    </row>
    <row r="705" spans="1:13" x14ac:dyDescent="0.3">
      <c r="A705" s="34" t="s">
        <v>662</v>
      </c>
      <c r="B705">
        <v>-1</v>
      </c>
      <c r="C705">
        <v>2050</v>
      </c>
      <c r="D705" s="34" t="s">
        <v>314</v>
      </c>
      <c r="E705" s="34" t="s">
        <v>397</v>
      </c>
      <c r="F705" s="34" t="s">
        <v>316</v>
      </c>
      <c r="G705" s="34" t="s">
        <v>41</v>
      </c>
      <c r="H705" s="34" t="s">
        <v>40</v>
      </c>
      <c r="I705" s="34" t="s">
        <v>13</v>
      </c>
      <c r="J705" s="34" t="s">
        <v>42</v>
      </c>
      <c r="K705" s="34" t="s">
        <v>48</v>
      </c>
      <c r="L705" s="34" t="s">
        <v>47</v>
      </c>
      <c r="M705">
        <v>-3.1149191591514351</v>
      </c>
    </row>
    <row r="706" spans="1:13" x14ac:dyDescent="0.3">
      <c r="A706" s="34" t="s">
        <v>662</v>
      </c>
      <c r="B706">
        <v>-1</v>
      </c>
      <c r="C706">
        <v>2050</v>
      </c>
      <c r="D706" s="34" t="s">
        <v>314</v>
      </c>
      <c r="E706" s="34" t="s">
        <v>397</v>
      </c>
      <c r="F706" s="34" t="s">
        <v>326</v>
      </c>
      <c r="G706" s="34" t="s">
        <v>222</v>
      </c>
      <c r="H706" s="34" t="s">
        <v>21</v>
      </c>
      <c r="I706" s="34" t="s">
        <v>19</v>
      </c>
      <c r="J706" s="34" t="s">
        <v>223</v>
      </c>
      <c r="K706" s="34" t="s">
        <v>46</v>
      </c>
      <c r="L706" s="34" t="s">
        <v>47</v>
      </c>
      <c r="M706">
        <v>6.9996999999999998</v>
      </c>
    </row>
    <row r="707" spans="1:13" x14ac:dyDescent="0.3">
      <c r="A707" s="34" t="s">
        <v>662</v>
      </c>
      <c r="B707">
        <v>-1</v>
      </c>
      <c r="C707">
        <v>2050</v>
      </c>
      <c r="D707" s="34" t="s">
        <v>314</v>
      </c>
      <c r="E707" s="34" t="s">
        <v>397</v>
      </c>
      <c r="F707" s="34" t="s">
        <v>326</v>
      </c>
      <c r="G707" s="34" t="s">
        <v>222</v>
      </c>
      <c r="H707" s="34" t="s">
        <v>21</v>
      </c>
      <c r="I707" s="34" t="s">
        <v>19</v>
      </c>
      <c r="J707" s="34" t="s">
        <v>223</v>
      </c>
      <c r="K707" s="34" t="s">
        <v>48</v>
      </c>
      <c r="L707" s="34" t="s">
        <v>47</v>
      </c>
      <c r="M707">
        <v>-6.9996999999999998</v>
      </c>
    </row>
    <row r="708" spans="1:13" x14ac:dyDescent="0.3">
      <c r="A708" s="34" t="s">
        <v>662</v>
      </c>
      <c r="B708">
        <v>-1</v>
      </c>
      <c r="C708">
        <v>2050</v>
      </c>
      <c r="D708" s="34" t="s">
        <v>314</v>
      </c>
      <c r="E708" s="34" t="s">
        <v>397</v>
      </c>
      <c r="F708" s="34" t="s">
        <v>327</v>
      </c>
      <c r="G708" s="34" t="s">
        <v>308</v>
      </c>
      <c r="H708" s="34" t="s">
        <v>40</v>
      </c>
      <c r="I708" s="34" t="s">
        <v>203</v>
      </c>
      <c r="J708" s="34" t="s">
        <v>204</v>
      </c>
      <c r="K708" s="34" t="s">
        <v>46</v>
      </c>
      <c r="L708" s="34" t="s">
        <v>47</v>
      </c>
      <c r="M708">
        <v>1.8174358974358975</v>
      </c>
    </row>
    <row r="709" spans="1:13" x14ac:dyDescent="0.3">
      <c r="A709" s="34" t="s">
        <v>662</v>
      </c>
      <c r="B709">
        <v>-1</v>
      </c>
      <c r="C709">
        <v>2050</v>
      </c>
      <c r="D709" s="34" t="s">
        <v>314</v>
      </c>
      <c r="E709" s="34" t="s">
        <v>397</v>
      </c>
      <c r="F709" s="34" t="s">
        <v>327</v>
      </c>
      <c r="G709" s="34" t="s">
        <v>308</v>
      </c>
      <c r="H709" s="34" t="s">
        <v>40</v>
      </c>
      <c r="I709" s="34" t="s">
        <v>203</v>
      </c>
      <c r="J709" s="34" t="s">
        <v>204</v>
      </c>
      <c r="K709" s="34" t="s">
        <v>48</v>
      </c>
      <c r="L709" s="34" t="s">
        <v>47</v>
      </c>
      <c r="M709">
        <v>-1.8174358974358975</v>
      </c>
    </row>
    <row r="710" spans="1:13" x14ac:dyDescent="0.3">
      <c r="A710" s="34" t="s">
        <v>662</v>
      </c>
      <c r="B710">
        <v>-1</v>
      </c>
      <c r="C710">
        <v>2050</v>
      </c>
      <c r="D710" s="34" t="s">
        <v>314</v>
      </c>
      <c r="E710" s="34" t="s">
        <v>397</v>
      </c>
      <c r="F710" s="34" t="s">
        <v>327</v>
      </c>
      <c r="G710" s="34" t="s">
        <v>308</v>
      </c>
      <c r="H710" s="34" t="s">
        <v>40</v>
      </c>
      <c r="I710" s="34" t="s">
        <v>19</v>
      </c>
      <c r="J710" s="34" t="s">
        <v>204</v>
      </c>
      <c r="K710" s="34" t="s">
        <v>46</v>
      </c>
      <c r="L710" s="34" t="s">
        <v>47</v>
      </c>
      <c r="M710">
        <v>3.544</v>
      </c>
    </row>
    <row r="711" spans="1:13" x14ac:dyDescent="0.3">
      <c r="A711" s="34" t="s">
        <v>662</v>
      </c>
      <c r="B711">
        <v>-1</v>
      </c>
      <c r="C711">
        <v>2050</v>
      </c>
      <c r="D711" s="34" t="s">
        <v>314</v>
      </c>
      <c r="E711" s="34" t="s">
        <v>397</v>
      </c>
      <c r="F711" s="34" t="s">
        <v>327</v>
      </c>
      <c r="G711" s="34" t="s">
        <v>308</v>
      </c>
      <c r="H711" s="34" t="s">
        <v>40</v>
      </c>
      <c r="I711" s="34" t="s">
        <v>19</v>
      </c>
      <c r="J711" s="34" t="s">
        <v>204</v>
      </c>
      <c r="K711" s="34" t="s">
        <v>48</v>
      </c>
      <c r="L711" s="34" t="s">
        <v>47</v>
      </c>
      <c r="M711">
        <v>-3.544</v>
      </c>
    </row>
    <row r="712" spans="1:13" x14ac:dyDescent="0.3">
      <c r="A712" s="34" t="s">
        <v>662</v>
      </c>
      <c r="B712">
        <v>-1</v>
      </c>
      <c r="C712">
        <v>2050</v>
      </c>
      <c r="D712" s="34" t="s">
        <v>314</v>
      </c>
      <c r="E712" s="34" t="s">
        <v>397</v>
      </c>
      <c r="F712" s="34" t="s">
        <v>605</v>
      </c>
      <c r="G712" s="34" t="s">
        <v>644</v>
      </c>
      <c r="H712" s="34" t="s">
        <v>21</v>
      </c>
      <c r="I712" s="34" t="s">
        <v>19</v>
      </c>
      <c r="J712" s="34" t="s">
        <v>22</v>
      </c>
      <c r="K712" s="34" t="s">
        <v>49</v>
      </c>
      <c r="L712" s="34" t="s">
        <v>47</v>
      </c>
      <c r="M712">
        <v>119.99999999999999</v>
      </c>
    </row>
    <row r="713" spans="1:13" x14ac:dyDescent="0.3">
      <c r="A713" s="34" t="s">
        <v>662</v>
      </c>
      <c r="B713">
        <v>-1</v>
      </c>
      <c r="C713">
        <v>2050</v>
      </c>
      <c r="D713" s="34" t="s">
        <v>314</v>
      </c>
      <c r="E713" s="34" t="s">
        <v>397</v>
      </c>
      <c r="F713" s="34" t="s">
        <v>605</v>
      </c>
      <c r="G713" s="34" t="s">
        <v>645</v>
      </c>
      <c r="H713" s="34" t="s">
        <v>23</v>
      </c>
      <c r="I713" s="34" t="s">
        <v>19</v>
      </c>
      <c r="J713" s="34" t="s">
        <v>24</v>
      </c>
      <c r="K713" s="34" t="s">
        <v>49</v>
      </c>
      <c r="L713" s="34" t="s">
        <v>47</v>
      </c>
      <c r="M713">
        <v>65.890201887711598</v>
      </c>
    </row>
    <row r="714" spans="1:13" x14ac:dyDescent="0.3">
      <c r="A714" s="34" t="s">
        <v>662</v>
      </c>
      <c r="B714">
        <v>-1</v>
      </c>
      <c r="C714">
        <v>2050</v>
      </c>
      <c r="D714" s="34" t="s">
        <v>314</v>
      </c>
      <c r="E714" s="34" t="s">
        <v>398</v>
      </c>
      <c r="F714" s="34" t="s">
        <v>606</v>
      </c>
      <c r="G714" s="34" t="s">
        <v>16</v>
      </c>
      <c r="H714" s="34" t="s">
        <v>12</v>
      </c>
      <c r="I714" s="34" t="s">
        <v>13</v>
      </c>
      <c r="J714" s="34" t="s">
        <v>14</v>
      </c>
      <c r="K714" s="34" t="s">
        <v>49</v>
      </c>
      <c r="L714" s="34" t="s">
        <v>47</v>
      </c>
      <c r="M714">
        <v>7.6133448758366777E-3</v>
      </c>
    </row>
    <row r="715" spans="1:13" x14ac:dyDescent="0.3">
      <c r="A715" s="34" t="s">
        <v>662</v>
      </c>
      <c r="B715">
        <v>-1</v>
      </c>
      <c r="C715">
        <v>2050</v>
      </c>
      <c r="D715" s="34" t="s">
        <v>314</v>
      </c>
      <c r="E715" s="34" t="s">
        <v>398</v>
      </c>
      <c r="F715" s="34" t="s">
        <v>606</v>
      </c>
      <c r="G715" s="34" t="s">
        <v>393</v>
      </c>
      <c r="H715" s="34" t="s">
        <v>13</v>
      </c>
      <c r="I715" s="34" t="s">
        <v>19</v>
      </c>
      <c r="J715" s="34" t="s">
        <v>391</v>
      </c>
      <c r="K715" s="34" t="s">
        <v>49</v>
      </c>
      <c r="L715" s="34" t="s">
        <v>47</v>
      </c>
      <c r="M715">
        <v>3.645225386140874E-2</v>
      </c>
    </row>
    <row r="716" spans="1:13" x14ac:dyDescent="0.3">
      <c r="A716" s="34" t="s">
        <v>662</v>
      </c>
      <c r="B716">
        <v>-1</v>
      </c>
      <c r="C716">
        <v>2050</v>
      </c>
      <c r="D716" s="34" t="s">
        <v>314</v>
      </c>
      <c r="E716" s="34" t="s">
        <v>398</v>
      </c>
      <c r="F716" s="34" t="s">
        <v>606</v>
      </c>
      <c r="G716" s="34" t="s">
        <v>392</v>
      </c>
      <c r="H716" s="34" t="s">
        <v>13</v>
      </c>
      <c r="I716" s="34" t="s">
        <v>13</v>
      </c>
      <c r="J716" s="34" t="s">
        <v>17</v>
      </c>
      <c r="K716" s="34" t="s">
        <v>49</v>
      </c>
      <c r="L716" s="34" t="s">
        <v>47</v>
      </c>
      <c r="M716">
        <v>5.7418178375231249E-2</v>
      </c>
    </row>
    <row r="717" spans="1:13" x14ac:dyDescent="0.3">
      <c r="A717" s="34" t="s">
        <v>662</v>
      </c>
      <c r="B717">
        <v>-1</v>
      </c>
      <c r="C717">
        <v>2050</v>
      </c>
      <c r="D717" s="34" t="s">
        <v>328</v>
      </c>
      <c r="E717" s="34" t="s">
        <v>329</v>
      </c>
      <c r="F717" s="34" t="s">
        <v>488</v>
      </c>
      <c r="G717" s="34" t="s">
        <v>489</v>
      </c>
      <c r="H717" s="34" t="s">
        <v>490</v>
      </c>
      <c r="I717" s="34" t="s">
        <v>19</v>
      </c>
      <c r="J717" s="34" t="s">
        <v>27</v>
      </c>
      <c r="K717" s="34" t="s">
        <v>46</v>
      </c>
      <c r="L717" s="34" t="s">
        <v>47</v>
      </c>
      <c r="M717">
        <v>0.19900000000000001</v>
      </c>
    </row>
    <row r="718" spans="1:13" x14ac:dyDescent="0.3">
      <c r="A718" s="34" t="s">
        <v>662</v>
      </c>
      <c r="B718">
        <v>-1</v>
      </c>
      <c r="C718">
        <v>2050</v>
      </c>
      <c r="D718" s="34" t="s">
        <v>328</v>
      </c>
      <c r="E718" s="34" t="s">
        <v>329</v>
      </c>
      <c r="F718" s="34" t="s">
        <v>488</v>
      </c>
      <c r="G718" s="34" t="s">
        <v>491</v>
      </c>
      <c r="H718" s="34" t="s">
        <v>492</v>
      </c>
      <c r="I718" s="34" t="s">
        <v>19</v>
      </c>
      <c r="J718" s="34" t="s">
        <v>27</v>
      </c>
      <c r="K718" s="34" t="s">
        <v>46</v>
      </c>
      <c r="L718" s="34" t="s">
        <v>47</v>
      </c>
      <c r="M718">
        <v>0.12</v>
      </c>
    </row>
    <row r="719" spans="1:13" x14ac:dyDescent="0.3">
      <c r="A719" s="34" t="s">
        <v>662</v>
      </c>
      <c r="B719">
        <v>-1</v>
      </c>
      <c r="C719">
        <v>2050</v>
      </c>
      <c r="D719" s="34" t="s">
        <v>328</v>
      </c>
      <c r="E719" s="34" t="s">
        <v>329</v>
      </c>
      <c r="F719" s="34" t="s">
        <v>488</v>
      </c>
      <c r="G719" s="34" t="s">
        <v>491</v>
      </c>
      <c r="H719" s="34" t="s">
        <v>492</v>
      </c>
      <c r="I719" s="34" t="s">
        <v>19</v>
      </c>
      <c r="J719" s="34" t="s">
        <v>27</v>
      </c>
      <c r="K719" s="34" t="s">
        <v>48</v>
      </c>
      <c r="L719" s="34" t="s">
        <v>47</v>
      </c>
      <c r="M719">
        <v>-0.12</v>
      </c>
    </row>
    <row r="720" spans="1:13" x14ac:dyDescent="0.3">
      <c r="A720" s="34" t="s">
        <v>662</v>
      </c>
      <c r="B720">
        <v>-1</v>
      </c>
      <c r="C720">
        <v>2050</v>
      </c>
      <c r="D720" s="34" t="s">
        <v>328</v>
      </c>
      <c r="E720" s="34" t="s">
        <v>329</v>
      </c>
      <c r="F720" s="34" t="s">
        <v>493</v>
      </c>
      <c r="G720" s="34" t="s">
        <v>494</v>
      </c>
      <c r="H720" s="34" t="s">
        <v>40</v>
      </c>
      <c r="I720" s="34" t="s">
        <v>203</v>
      </c>
      <c r="J720" s="34" t="s">
        <v>204</v>
      </c>
      <c r="K720" s="34" t="s">
        <v>46</v>
      </c>
      <c r="L720" s="34" t="s">
        <v>47</v>
      </c>
      <c r="M720">
        <v>1.7977528089887642E-2</v>
      </c>
    </row>
    <row r="721" spans="1:13" x14ac:dyDescent="0.3">
      <c r="A721" s="34" t="s">
        <v>662</v>
      </c>
      <c r="B721">
        <v>-1</v>
      </c>
      <c r="C721">
        <v>2050</v>
      </c>
      <c r="D721" s="34" t="s">
        <v>328</v>
      </c>
      <c r="E721" s="34" t="s">
        <v>329</v>
      </c>
      <c r="F721" s="34" t="s">
        <v>493</v>
      </c>
      <c r="G721" s="34" t="s">
        <v>494</v>
      </c>
      <c r="H721" s="34" t="s">
        <v>40</v>
      </c>
      <c r="I721" s="34" t="s">
        <v>203</v>
      </c>
      <c r="J721" s="34" t="s">
        <v>204</v>
      </c>
      <c r="K721" s="34" t="s">
        <v>48</v>
      </c>
      <c r="L721" s="34" t="s">
        <v>47</v>
      </c>
      <c r="M721">
        <v>-1.7977528089887642E-2</v>
      </c>
    </row>
    <row r="722" spans="1:13" x14ac:dyDescent="0.3">
      <c r="A722" s="34" t="s">
        <v>662</v>
      </c>
      <c r="B722">
        <v>-1</v>
      </c>
      <c r="C722">
        <v>2050</v>
      </c>
      <c r="D722" s="34" t="s">
        <v>328</v>
      </c>
      <c r="E722" s="34" t="s">
        <v>329</v>
      </c>
      <c r="F722" s="34" t="s">
        <v>493</v>
      </c>
      <c r="G722" s="34" t="s">
        <v>494</v>
      </c>
      <c r="H722" s="34" t="s">
        <v>40</v>
      </c>
      <c r="I722" s="34" t="s">
        <v>19</v>
      </c>
      <c r="J722" s="34" t="s">
        <v>204</v>
      </c>
      <c r="K722" s="34" t="s">
        <v>46</v>
      </c>
      <c r="L722" s="34" t="s">
        <v>47</v>
      </c>
      <c r="M722">
        <v>1.6E-2</v>
      </c>
    </row>
    <row r="723" spans="1:13" x14ac:dyDescent="0.3">
      <c r="A723" s="34" t="s">
        <v>662</v>
      </c>
      <c r="B723">
        <v>-1</v>
      </c>
      <c r="C723">
        <v>2050</v>
      </c>
      <c r="D723" s="34" t="s">
        <v>328</v>
      </c>
      <c r="E723" s="34" t="s">
        <v>329</v>
      </c>
      <c r="F723" s="34" t="s">
        <v>493</v>
      </c>
      <c r="G723" s="34" t="s">
        <v>494</v>
      </c>
      <c r="H723" s="34" t="s">
        <v>40</v>
      </c>
      <c r="I723" s="34" t="s">
        <v>19</v>
      </c>
      <c r="J723" s="34" t="s">
        <v>204</v>
      </c>
      <c r="K723" s="34" t="s">
        <v>48</v>
      </c>
      <c r="L723" s="34" t="s">
        <v>47</v>
      </c>
      <c r="M723">
        <v>-1.6E-2</v>
      </c>
    </row>
    <row r="724" spans="1:13" x14ac:dyDescent="0.3">
      <c r="A724" s="34" t="s">
        <v>662</v>
      </c>
      <c r="B724">
        <v>-1</v>
      </c>
      <c r="C724">
        <v>2050</v>
      </c>
      <c r="D724" s="34" t="s">
        <v>328</v>
      </c>
      <c r="E724" s="34" t="s">
        <v>329</v>
      </c>
      <c r="F724" s="34" t="s">
        <v>493</v>
      </c>
      <c r="G724" s="34" t="s">
        <v>495</v>
      </c>
      <c r="H724" s="34" t="s">
        <v>496</v>
      </c>
      <c r="I724" s="34" t="s">
        <v>19</v>
      </c>
      <c r="J724" s="34" t="s">
        <v>27</v>
      </c>
      <c r="K724" s="34" t="s">
        <v>46</v>
      </c>
      <c r="L724" s="34" t="s">
        <v>47</v>
      </c>
      <c r="M724">
        <v>7.4999999999999997E-3</v>
      </c>
    </row>
    <row r="725" spans="1:13" x14ac:dyDescent="0.3">
      <c r="A725" s="34" t="s">
        <v>662</v>
      </c>
      <c r="B725">
        <v>-1</v>
      </c>
      <c r="C725">
        <v>2050</v>
      </c>
      <c r="D725" s="34" t="s">
        <v>328</v>
      </c>
      <c r="E725" s="34" t="s">
        <v>329</v>
      </c>
      <c r="F725" s="34" t="s">
        <v>493</v>
      </c>
      <c r="G725" s="34" t="s">
        <v>495</v>
      </c>
      <c r="H725" s="34" t="s">
        <v>496</v>
      </c>
      <c r="I725" s="34" t="s">
        <v>19</v>
      </c>
      <c r="J725" s="34" t="s">
        <v>27</v>
      </c>
      <c r="K725" s="34" t="s">
        <v>48</v>
      </c>
      <c r="L725" s="34" t="s">
        <v>47</v>
      </c>
      <c r="M725">
        <v>-7.4999999999999997E-3</v>
      </c>
    </row>
    <row r="726" spans="1:13" x14ac:dyDescent="0.3">
      <c r="A726" s="34" t="s">
        <v>662</v>
      </c>
      <c r="B726">
        <v>-1</v>
      </c>
      <c r="C726">
        <v>2050</v>
      </c>
      <c r="D726" s="34" t="s">
        <v>328</v>
      </c>
      <c r="E726" s="34" t="s">
        <v>329</v>
      </c>
      <c r="F726" s="34" t="s">
        <v>493</v>
      </c>
      <c r="G726" s="34" t="s">
        <v>497</v>
      </c>
      <c r="H726" s="34" t="s">
        <v>492</v>
      </c>
      <c r="I726" s="34" t="s">
        <v>203</v>
      </c>
      <c r="J726" s="34" t="s">
        <v>204</v>
      </c>
      <c r="K726" s="34" t="s">
        <v>46</v>
      </c>
      <c r="L726" s="34" t="s">
        <v>47</v>
      </c>
      <c r="M726">
        <v>6.3106796116504854E-2</v>
      </c>
    </row>
    <row r="727" spans="1:13" x14ac:dyDescent="0.3">
      <c r="A727" s="34" t="s">
        <v>662</v>
      </c>
      <c r="B727">
        <v>-1</v>
      </c>
      <c r="C727">
        <v>2050</v>
      </c>
      <c r="D727" s="34" t="s">
        <v>328</v>
      </c>
      <c r="E727" s="34" t="s">
        <v>329</v>
      </c>
      <c r="F727" s="34" t="s">
        <v>493</v>
      </c>
      <c r="G727" s="34" t="s">
        <v>497</v>
      </c>
      <c r="H727" s="34" t="s">
        <v>492</v>
      </c>
      <c r="I727" s="34" t="s">
        <v>203</v>
      </c>
      <c r="J727" s="34" t="s">
        <v>204</v>
      </c>
      <c r="K727" s="34" t="s">
        <v>48</v>
      </c>
      <c r="L727" s="34" t="s">
        <v>47</v>
      </c>
      <c r="M727">
        <v>-6.3106796116504854E-2</v>
      </c>
    </row>
    <row r="728" spans="1:13" x14ac:dyDescent="0.3">
      <c r="A728" s="34" t="s">
        <v>662</v>
      </c>
      <c r="B728">
        <v>-1</v>
      </c>
      <c r="C728">
        <v>2050</v>
      </c>
      <c r="D728" s="34" t="s">
        <v>328</v>
      </c>
      <c r="E728" s="34" t="s">
        <v>329</v>
      </c>
      <c r="F728" s="34" t="s">
        <v>493</v>
      </c>
      <c r="G728" s="34" t="s">
        <v>497</v>
      </c>
      <c r="H728" s="34" t="s">
        <v>492</v>
      </c>
      <c r="I728" s="34" t="s">
        <v>19</v>
      </c>
      <c r="J728" s="34" t="s">
        <v>204</v>
      </c>
      <c r="K728" s="34" t="s">
        <v>46</v>
      </c>
      <c r="L728" s="34" t="s">
        <v>47</v>
      </c>
      <c r="M728">
        <v>6.5000000000000002E-2</v>
      </c>
    </row>
    <row r="729" spans="1:13" x14ac:dyDescent="0.3">
      <c r="A729" s="34" t="s">
        <v>662</v>
      </c>
      <c r="B729">
        <v>-1</v>
      </c>
      <c r="C729">
        <v>2050</v>
      </c>
      <c r="D729" s="34" t="s">
        <v>328</v>
      </c>
      <c r="E729" s="34" t="s">
        <v>329</v>
      </c>
      <c r="F729" s="34" t="s">
        <v>493</v>
      </c>
      <c r="G729" s="34" t="s">
        <v>497</v>
      </c>
      <c r="H729" s="34" t="s">
        <v>492</v>
      </c>
      <c r="I729" s="34" t="s">
        <v>19</v>
      </c>
      <c r="J729" s="34" t="s">
        <v>204</v>
      </c>
      <c r="K729" s="34" t="s">
        <v>48</v>
      </c>
      <c r="L729" s="34" t="s">
        <v>47</v>
      </c>
      <c r="M729">
        <v>-6.5000000000000002E-2</v>
      </c>
    </row>
    <row r="730" spans="1:13" x14ac:dyDescent="0.3">
      <c r="A730" s="34" t="s">
        <v>662</v>
      </c>
      <c r="B730">
        <v>-1</v>
      </c>
      <c r="C730">
        <v>2050</v>
      </c>
      <c r="D730" s="34" t="s">
        <v>328</v>
      </c>
      <c r="E730" s="34" t="s">
        <v>329</v>
      </c>
      <c r="F730" s="34" t="s">
        <v>498</v>
      </c>
      <c r="G730" s="34" t="s">
        <v>499</v>
      </c>
      <c r="H730" s="34" t="s">
        <v>496</v>
      </c>
      <c r="I730" s="34" t="s">
        <v>19</v>
      </c>
      <c r="J730" s="34" t="s">
        <v>27</v>
      </c>
      <c r="K730" s="34" t="s">
        <v>46</v>
      </c>
      <c r="L730" s="34" t="s">
        <v>47</v>
      </c>
      <c r="M730">
        <v>0.27400000000000002</v>
      </c>
    </row>
    <row r="731" spans="1:13" x14ac:dyDescent="0.3">
      <c r="A731" s="34" t="s">
        <v>662</v>
      </c>
      <c r="B731">
        <v>-1</v>
      </c>
      <c r="C731">
        <v>2050</v>
      </c>
      <c r="D731" s="34" t="s">
        <v>328</v>
      </c>
      <c r="E731" s="34" t="s">
        <v>329</v>
      </c>
      <c r="F731" s="34" t="s">
        <v>498</v>
      </c>
      <c r="G731" s="34" t="s">
        <v>499</v>
      </c>
      <c r="H731" s="34" t="s">
        <v>496</v>
      </c>
      <c r="I731" s="34" t="s">
        <v>19</v>
      </c>
      <c r="J731" s="34" t="s">
        <v>27</v>
      </c>
      <c r="K731" s="34" t="s">
        <v>48</v>
      </c>
      <c r="L731" s="34" t="s">
        <v>47</v>
      </c>
      <c r="M731">
        <v>-0.27400000000000002</v>
      </c>
    </row>
    <row r="732" spans="1:13" x14ac:dyDescent="0.3">
      <c r="A732" s="34" t="s">
        <v>662</v>
      </c>
      <c r="B732">
        <v>-1</v>
      </c>
      <c r="C732">
        <v>2050</v>
      </c>
      <c r="D732" s="34" t="s">
        <v>328</v>
      </c>
      <c r="E732" s="34" t="s">
        <v>329</v>
      </c>
      <c r="F732" s="34" t="s">
        <v>498</v>
      </c>
      <c r="G732" s="34" t="s">
        <v>500</v>
      </c>
      <c r="H732" s="34" t="s">
        <v>496</v>
      </c>
      <c r="I732" s="34" t="s">
        <v>19</v>
      </c>
      <c r="J732" s="34" t="s">
        <v>27</v>
      </c>
      <c r="K732" s="34" t="s">
        <v>46</v>
      </c>
      <c r="L732" s="34" t="s">
        <v>47</v>
      </c>
      <c r="M732">
        <v>0.16700000000000001</v>
      </c>
    </row>
    <row r="733" spans="1:13" x14ac:dyDescent="0.3">
      <c r="A733" s="34" t="s">
        <v>662</v>
      </c>
      <c r="B733">
        <v>-1</v>
      </c>
      <c r="C733">
        <v>2050</v>
      </c>
      <c r="D733" s="34" t="s">
        <v>328</v>
      </c>
      <c r="E733" s="34" t="s">
        <v>329</v>
      </c>
      <c r="F733" s="34" t="s">
        <v>498</v>
      </c>
      <c r="G733" s="34" t="s">
        <v>500</v>
      </c>
      <c r="H733" s="34" t="s">
        <v>496</v>
      </c>
      <c r="I733" s="34" t="s">
        <v>19</v>
      </c>
      <c r="J733" s="34" t="s">
        <v>27</v>
      </c>
      <c r="K733" s="34" t="s">
        <v>48</v>
      </c>
      <c r="L733" s="34" t="s">
        <v>47</v>
      </c>
      <c r="M733">
        <v>-0.16700000000000001</v>
      </c>
    </row>
    <row r="734" spans="1:13" x14ac:dyDescent="0.3">
      <c r="A734" s="34" t="s">
        <v>662</v>
      </c>
      <c r="B734">
        <v>-1</v>
      </c>
      <c r="C734">
        <v>2050</v>
      </c>
      <c r="D734" s="34" t="s">
        <v>328</v>
      </c>
      <c r="E734" s="34" t="s">
        <v>329</v>
      </c>
      <c r="F734" s="34" t="s">
        <v>498</v>
      </c>
      <c r="G734" s="34" t="s">
        <v>501</v>
      </c>
      <c r="H734" s="34" t="s">
        <v>496</v>
      </c>
      <c r="I734" s="34" t="s">
        <v>203</v>
      </c>
      <c r="J734" s="34" t="s">
        <v>204</v>
      </c>
      <c r="K734" s="34" t="s">
        <v>46</v>
      </c>
      <c r="L734" s="34" t="s">
        <v>47</v>
      </c>
      <c r="M734">
        <v>0.18285714285714286</v>
      </c>
    </row>
    <row r="735" spans="1:13" x14ac:dyDescent="0.3">
      <c r="A735" s="34" t="s">
        <v>662</v>
      </c>
      <c r="B735">
        <v>-1</v>
      </c>
      <c r="C735">
        <v>2050</v>
      </c>
      <c r="D735" s="34" t="s">
        <v>328</v>
      </c>
      <c r="E735" s="34" t="s">
        <v>329</v>
      </c>
      <c r="F735" s="34" t="s">
        <v>498</v>
      </c>
      <c r="G735" s="34" t="s">
        <v>501</v>
      </c>
      <c r="H735" s="34" t="s">
        <v>496</v>
      </c>
      <c r="I735" s="34" t="s">
        <v>203</v>
      </c>
      <c r="J735" s="34" t="s">
        <v>204</v>
      </c>
      <c r="K735" s="34" t="s">
        <v>48</v>
      </c>
      <c r="L735" s="34" t="s">
        <v>47</v>
      </c>
      <c r="M735">
        <v>-0.18285714285714286</v>
      </c>
    </row>
    <row r="736" spans="1:13" x14ac:dyDescent="0.3">
      <c r="A736" s="34" t="s">
        <v>662</v>
      </c>
      <c r="B736">
        <v>-1</v>
      </c>
      <c r="C736">
        <v>2050</v>
      </c>
      <c r="D736" s="34" t="s">
        <v>328</v>
      </c>
      <c r="E736" s="34" t="s">
        <v>329</v>
      </c>
      <c r="F736" s="34" t="s">
        <v>498</v>
      </c>
      <c r="G736" s="34" t="s">
        <v>501</v>
      </c>
      <c r="H736" s="34" t="s">
        <v>496</v>
      </c>
      <c r="I736" s="34" t="s">
        <v>19</v>
      </c>
      <c r="J736" s="34" t="s">
        <v>204</v>
      </c>
      <c r="K736" s="34" t="s">
        <v>46</v>
      </c>
      <c r="L736" s="34" t="s">
        <v>47</v>
      </c>
      <c r="M736">
        <v>0.192</v>
      </c>
    </row>
    <row r="737" spans="1:13" x14ac:dyDescent="0.3">
      <c r="A737" s="34" t="s">
        <v>662</v>
      </c>
      <c r="B737">
        <v>-1</v>
      </c>
      <c r="C737">
        <v>2050</v>
      </c>
      <c r="D737" s="34" t="s">
        <v>328</v>
      </c>
      <c r="E737" s="34" t="s">
        <v>329</v>
      </c>
      <c r="F737" s="34" t="s">
        <v>498</v>
      </c>
      <c r="G737" s="34" t="s">
        <v>501</v>
      </c>
      <c r="H737" s="34" t="s">
        <v>496</v>
      </c>
      <c r="I737" s="34" t="s">
        <v>19</v>
      </c>
      <c r="J737" s="34" t="s">
        <v>204</v>
      </c>
      <c r="K737" s="34" t="s">
        <v>48</v>
      </c>
      <c r="L737" s="34" t="s">
        <v>47</v>
      </c>
      <c r="M737">
        <v>-0.192</v>
      </c>
    </row>
    <row r="738" spans="1:13" x14ac:dyDescent="0.3">
      <c r="A738" s="34" t="s">
        <v>662</v>
      </c>
      <c r="B738">
        <v>-1</v>
      </c>
      <c r="C738">
        <v>2050</v>
      </c>
      <c r="D738" s="34" t="s">
        <v>328</v>
      </c>
      <c r="E738" s="34" t="s">
        <v>329</v>
      </c>
      <c r="F738" s="34" t="s">
        <v>498</v>
      </c>
      <c r="G738" s="34" t="s">
        <v>502</v>
      </c>
      <c r="H738" s="34" t="s">
        <v>496</v>
      </c>
      <c r="I738" s="34" t="s">
        <v>19</v>
      </c>
      <c r="J738" s="34" t="s">
        <v>27</v>
      </c>
      <c r="K738" s="34" t="s">
        <v>46</v>
      </c>
      <c r="L738" s="34" t="s">
        <v>47</v>
      </c>
      <c r="M738">
        <v>0.16</v>
      </c>
    </row>
    <row r="739" spans="1:13" x14ac:dyDescent="0.3">
      <c r="A739" s="34" t="s">
        <v>662</v>
      </c>
      <c r="B739">
        <v>-1</v>
      </c>
      <c r="C739">
        <v>2050</v>
      </c>
      <c r="D739" s="34" t="s">
        <v>328</v>
      </c>
      <c r="E739" s="34" t="s">
        <v>329</v>
      </c>
      <c r="F739" s="34" t="s">
        <v>498</v>
      </c>
      <c r="G739" s="34" t="s">
        <v>502</v>
      </c>
      <c r="H739" s="34" t="s">
        <v>496</v>
      </c>
      <c r="I739" s="34" t="s">
        <v>19</v>
      </c>
      <c r="J739" s="34" t="s">
        <v>27</v>
      </c>
      <c r="K739" s="34" t="s">
        <v>48</v>
      </c>
      <c r="L739" s="34" t="s">
        <v>47</v>
      </c>
      <c r="M739">
        <v>-0.16</v>
      </c>
    </row>
    <row r="740" spans="1:13" x14ac:dyDescent="0.3">
      <c r="A740" s="34" t="s">
        <v>662</v>
      </c>
      <c r="B740">
        <v>-1</v>
      </c>
      <c r="C740">
        <v>2050</v>
      </c>
      <c r="D740" s="34" t="s">
        <v>328</v>
      </c>
      <c r="E740" s="34" t="s">
        <v>329</v>
      </c>
      <c r="F740" s="34" t="s">
        <v>498</v>
      </c>
      <c r="G740" s="34" t="s">
        <v>503</v>
      </c>
      <c r="H740" s="34" t="s">
        <v>496</v>
      </c>
      <c r="I740" s="34" t="s">
        <v>19</v>
      </c>
      <c r="J740" s="34" t="s">
        <v>27</v>
      </c>
      <c r="K740" s="34" t="s">
        <v>46</v>
      </c>
      <c r="L740" s="34" t="s">
        <v>47</v>
      </c>
      <c r="M740">
        <v>0.16700000000000001</v>
      </c>
    </row>
    <row r="741" spans="1:13" x14ac:dyDescent="0.3">
      <c r="A741" s="34" t="s">
        <v>662</v>
      </c>
      <c r="B741">
        <v>-1</v>
      </c>
      <c r="C741">
        <v>2050</v>
      </c>
      <c r="D741" s="34" t="s">
        <v>328</v>
      </c>
      <c r="E741" s="34" t="s">
        <v>329</v>
      </c>
      <c r="F741" s="34" t="s">
        <v>498</v>
      </c>
      <c r="G741" s="34" t="s">
        <v>503</v>
      </c>
      <c r="H741" s="34" t="s">
        <v>496</v>
      </c>
      <c r="I741" s="34" t="s">
        <v>19</v>
      </c>
      <c r="J741" s="34" t="s">
        <v>27</v>
      </c>
      <c r="K741" s="34" t="s">
        <v>48</v>
      </c>
      <c r="L741" s="34" t="s">
        <v>47</v>
      </c>
      <c r="M741">
        <v>-0.16700000000000001</v>
      </c>
    </row>
    <row r="742" spans="1:13" x14ac:dyDescent="0.3">
      <c r="A742" s="34" t="s">
        <v>662</v>
      </c>
      <c r="B742">
        <v>-1</v>
      </c>
      <c r="C742">
        <v>2050</v>
      </c>
      <c r="D742" s="34" t="s">
        <v>328</v>
      </c>
      <c r="E742" s="34" t="s">
        <v>329</v>
      </c>
      <c r="F742" s="34" t="s">
        <v>498</v>
      </c>
      <c r="G742" s="34" t="s">
        <v>504</v>
      </c>
      <c r="H742" s="34" t="s">
        <v>496</v>
      </c>
      <c r="I742" s="34" t="s">
        <v>19</v>
      </c>
      <c r="J742" s="34" t="s">
        <v>27</v>
      </c>
      <c r="K742" s="34" t="s">
        <v>46</v>
      </c>
      <c r="L742" s="34" t="s">
        <v>47</v>
      </c>
      <c r="M742">
        <v>0.16400000000000001</v>
      </c>
    </row>
    <row r="743" spans="1:13" x14ac:dyDescent="0.3">
      <c r="A743" s="34" t="s">
        <v>662</v>
      </c>
      <c r="B743">
        <v>-1</v>
      </c>
      <c r="C743">
        <v>2050</v>
      </c>
      <c r="D743" s="34" t="s">
        <v>328</v>
      </c>
      <c r="E743" s="34" t="s">
        <v>329</v>
      </c>
      <c r="F743" s="34" t="s">
        <v>498</v>
      </c>
      <c r="G743" s="34" t="s">
        <v>504</v>
      </c>
      <c r="H743" s="34" t="s">
        <v>496</v>
      </c>
      <c r="I743" s="34" t="s">
        <v>19</v>
      </c>
      <c r="J743" s="34" t="s">
        <v>27</v>
      </c>
      <c r="K743" s="34" t="s">
        <v>48</v>
      </c>
      <c r="L743" s="34" t="s">
        <v>47</v>
      </c>
      <c r="M743">
        <v>-0.16400000000000001</v>
      </c>
    </row>
    <row r="744" spans="1:13" x14ac:dyDescent="0.3">
      <c r="A744" s="34" t="s">
        <v>662</v>
      </c>
      <c r="B744">
        <v>-1</v>
      </c>
      <c r="C744">
        <v>2050</v>
      </c>
      <c r="D744" s="34" t="s">
        <v>328</v>
      </c>
      <c r="E744" s="34" t="s">
        <v>329</v>
      </c>
      <c r="F744" s="34" t="s">
        <v>498</v>
      </c>
      <c r="G744" s="34" t="s">
        <v>505</v>
      </c>
      <c r="H744" s="34" t="s">
        <v>496</v>
      </c>
      <c r="I744" s="34" t="s">
        <v>19</v>
      </c>
      <c r="J744" s="34" t="s">
        <v>27</v>
      </c>
      <c r="K744" s="34" t="s">
        <v>46</v>
      </c>
      <c r="L744" s="34" t="s">
        <v>47</v>
      </c>
      <c r="M744">
        <v>0.16400000000000001</v>
      </c>
    </row>
    <row r="745" spans="1:13" x14ac:dyDescent="0.3">
      <c r="A745" s="34" t="s">
        <v>662</v>
      </c>
      <c r="B745">
        <v>-1</v>
      </c>
      <c r="C745">
        <v>2050</v>
      </c>
      <c r="D745" s="34" t="s">
        <v>328</v>
      </c>
      <c r="E745" s="34" t="s">
        <v>329</v>
      </c>
      <c r="F745" s="34" t="s">
        <v>498</v>
      </c>
      <c r="G745" s="34" t="s">
        <v>505</v>
      </c>
      <c r="H745" s="34" t="s">
        <v>496</v>
      </c>
      <c r="I745" s="34" t="s">
        <v>19</v>
      </c>
      <c r="J745" s="34" t="s">
        <v>27</v>
      </c>
      <c r="K745" s="34" t="s">
        <v>48</v>
      </c>
      <c r="L745" s="34" t="s">
        <v>47</v>
      </c>
      <c r="M745">
        <v>-0.16400000000000001</v>
      </c>
    </row>
    <row r="746" spans="1:13" x14ac:dyDescent="0.3">
      <c r="A746" s="34" t="s">
        <v>662</v>
      </c>
      <c r="B746">
        <v>-1</v>
      </c>
      <c r="C746">
        <v>2050</v>
      </c>
      <c r="D746" s="34" t="s">
        <v>328</v>
      </c>
      <c r="E746" s="34" t="s">
        <v>329</v>
      </c>
      <c r="F746" s="34" t="s">
        <v>498</v>
      </c>
      <c r="G746" s="34" t="s">
        <v>506</v>
      </c>
      <c r="H746" s="34" t="s">
        <v>496</v>
      </c>
      <c r="I746" s="34" t="s">
        <v>19</v>
      </c>
      <c r="J746" s="34" t="s">
        <v>27</v>
      </c>
      <c r="K746" s="34" t="s">
        <v>46</v>
      </c>
      <c r="L746" s="34" t="s">
        <v>47</v>
      </c>
      <c r="M746">
        <v>0.17300000000000001</v>
      </c>
    </row>
    <row r="747" spans="1:13" x14ac:dyDescent="0.3">
      <c r="A747" s="34" t="s">
        <v>662</v>
      </c>
      <c r="B747">
        <v>-1</v>
      </c>
      <c r="C747">
        <v>2050</v>
      </c>
      <c r="D747" s="34" t="s">
        <v>328</v>
      </c>
      <c r="E747" s="34" t="s">
        <v>329</v>
      </c>
      <c r="F747" s="34" t="s">
        <v>498</v>
      </c>
      <c r="G747" s="34" t="s">
        <v>506</v>
      </c>
      <c r="H747" s="34" t="s">
        <v>496</v>
      </c>
      <c r="I747" s="34" t="s">
        <v>19</v>
      </c>
      <c r="J747" s="34" t="s">
        <v>27</v>
      </c>
      <c r="K747" s="34" t="s">
        <v>48</v>
      </c>
      <c r="L747" s="34" t="s">
        <v>47</v>
      </c>
      <c r="M747">
        <v>-0.17300000000000001</v>
      </c>
    </row>
    <row r="748" spans="1:13" x14ac:dyDescent="0.3">
      <c r="A748" s="34" t="s">
        <v>662</v>
      </c>
      <c r="B748">
        <v>-1</v>
      </c>
      <c r="C748">
        <v>2050</v>
      </c>
      <c r="D748" s="34" t="s">
        <v>328</v>
      </c>
      <c r="E748" s="34" t="s">
        <v>329</v>
      </c>
      <c r="F748" s="34" t="s">
        <v>498</v>
      </c>
      <c r="G748" s="34" t="s">
        <v>507</v>
      </c>
      <c r="H748" s="34" t="s">
        <v>496</v>
      </c>
      <c r="I748" s="34" t="s">
        <v>19</v>
      </c>
      <c r="J748" s="34" t="s">
        <v>27</v>
      </c>
      <c r="K748" s="34" t="s">
        <v>46</v>
      </c>
      <c r="L748" s="34" t="s">
        <v>47</v>
      </c>
      <c r="M748">
        <v>0.17300000000000001</v>
      </c>
    </row>
    <row r="749" spans="1:13" x14ac:dyDescent="0.3">
      <c r="A749" s="34" t="s">
        <v>662</v>
      </c>
      <c r="B749">
        <v>-1</v>
      </c>
      <c r="C749">
        <v>2050</v>
      </c>
      <c r="D749" s="34" t="s">
        <v>328</v>
      </c>
      <c r="E749" s="34" t="s">
        <v>329</v>
      </c>
      <c r="F749" s="34" t="s">
        <v>498</v>
      </c>
      <c r="G749" s="34" t="s">
        <v>507</v>
      </c>
      <c r="H749" s="34" t="s">
        <v>496</v>
      </c>
      <c r="I749" s="34" t="s">
        <v>19</v>
      </c>
      <c r="J749" s="34" t="s">
        <v>27</v>
      </c>
      <c r="K749" s="34" t="s">
        <v>48</v>
      </c>
      <c r="L749" s="34" t="s">
        <v>47</v>
      </c>
      <c r="M749">
        <v>-0.17300000000000001</v>
      </c>
    </row>
    <row r="750" spans="1:13" x14ac:dyDescent="0.3">
      <c r="A750" s="34" t="s">
        <v>662</v>
      </c>
      <c r="B750">
        <v>-1</v>
      </c>
      <c r="C750">
        <v>2050</v>
      </c>
      <c r="D750" s="34" t="s">
        <v>328</v>
      </c>
      <c r="E750" s="34" t="s">
        <v>329</v>
      </c>
      <c r="F750" s="34" t="s">
        <v>498</v>
      </c>
      <c r="G750" s="34" t="s">
        <v>508</v>
      </c>
      <c r="H750" s="34" t="s">
        <v>496</v>
      </c>
      <c r="I750" s="34" t="s">
        <v>19</v>
      </c>
      <c r="J750" s="34" t="s">
        <v>27</v>
      </c>
      <c r="K750" s="34" t="s">
        <v>46</v>
      </c>
      <c r="L750" s="34" t="s">
        <v>47</v>
      </c>
      <c r="M750">
        <v>0.16700000000000001</v>
      </c>
    </row>
    <row r="751" spans="1:13" x14ac:dyDescent="0.3">
      <c r="A751" s="34" t="s">
        <v>662</v>
      </c>
      <c r="B751">
        <v>-1</v>
      </c>
      <c r="C751">
        <v>2050</v>
      </c>
      <c r="D751" s="34" t="s">
        <v>328</v>
      </c>
      <c r="E751" s="34" t="s">
        <v>329</v>
      </c>
      <c r="F751" s="34" t="s">
        <v>498</v>
      </c>
      <c r="G751" s="34" t="s">
        <v>508</v>
      </c>
      <c r="H751" s="34" t="s">
        <v>496</v>
      </c>
      <c r="I751" s="34" t="s">
        <v>19</v>
      </c>
      <c r="J751" s="34" t="s">
        <v>27</v>
      </c>
      <c r="K751" s="34" t="s">
        <v>48</v>
      </c>
      <c r="L751" s="34" t="s">
        <v>47</v>
      </c>
      <c r="M751">
        <v>-0.16700000000000001</v>
      </c>
    </row>
    <row r="752" spans="1:13" x14ac:dyDescent="0.3">
      <c r="A752" s="34" t="s">
        <v>662</v>
      </c>
      <c r="B752">
        <v>-1</v>
      </c>
      <c r="C752">
        <v>2050</v>
      </c>
      <c r="D752" s="34" t="s">
        <v>328</v>
      </c>
      <c r="E752" s="34" t="s">
        <v>329</v>
      </c>
      <c r="F752" s="34" t="s">
        <v>498</v>
      </c>
      <c r="G752" s="34" t="s">
        <v>509</v>
      </c>
      <c r="H752" s="34" t="s">
        <v>496</v>
      </c>
      <c r="I752" s="34" t="s">
        <v>19</v>
      </c>
      <c r="J752" s="34" t="s">
        <v>27</v>
      </c>
      <c r="K752" s="34" t="s">
        <v>46</v>
      </c>
      <c r="L752" s="34" t="s">
        <v>47</v>
      </c>
      <c r="M752">
        <v>0.19400000000000001</v>
      </c>
    </row>
    <row r="753" spans="1:13" x14ac:dyDescent="0.3">
      <c r="A753" s="34" t="s">
        <v>662</v>
      </c>
      <c r="B753">
        <v>-1</v>
      </c>
      <c r="C753">
        <v>2050</v>
      </c>
      <c r="D753" s="34" t="s">
        <v>328</v>
      </c>
      <c r="E753" s="34" t="s">
        <v>329</v>
      </c>
      <c r="F753" s="34" t="s">
        <v>498</v>
      </c>
      <c r="G753" s="34" t="s">
        <v>509</v>
      </c>
      <c r="H753" s="34" t="s">
        <v>496</v>
      </c>
      <c r="I753" s="34" t="s">
        <v>19</v>
      </c>
      <c r="J753" s="34" t="s">
        <v>27</v>
      </c>
      <c r="K753" s="34" t="s">
        <v>48</v>
      </c>
      <c r="L753" s="34" t="s">
        <v>47</v>
      </c>
      <c r="M753">
        <v>-0.19400000000000001</v>
      </c>
    </row>
    <row r="754" spans="1:13" x14ac:dyDescent="0.3">
      <c r="A754" s="34" t="s">
        <v>662</v>
      </c>
      <c r="B754">
        <v>-1</v>
      </c>
      <c r="C754">
        <v>2050</v>
      </c>
      <c r="D754" s="34" t="s">
        <v>328</v>
      </c>
      <c r="E754" s="34" t="s">
        <v>329</v>
      </c>
      <c r="F754" s="34" t="s">
        <v>510</v>
      </c>
      <c r="G754" s="34" t="s">
        <v>263</v>
      </c>
      <c r="H754" s="34" t="s">
        <v>209</v>
      </c>
      <c r="I754" s="34" t="s">
        <v>203</v>
      </c>
      <c r="J754" s="34" t="s">
        <v>204</v>
      </c>
      <c r="K754" s="34" t="s">
        <v>46</v>
      </c>
      <c r="L754" s="34" t="s">
        <v>47</v>
      </c>
      <c r="M754">
        <v>1.2048192771084337E-4</v>
      </c>
    </row>
    <row r="755" spans="1:13" x14ac:dyDescent="0.3">
      <c r="A755" s="34" t="s">
        <v>662</v>
      </c>
      <c r="B755">
        <v>-1</v>
      </c>
      <c r="C755">
        <v>2050</v>
      </c>
      <c r="D755" s="34" t="s">
        <v>328</v>
      </c>
      <c r="E755" s="34" t="s">
        <v>329</v>
      </c>
      <c r="F755" s="34" t="s">
        <v>510</v>
      </c>
      <c r="G755" s="34" t="s">
        <v>263</v>
      </c>
      <c r="H755" s="34" t="s">
        <v>209</v>
      </c>
      <c r="I755" s="34" t="s">
        <v>203</v>
      </c>
      <c r="J755" s="34" t="s">
        <v>204</v>
      </c>
      <c r="K755" s="34" t="s">
        <v>48</v>
      </c>
      <c r="L755" s="34" t="s">
        <v>47</v>
      </c>
      <c r="M755">
        <v>-1.2048192771084337E-4</v>
      </c>
    </row>
    <row r="756" spans="1:13" x14ac:dyDescent="0.3">
      <c r="A756" s="34" t="s">
        <v>662</v>
      </c>
      <c r="B756">
        <v>-1</v>
      </c>
      <c r="C756">
        <v>2050</v>
      </c>
      <c r="D756" s="34" t="s">
        <v>328</v>
      </c>
      <c r="E756" s="34" t="s">
        <v>329</v>
      </c>
      <c r="F756" s="34" t="s">
        <v>510</v>
      </c>
      <c r="G756" s="34" t="s">
        <v>263</v>
      </c>
      <c r="H756" s="34" t="s">
        <v>209</v>
      </c>
      <c r="I756" s="34" t="s">
        <v>19</v>
      </c>
      <c r="J756" s="34" t="s">
        <v>204</v>
      </c>
      <c r="K756" s="34" t="s">
        <v>46</v>
      </c>
      <c r="L756" s="34" t="s">
        <v>47</v>
      </c>
      <c r="M756">
        <v>1E-4</v>
      </c>
    </row>
    <row r="757" spans="1:13" x14ac:dyDescent="0.3">
      <c r="A757" s="34" t="s">
        <v>662</v>
      </c>
      <c r="B757">
        <v>-1</v>
      </c>
      <c r="C757">
        <v>2050</v>
      </c>
      <c r="D757" s="34" t="s">
        <v>328</v>
      </c>
      <c r="E757" s="34" t="s">
        <v>329</v>
      </c>
      <c r="F757" s="34" t="s">
        <v>510</v>
      </c>
      <c r="G757" s="34" t="s">
        <v>263</v>
      </c>
      <c r="H757" s="34" t="s">
        <v>209</v>
      </c>
      <c r="I757" s="34" t="s">
        <v>19</v>
      </c>
      <c r="J757" s="34" t="s">
        <v>204</v>
      </c>
      <c r="K757" s="34" t="s">
        <v>48</v>
      </c>
      <c r="L757" s="34" t="s">
        <v>47</v>
      </c>
      <c r="M757">
        <v>-1E-4</v>
      </c>
    </row>
    <row r="758" spans="1:13" x14ac:dyDescent="0.3">
      <c r="A758" s="34" t="s">
        <v>662</v>
      </c>
      <c r="B758">
        <v>-1</v>
      </c>
      <c r="C758">
        <v>2050</v>
      </c>
      <c r="D758" s="34" t="s">
        <v>328</v>
      </c>
      <c r="E758" s="34" t="s">
        <v>329</v>
      </c>
      <c r="F758" s="34" t="s">
        <v>511</v>
      </c>
      <c r="G758" s="34" t="s">
        <v>494</v>
      </c>
      <c r="H758" s="34" t="s">
        <v>40</v>
      </c>
      <c r="I758" s="34" t="s">
        <v>203</v>
      </c>
      <c r="J758" s="34" t="s">
        <v>204</v>
      </c>
      <c r="K758" s="34" t="s">
        <v>46</v>
      </c>
      <c r="L758" s="34" t="s">
        <v>47</v>
      </c>
      <c r="M758">
        <v>4.4943820224719105E-3</v>
      </c>
    </row>
    <row r="759" spans="1:13" x14ac:dyDescent="0.3">
      <c r="A759" s="34" t="s">
        <v>662</v>
      </c>
      <c r="B759">
        <v>-1</v>
      </c>
      <c r="C759">
        <v>2050</v>
      </c>
      <c r="D759" s="34" t="s">
        <v>328</v>
      </c>
      <c r="E759" s="34" t="s">
        <v>329</v>
      </c>
      <c r="F759" s="34" t="s">
        <v>511</v>
      </c>
      <c r="G759" s="34" t="s">
        <v>494</v>
      </c>
      <c r="H759" s="34" t="s">
        <v>40</v>
      </c>
      <c r="I759" s="34" t="s">
        <v>203</v>
      </c>
      <c r="J759" s="34" t="s">
        <v>204</v>
      </c>
      <c r="K759" s="34" t="s">
        <v>48</v>
      </c>
      <c r="L759" s="34" t="s">
        <v>47</v>
      </c>
      <c r="M759">
        <v>-4.4943820224719105E-3</v>
      </c>
    </row>
    <row r="760" spans="1:13" x14ac:dyDescent="0.3">
      <c r="A760" s="34" t="s">
        <v>662</v>
      </c>
      <c r="B760">
        <v>-1</v>
      </c>
      <c r="C760">
        <v>2050</v>
      </c>
      <c r="D760" s="34" t="s">
        <v>328</v>
      </c>
      <c r="E760" s="34" t="s">
        <v>329</v>
      </c>
      <c r="F760" s="34" t="s">
        <v>511</v>
      </c>
      <c r="G760" s="34" t="s">
        <v>494</v>
      </c>
      <c r="H760" s="34" t="s">
        <v>40</v>
      </c>
      <c r="I760" s="34" t="s">
        <v>19</v>
      </c>
      <c r="J760" s="34" t="s">
        <v>204</v>
      </c>
      <c r="K760" s="34" t="s">
        <v>46</v>
      </c>
      <c r="L760" s="34" t="s">
        <v>47</v>
      </c>
      <c r="M760">
        <v>4.0000000000000001E-3</v>
      </c>
    </row>
    <row r="761" spans="1:13" x14ac:dyDescent="0.3">
      <c r="A761" s="34" t="s">
        <v>662</v>
      </c>
      <c r="B761">
        <v>-1</v>
      </c>
      <c r="C761">
        <v>2050</v>
      </c>
      <c r="D761" s="34" t="s">
        <v>328</v>
      </c>
      <c r="E761" s="34" t="s">
        <v>329</v>
      </c>
      <c r="F761" s="34" t="s">
        <v>511</v>
      </c>
      <c r="G761" s="34" t="s">
        <v>494</v>
      </c>
      <c r="H761" s="34" t="s">
        <v>40</v>
      </c>
      <c r="I761" s="34" t="s">
        <v>19</v>
      </c>
      <c r="J761" s="34" t="s">
        <v>204</v>
      </c>
      <c r="K761" s="34" t="s">
        <v>48</v>
      </c>
      <c r="L761" s="34" t="s">
        <v>47</v>
      </c>
      <c r="M761">
        <v>-4.0000000000000001E-3</v>
      </c>
    </row>
    <row r="762" spans="1:13" x14ac:dyDescent="0.3">
      <c r="A762" s="34" t="s">
        <v>662</v>
      </c>
      <c r="B762">
        <v>-1</v>
      </c>
      <c r="C762">
        <v>2050</v>
      </c>
      <c r="D762" s="34" t="s">
        <v>328</v>
      </c>
      <c r="E762" s="34" t="s">
        <v>329</v>
      </c>
      <c r="F762" s="34" t="s">
        <v>511</v>
      </c>
      <c r="G762" s="34" t="s">
        <v>263</v>
      </c>
      <c r="H762" s="34" t="s">
        <v>209</v>
      </c>
      <c r="I762" s="34" t="s">
        <v>203</v>
      </c>
      <c r="J762" s="34" t="s">
        <v>204</v>
      </c>
      <c r="K762" s="34" t="s">
        <v>46</v>
      </c>
      <c r="L762" s="34" t="s">
        <v>47</v>
      </c>
      <c r="M762">
        <v>3.9759036144578312E-3</v>
      </c>
    </row>
    <row r="763" spans="1:13" x14ac:dyDescent="0.3">
      <c r="A763" s="34" t="s">
        <v>662</v>
      </c>
      <c r="B763">
        <v>-1</v>
      </c>
      <c r="C763">
        <v>2050</v>
      </c>
      <c r="D763" s="34" t="s">
        <v>328</v>
      </c>
      <c r="E763" s="34" t="s">
        <v>329</v>
      </c>
      <c r="F763" s="34" t="s">
        <v>511</v>
      </c>
      <c r="G763" s="34" t="s">
        <v>263</v>
      </c>
      <c r="H763" s="34" t="s">
        <v>209</v>
      </c>
      <c r="I763" s="34" t="s">
        <v>203</v>
      </c>
      <c r="J763" s="34" t="s">
        <v>204</v>
      </c>
      <c r="K763" s="34" t="s">
        <v>48</v>
      </c>
      <c r="L763" s="34" t="s">
        <v>47</v>
      </c>
      <c r="M763">
        <v>-3.9759036144578312E-3</v>
      </c>
    </row>
    <row r="764" spans="1:13" x14ac:dyDescent="0.3">
      <c r="A764" s="34" t="s">
        <v>662</v>
      </c>
      <c r="B764">
        <v>-1</v>
      </c>
      <c r="C764">
        <v>2050</v>
      </c>
      <c r="D764" s="34" t="s">
        <v>328</v>
      </c>
      <c r="E764" s="34" t="s">
        <v>329</v>
      </c>
      <c r="F764" s="34" t="s">
        <v>511</v>
      </c>
      <c r="G764" s="34" t="s">
        <v>263</v>
      </c>
      <c r="H764" s="34" t="s">
        <v>209</v>
      </c>
      <c r="I764" s="34" t="s">
        <v>19</v>
      </c>
      <c r="J764" s="34" t="s">
        <v>204</v>
      </c>
      <c r="K764" s="34" t="s">
        <v>46</v>
      </c>
      <c r="L764" s="34" t="s">
        <v>47</v>
      </c>
      <c r="M764">
        <v>3.3E-3</v>
      </c>
    </row>
    <row r="765" spans="1:13" x14ac:dyDescent="0.3">
      <c r="A765" s="34" t="s">
        <v>662</v>
      </c>
      <c r="B765">
        <v>-1</v>
      </c>
      <c r="C765">
        <v>2050</v>
      </c>
      <c r="D765" s="34" t="s">
        <v>328</v>
      </c>
      <c r="E765" s="34" t="s">
        <v>329</v>
      </c>
      <c r="F765" s="34" t="s">
        <v>511</v>
      </c>
      <c r="G765" s="34" t="s">
        <v>263</v>
      </c>
      <c r="H765" s="34" t="s">
        <v>209</v>
      </c>
      <c r="I765" s="34" t="s">
        <v>19</v>
      </c>
      <c r="J765" s="34" t="s">
        <v>204</v>
      </c>
      <c r="K765" s="34" t="s">
        <v>48</v>
      </c>
      <c r="L765" s="34" t="s">
        <v>47</v>
      </c>
      <c r="M765">
        <v>-3.3E-3</v>
      </c>
    </row>
    <row r="766" spans="1:13" x14ac:dyDescent="0.3">
      <c r="A766" s="34" t="s">
        <v>662</v>
      </c>
      <c r="B766">
        <v>-1</v>
      </c>
      <c r="C766">
        <v>2050</v>
      </c>
      <c r="D766" s="34" t="s">
        <v>328</v>
      </c>
      <c r="E766" s="34" t="s">
        <v>329</v>
      </c>
      <c r="F766" s="34" t="s">
        <v>512</v>
      </c>
      <c r="G766" s="34" t="s">
        <v>494</v>
      </c>
      <c r="H766" s="34" t="s">
        <v>40</v>
      </c>
      <c r="I766" s="34" t="s">
        <v>203</v>
      </c>
      <c r="J766" s="34" t="s">
        <v>204</v>
      </c>
      <c r="K766" s="34" t="s">
        <v>46</v>
      </c>
      <c r="L766" s="34" t="s">
        <v>47</v>
      </c>
      <c r="M766">
        <v>1.1235955056179775E-2</v>
      </c>
    </row>
    <row r="767" spans="1:13" x14ac:dyDescent="0.3">
      <c r="A767" s="34" t="s">
        <v>662</v>
      </c>
      <c r="B767">
        <v>-1</v>
      </c>
      <c r="C767">
        <v>2050</v>
      </c>
      <c r="D767" s="34" t="s">
        <v>328</v>
      </c>
      <c r="E767" s="34" t="s">
        <v>329</v>
      </c>
      <c r="F767" s="34" t="s">
        <v>512</v>
      </c>
      <c r="G767" s="34" t="s">
        <v>494</v>
      </c>
      <c r="H767" s="34" t="s">
        <v>40</v>
      </c>
      <c r="I767" s="34" t="s">
        <v>203</v>
      </c>
      <c r="J767" s="34" t="s">
        <v>204</v>
      </c>
      <c r="K767" s="34" t="s">
        <v>48</v>
      </c>
      <c r="L767" s="34" t="s">
        <v>47</v>
      </c>
      <c r="M767">
        <v>-1.1235955056179775E-2</v>
      </c>
    </row>
    <row r="768" spans="1:13" x14ac:dyDescent="0.3">
      <c r="A768" s="34" t="s">
        <v>662</v>
      </c>
      <c r="B768">
        <v>-1</v>
      </c>
      <c r="C768">
        <v>2050</v>
      </c>
      <c r="D768" s="34" t="s">
        <v>328</v>
      </c>
      <c r="E768" s="34" t="s">
        <v>329</v>
      </c>
      <c r="F768" s="34" t="s">
        <v>512</v>
      </c>
      <c r="G768" s="34" t="s">
        <v>494</v>
      </c>
      <c r="H768" s="34" t="s">
        <v>40</v>
      </c>
      <c r="I768" s="34" t="s">
        <v>19</v>
      </c>
      <c r="J768" s="34" t="s">
        <v>204</v>
      </c>
      <c r="K768" s="34" t="s">
        <v>46</v>
      </c>
      <c r="L768" s="34" t="s">
        <v>47</v>
      </c>
      <c r="M768">
        <v>0.01</v>
      </c>
    </row>
    <row r="769" spans="1:13" x14ac:dyDescent="0.3">
      <c r="A769" s="34" t="s">
        <v>662</v>
      </c>
      <c r="B769">
        <v>-1</v>
      </c>
      <c r="C769">
        <v>2050</v>
      </c>
      <c r="D769" s="34" t="s">
        <v>328</v>
      </c>
      <c r="E769" s="34" t="s">
        <v>329</v>
      </c>
      <c r="F769" s="34" t="s">
        <v>512</v>
      </c>
      <c r="G769" s="34" t="s">
        <v>494</v>
      </c>
      <c r="H769" s="34" t="s">
        <v>40</v>
      </c>
      <c r="I769" s="34" t="s">
        <v>19</v>
      </c>
      <c r="J769" s="34" t="s">
        <v>204</v>
      </c>
      <c r="K769" s="34" t="s">
        <v>48</v>
      </c>
      <c r="L769" s="34" t="s">
        <v>47</v>
      </c>
      <c r="M769">
        <v>-0.01</v>
      </c>
    </row>
    <row r="770" spans="1:13" x14ac:dyDescent="0.3">
      <c r="A770" s="34" t="s">
        <v>662</v>
      </c>
      <c r="B770">
        <v>-1</v>
      </c>
      <c r="C770">
        <v>2050</v>
      </c>
      <c r="D770" s="34" t="s">
        <v>328</v>
      </c>
      <c r="E770" s="34" t="s">
        <v>329</v>
      </c>
      <c r="F770" s="34" t="s">
        <v>512</v>
      </c>
      <c r="G770" s="34" t="s">
        <v>513</v>
      </c>
      <c r="H770" s="34" t="s">
        <v>492</v>
      </c>
      <c r="I770" s="34" t="s">
        <v>19</v>
      </c>
      <c r="J770" s="34" t="s">
        <v>27</v>
      </c>
      <c r="K770" s="34" t="s">
        <v>46</v>
      </c>
      <c r="L770" s="34" t="s">
        <v>47</v>
      </c>
      <c r="M770">
        <v>1.3000000000000001E-2</v>
      </c>
    </row>
    <row r="771" spans="1:13" x14ac:dyDescent="0.3">
      <c r="A771" s="34" t="s">
        <v>662</v>
      </c>
      <c r="B771">
        <v>-1</v>
      </c>
      <c r="C771">
        <v>2050</v>
      </c>
      <c r="D771" s="34" t="s">
        <v>328</v>
      </c>
      <c r="E771" s="34" t="s">
        <v>329</v>
      </c>
      <c r="F771" s="34" t="s">
        <v>512</v>
      </c>
      <c r="G771" s="34" t="s">
        <v>513</v>
      </c>
      <c r="H771" s="34" t="s">
        <v>492</v>
      </c>
      <c r="I771" s="34" t="s">
        <v>19</v>
      </c>
      <c r="J771" s="34" t="s">
        <v>27</v>
      </c>
      <c r="K771" s="34" t="s">
        <v>48</v>
      </c>
      <c r="L771" s="34" t="s">
        <v>47</v>
      </c>
      <c r="M771">
        <v>-1.3000000000000001E-2</v>
      </c>
    </row>
    <row r="772" spans="1:13" x14ac:dyDescent="0.3">
      <c r="A772" s="34" t="s">
        <v>662</v>
      </c>
      <c r="B772">
        <v>-1</v>
      </c>
      <c r="C772">
        <v>2050</v>
      </c>
      <c r="D772" s="34" t="s">
        <v>328</v>
      </c>
      <c r="E772" s="34" t="s">
        <v>329</v>
      </c>
      <c r="F772" s="34" t="s">
        <v>514</v>
      </c>
      <c r="G772" s="34" t="s">
        <v>494</v>
      </c>
      <c r="H772" s="34" t="s">
        <v>40</v>
      </c>
      <c r="I772" s="34" t="s">
        <v>203</v>
      </c>
      <c r="J772" s="34" t="s">
        <v>204</v>
      </c>
      <c r="K772" s="34" t="s">
        <v>46</v>
      </c>
      <c r="L772" s="34" t="s">
        <v>47</v>
      </c>
      <c r="M772">
        <v>1.6853932584269663E-3</v>
      </c>
    </row>
    <row r="773" spans="1:13" x14ac:dyDescent="0.3">
      <c r="A773" s="34" t="s">
        <v>662</v>
      </c>
      <c r="B773">
        <v>-1</v>
      </c>
      <c r="C773">
        <v>2050</v>
      </c>
      <c r="D773" s="34" t="s">
        <v>328</v>
      </c>
      <c r="E773" s="34" t="s">
        <v>329</v>
      </c>
      <c r="F773" s="34" t="s">
        <v>514</v>
      </c>
      <c r="G773" s="34" t="s">
        <v>494</v>
      </c>
      <c r="H773" s="34" t="s">
        <v>40</v>
      </c>
      <c r="I773" s="34" t="s">
        <v>203</v>
      </c>
      <c r="J773" s="34" t="s">
        <v>204</v>
      </c>
      <c r="K773" s="34" t="s">
        <v>48</v>
      </c>
      <c r="L773" s="34" t="s">
        <v>47</v>
      </c>
      <c r="M773">
        <v>-1.6853932584269663E-3</v>
      </c>
    </row>
    <row r="774" spans="1:13" x14ac:dyDescent="0.3">
      <c r="A774" s="34" t="s">
        <v>662</v>
      </c>
      <c r="B774">
        <v>-1</v>
      </c>
      <c r="C774">
        <v>2050</v>
      </c>
      <c r="D774" s="34" t="s">
        <v>328</v>
      </c>
      <c r="E774" s="34" t="s">
        <v>329</v>
      </c>
      <c r="F774" s="34" t="s">
        <v>514</v>
      </c>
      <c r="G774" s="34" t="s">
        <v>494</v>
      </c>
      <c r="H774" s="34" t="s">
        <v>40</v>
      </c>
      <c r="I774" s="34" t="s">
        <v>19</v>
      </c>
      <c r="J774" s="34" t="s">
        <v>204</v>
      </c>
      <c r="K774" s="34" t="s">
        <v>46</v>
      </c>
      <c r="L774" s="34" t="s">
        <v>47</v>
      </c>
      <c r="M774">
        <v>1.5E-3</v>
      </c>
    </row>
    <row r="775" spans="1:13" x14ac:dyDescent="0.3">
      <c r="A775" s="34" t="s">
        <v>662</v>
      </c>
      <c r="B775">
        <v>-1</v>
      </c>
      <c r="C775">
        <v>2050</v>
      </c>
      <c r="D775" s="34" t="s">
        <v>328</v>
      </c>
      <c r="E775" s="34" t="s">
        <v>329</v>
      </c>
      <c r="F775" s="34" t="s">
        <v>514</v>
      </c>
      <c r="G775" s="34" t="s">
        <v>494</v>
      </c>
      <c r="H775" s="34" t="s">
        <v>40</v>
      </c>
      <c r="I775" s="34" t="s">
        <v>19</v>
      </c>
      <c r="J775" s="34" t="s">
        <v>204</v>
      </c>
      <c r="K775" s="34" t="s">
        <v>48</v>
      </c>
      <c r="L775" s="34" t="s">
        <v>47</v>
      </c>
      <c r="M775">
        <v>-1.5E-3</v>
      </c>
    </row>
    <row r="776" spans="1:13" x14ac:dyDescent="0.3">
      <c r="A776" s="34" t="s">
        <v>662</v>
      </c>
      <c r="B776">
        <v>-1</v>
      </c>
      <c r="C776">
        <v>2050</v>
      </c>
      <c r="D776" s="34" t="s">
        <v>328</v>
      </c>
      <c r="E776" s="34" t="s">
        <v>329</v>
      </c>
      <c r="F776" s="34" t="s">
        <v>514</v>
      </c>
      <c r="G776" s="34" t="s">
        <v>41</v>
      </c>
      <c r="H776" s="34" t="s">
        <v>40</v>
      </c>
      <c r="I776" s="34" t="s">
        <v>13</v>
      </c>
      <c r="J776" s="34" t="s">
        <v>42</v>
      </c>
      <c r="K776" s="34" t="s">
        <v>46</v>
      </c>
      <c r="L776" s="34" t="s">
        <v>47</v>
      </c>
      <c r="M776">
        <v>9.5716477848298287E-2</v>
      </c>
    </row>
    <row r="777" spans="1:13" x14ac:dyDescent="0.3">
      <c r="A777" s="34" t="s">
        <v>662</v>
      </c>
      <c r="B777">
        <v>-1</v>
      </c>
      <c r="C777">
        <v>2050</v>
      </c>
      <c r="D777" s="34" t="s">
        <v>328</v>
      </c>
      <c r="E777" s="34" t="s">
        <v>329</v>
      </c>
      <c r="F777" s="34" t="s">
        <v>514</v>
      </c>
      <c r="G777" s="34" t="s">
        <v>41</v>
      </c>
      <c r="H777" s="34" t="s">
        <v>40</v>
      </c>
      <c r="I777" s="34" t="s">
        <v>13</v>
      </c>
      <c r="J777" s="34" t="s">
        <v>42</v>
      </c>
      <c r="K777" s="34" t="s">
        <v>48</v>
      </c>
      <c r="L777" s="34" t="s">
        <v>47</v>
      </c>
      <c r="M777">
        <v>-9.5716477848298287E-2</v>
      </c>
    </row>
    <row r="778" spans="1:13" x14ac:dyDescent="0.3">
      <c r="A778" s="34" t="s">
        <v>662</v>
      </c>
      <c r="B778">
        <v>-1</v>
      </c>
      <c r="C778">
        <v>2050</v>
      </c>
      <c r="D778" s="34" t="s">
        <v>328</v>
      </c>
      <c r="E778" s="34" t="s">
        <v>329</v>
      </c>
      <c r="F778" s="34" t="s">
        <v>515</v>
      </c>
      <c r="G778" s="34" t="s">
        <v>494</v>
      </c>
      <c r="H778" s="34" t="s">
        <v>40</v>
      </c>
      <c r="I778" s="34" t="s">
        <v>203</v>
      </c>
      <c r="J778" s="34" t="s">
        <v>204</v>
      </c>
      <c r="K778" s="34" t="s">
        <v>46</v>
      </c>
      <c r="L778" s="34" t="s">
        <v>47</v>
      </c>
      <c r="M778">
        <v>1.0112359550561798E-3</v>
      </c>
    </row>
    <row r="779" spans="1:13" x14ac:dyDescent="0.3">
      <c r="A779" s="34" t="s">
        <v>662</v>
      </c>
      <c r="B779">
        <v>-1</v>
      </c>
      <c r="C779">
        <v>2050</v>
      </c>
      <c r="D779" s="34" t="s">
        <v>328</v>
      </c>
      <c r="E779" s="34" t="s">
        <v>329</v>
      </c>
      <c r="F779" s="34" t="s">
        <v>515</v>
      </c>
      <c r="G779" s="34" t="s">
        <v>494</v>
      </c>
      <c r="H779" s="34" t="s">
        <v>40</v>
      </c>
      <c r="I779" s="34" t="s">
        <v>203</v>
      </c>
      <c r="J779" s="34" t="s">
        <v>204</v>
      </c>
      <c r="K779" s="34" t="s">
        <v>48</v>
      </c>
      <c r="L779" s="34" t="s">
        <v>47</v>
      </c>
      <c r="M779">
        <v>-1.0112359550561798E-3</v>
      </c>
    </row>
    <row r="780" spans="1:13" x14ac:dyDescent="0.3">
      <c r="A780" s="34" t="s">
        <v>662</v>
      </c>
      <c r="B780">
        <v>-1</v>
      </c>
      <c r="C780">
        <v>2050</v>
      </c>
      <c r="D780" s="34" t="s">
        <v>328</v>
      </c>
      <c r="E780" s="34" t="s">
        <v>329</v>
      </c>
      <c r="F780" s="34" t="s">
        <v>515</v>
      </c>
      <c r="G780" s="34" t="s">
        <v>494</v>
      </c>
      <c r="H780" s="34" t="s">
        <v>40</v>
      </c>
      <c r="I780" s="34" t="s">
        <v>19</v>
      </c>
      <c r="J780" s="34" t="s">
        <v>204</v>
      </c>
      <c r="K780" s="34" t="s">
        <v>46</v>
      </c>
      <c r="L780" s="34" t="s">
        <v>47</v>
      </c>
      <c r="M780">
        <v>9.0000000000000008E-4</v>
      </c>
    </row>
    <row r="781" spans="1:13" x14ac:dyDescent="0.3">
      <c r="A781" s="34" t="s">
        <v>662</v>
      </c>
      <c r="B781">
        <v>-1</v>
      </c>
      <c r="C781">
        <v>2050</v>
      </c>
      <c r="D781" s="34" t="s">
        <v>328</v>
      </c>
      <c r="E781" s="34" t="s">
        <v>329</v>
      </c>
      <c r="F781" s="34" t="s">
        <v>515</v>
      </c>
      <c r="G781" s="34" t="s">
        <v>494</v>
      </c>
      <c r="H781" s="34" t="s">
        <v>40</v>
      </c>
      <c r="I781" s="34" t="s">
        <v>19</v>
      </c>
      <c r="J781" s="34" t="s">
        <v>204</v>
      </c>
      <c r="K781" s="34" t="s">
        <v>48</v>
      </c>
      <c r="L781" s="34" t="s">
        <v>47</v>
      </c>
      <c r="M781">
        <v>-9.0000000000000008E-4</v>
      </c>
    </row>
    <row r="782" spans="1:13" x14ac:dyDescent="0.3">
      <c r="A782" s="34" t="s">
        <v>662</v>
      </c>
      <c r="B782">
        <v>-1</v>
      </c>
      <c r="C782">
        <v>2050</v>
      </c>
      <c r="D782" s="34" t="s">
        <v>328</v>
      </c>
      <c r="E782" s="34" t="s">
        <v>329</v>
      </c>
      <c r="F782" s="34" t="s">
        <v>515</v>
      </c>
      <c r="G782" s="34" t="s">
        <v>263</v>
      </c>
      <c r="H782" s="34" t="s">
        <v>209</v>
      </c>
      <c r="I782" s="34" t="s">
        <v>203</v>
      </c>
      <c r="J782" s="34" t="s">
        <v>204</v>
      </c>
      <c r="K782" s="34" t="s">
        <v>46</v>
      </c>
      <c r="L782" s="34" t="s">
        <v>47</v>
      </c>
      <c r="M782">
        <v>1.2048192771084337E-4</v>
      </c>
    </row>
    <row r="783" spans="1:13" x14ac:dyDescent="0.3">
      <c r="A783" s="34" t="s">
        <v>662</v>
      </c>
      <c r="B783">
        <v>-1</v>
      </c>
      <c r="C783">
        <v>2050</v>
      </c>
      <c r="D783" s="34" t="s">
        <v>328</v>
      </c>
      <c r="E783" s="34" t="s">
        <v>329</v>
      </c>
      <c r="F783" s="34" t="s">
        <v>515</v>
      </c>
      <c r="G783" s="34" t="s">
        <v>263</v>
      </c>
      <c r="H783" s="34" t="s">
        <v>209</v>
      </c>
      <c r="I783" s="34" t="s">
        <v>203</v>
      </c>
      <c r="J783" s="34" t="s">
        <v>204</v>
      </c>
      <c r="K783" s="34" t="s">
        <v>48</v>
      </c>
      <c r="L783" s="34" t="s">
        <v>47</v>
      </c>
      <c r="M783">
        <v>-1.2048192771084337E-4</v>
      </c>
    </row>
    <row r="784" spans="1:13" x14ac:dyDescent="0.3">
      <c r="A784" s="34" t="s">
        <v>662</v>
      </c>
      <c r="B784">
        <v>-1</v>
      </c>
      <c r="C784">
        <v>2050</v>
      </c>
      <c r="D784" s="34" t="s">
        <v>328</v>
      </c>
      <c r="E784" s="34" t="s">
        <v>329</v>
      </c>
      <c r="F784" s="34" t="s">
        <v>515</v>
      </c>
      <c r="G784" s="34" t="s">
        <v>263</v>
      </c>
      <c r="H784" s="34" t="s">
        <v>209</v>
      </c>
      <c r="I784" s="34" t="s">
        <v>19</v>
      </c>
      <c r="J784" s="34" t="s">
        <v>204</v>
      </c>
      <c r="K784" s="34" t="s">
        <v>46</v>
      </c>
      <c r="L784" s="34" t="s">
        <v>47</v>
      </c>
      <c r="M784">
        <v>1E-4</v>
      </c>
    </row>
    <row r="785" spans="1:13" x14ac:dyDescent="0.3">
      <c r="A785" s="34" t="s">
        <v>662</v>
      </c>
      <c r="B785">
        <v>-1</v>
      </c>
      <c r="C785">
        <v>2050</v>
      </c>
      <c r="D785" s="34" t="s">
        <v>328</v>
      </c>
      <c r="E785" s="34" t="s">
        <v>329</v>
      </c>
      <c r="F785" s="34" t="s">
        <v>515</v>
      </c>
      <c r="G785" s="34" t="s">
        <v>263</v>
      </c>
      <c r="H785" s="34" t="s">
        <v>209</v>
      </c>
      <c r="I785" s="34" t="s">
        <v>19</v>
      </c>
      <c r="J785" s="34" t="s">
        <v>204</v>
      </c>
      <c r="K785" s="34" t="s">
        <v>48</v>
      </c>
      <c r="L785" s="34" t="s">
        <v>47</v>
      </c>
      <c r="M785">
        <v>-1E-4</v>
      </c>
    </row>
    <row r="786" spans="1:13" x14ac:dyDescent="0.3">
      <c r="A786" s="34" t="s">
        <v>662</v>
      </c>
      <c r="B786">
        <v>-1</v>
      </c>
      <c r="C786">
        <v>2050</v>
      </c>
      <c r="D786" s="34" t="s">
        <v>328</v>
      </c>
      <c r="E786" s="34" t="s">
        <v>329</v>
      </c>
      <c r="F786" s="34" t="s">
        <v>516</v>
      </c>
      <c r="G786" s="34" t="s">
        <v>263</v>
      </c>
      <c r="H786" s="34" t="s">
        <v>209</v>
      </c>
      <c r="I786" s="34" t="s">
        <v>203</v>
      </c>
      <c r="J786" s="34" t="s">
        <v>204</v>
      </c>
      <c r="K786" s="34" t="s">
        <v>46</v>
      </c>
      <c r="L786" s="34" t="s">
        <v>47</v>
      </c>
      <c r="M786">
        <v>1.2048192771084337E-4</v>
      </c>
    </row>
    <row r="787" spans="1:13" x14ac:dyDescent="0.3">
      <c r="A787" s="34" t="s">
        <v>662</v>
      </c>
      <c r="B787">
        <v>-1</v>
      </c>
      <c r="C787">
        <v>2050</v>
      </c>
      <c r="D787" s="34" t="s">
        <v>328</v>
      </c>
      <c r="E787" s="34" t="s">
        <v>329</v>
      </c>
      <c r="F787" s="34" t="s">
        <v>516</v>
      </c>
      <c r="G787" s="34" t="s">
        <v>263</v>
      </c>
      <c r="H787" s="34" t="s">
        <v>209</v>
      </c>
      <c r="I787" s="34" t="s">
        <v>203</v>
      </c>
      <c r="J787" s="34" t="s">
        <v>204</v>
      </c>
      <c r="K787" s="34" t="s">
        <v>48</v>
      </c>
      <c r="L787" s="34" t="s">
        <v>47</v>
      </c>
      <c r="M787">
        <v>-1.2048192771084337E-4</v>
      </c>
    </row>
    <row r="788" spans="1:13" x14ac:dyDescent="0.3">
      <c r="A788" s="34" t="s">
        <v>662</v>
      </c>
      <c r="B788">
        <v>-1</v>
      </c>
      <c r="C788">
        <v>2050</v>
      </c>
      <c r="D788" s="34" t="s">
        <v>328</v>
      </c>
      <c r="E788" s="34" t="s">
        <v>329</v>
      </c>
      <c r="F788" s="34" t="s">
        <v>516</v>
      </c>
      <c r="G788" s="34" t="s">
        <v>263</v>
      </c>
      <c r="H788" s="34" t="s">
        <v>209</v>
      </c>
      <c r="I788" s="34" t="s">
        <v>19</v>
      </c>
      <c r="J788" s="34" t="s">
        <v>204</v>
      </c>
      <c r="K788" s="34" t="s">
        <v>46</v>
      </c>
      <c r="L788" s="34" t="s">
        <v>47</v>
      </c>
      <c r="M788">
        <v>1E-4</v>
      </c>
    </row>
    <row r="789" spans="1:13" x14ac:dyDescent="0.3">
      <c r="A789" s="34" t="s">
        <v>662</v>
      </c>
      <c r="B789">
        <v>-1</v>
      </c>
      <c r="C789">
        <v>2050</v>
      </c>
      <c r="D789" s="34" t="s">
        <v>328</v>
      </c>
      <c r="E789" s="34" t="s">
        <v>329</v>
      </c>
      <c r="F789" s="34" t="s">
        <v>516</v>
      </c>
      <c r="G789" s="34" t="s">
        <v>263</v>
      </c>
      <c r="H789" s="34" t="s">
        <v>209</v>
      </c>
      <c r="I789" s="34" t="s">
        <v>19</v>
      </c>
      <c r="J789" s="34" t="s">
        <v>204</v>
      </c>
      <c r="K789" s="34" t="s">
        <v>48</v>
      </c>
      <c r="L789" s="34" t="s">
        <v>47</v>
      </c>
      <c r="M789">
        <v>-1E-4</v>
      </c>
    </row>
    <row r="790" spans="1:13" x14ac:dyDescent="0.3">
      <c r="A790" s="34" t="s">
        <v>662</v>
      </c>
      <c r="B790">
        <v>-1</v>
      </c>
      <c r="C790">
        <v>2050</v>
      </c>
      <c r="D790" s="34" t="s">
        <v>328</v>
      </c>
      <c r="E790" s="34" t="s">
        <v>329</v>
      </c>
      <c r="F790" s="34" t="s">
        <v>607</v>
      </c>
      <c r="G790" s="34" t="s">
        <v>28</v>
      </c>
      <c r="H790" s="34" t="s">
        <v>23</v>
      </c>
      <c r="I790" s="34" t="s">
        <v>19</v>
      </c>
      <c r="J790" s="34" t="s">
        <v>24</v>
      </c>
      <c r="K790" s="34" t="s">
        <v>46</v>
      </c>
      <c r="L790" s="34" t="s">
        <v>47</v>
      </c>
      <c r="M790">
        <v>5.2299999999999999E-2</v>
      </c>
    </row>
    <row r="791" spans="1:13" x14ac:dyDescent="0.3">
      <c r="A791" s="34" t="s">
        <v>662</v>
      </c>
      <c r="B791">
        <v>-1</v>
      </c>
      <c r="C791">
        <v>2050</v>
      </c>
      <c r="D791" s="34" t="s">
        <v>328</v>
      </c>
      <c r="E791" s="34" t="s">
        <v>329</v>
      </c>
      <c r="F791" s="34" t="s">
        <v>607</v>
      </c>
      <c r="G791" s="34" t="s">
        <v>28</v>
      </c>
      <c r="H791" s="34" t="s">
        <v>23</v>
      </c>
      <c r="I791" s="34" t="s">
        <v>19</v>
      </c>
      <c r="J791" s="34" t="s">
        <v>24</v>
      </c>
      <c r="K791" s="34" t="s">
        <v>48</v>
      </c>
      <c r="L791" s="34" t="s">
        <v>47</v>
      </c>
      <c r="M791">
        <v>-5.2299999999999999E-2</v>
      </c>
    </row>
    <row r="792" spans="1:13" x14ac:dyDescent="0.3">
      <c r="A792" s="34" t="s">
        <v>662</v>
      </c>
      <c r="B792">
        <v>-1</v>
      </c>
      <c r="C792">
        <v>2050</v>
      </c>
      <c r="D792" s="34" t="s">
        <v>328</v>
      </c>
      <c r="E792" s="34" t="s">
        <v>329</v>
      </c>
      <c r="F792" s="34" t="s">
        <v>607</v>
      </c>
      <c r="G792" s="34" t="s">
        <v>29</v>
      </c>
      <c r="H792" s="34" t="s">
        <v>21</v>
      </c>
      <c r="I792" s="34" t="s">
        <v>19</v>
      </c>
      <c r="J792" s="34" t="s">
        <v>22</v>
      </c>
      <c r="K792" s="34" t="s">
        <v>46</v>
      </c>
      <c r="L792" s="34" t="s">
        <v>47</v>
      </c>
      <c r="M792">
        <v>0.210231</v>
      </c>
    </row>
    <row r="793" spans="1:13" x14ac:dyDescent="0.3">
      <c r="A793" s="34" t="s">
        <v>662</v>
      </c>
      <c r="B793">
        <v>-1</v>
      </c>
      <c r="C793">
        <v>2050</v>
      </c>
      <c r="D793" s="34" t="s">
        <v>328</v>
      </c>
      <c r="E793" s="34" t="s">
        <v>329</v>
      </c>
      <c r="F793" s="34" t="s">
        <v>607</v>
      </c>
      <c r="G793" s="34" t="s">
        <v>29</v>
      </c>
      <c r="H793" s="34" t="s">
        <v>21</v>
      </c>
      <c r="I793" s="34" t="s">
        <v>19</v>
      </c>
      <c r="J793" s="34" t="s">
        <v>22</v>
      </c>
      <c r="K793" s="34" t="s">
        <v>48</v>
      </c>
      <c r="L793" s="34" t="s">
        <v>47</v>
      </c>
      <c r="M793">
        <v>-0.210231</v>
      </c>
    </row>
    <row r="794" spans="1:13" x14ac:dyDescent="0.3">
      <c r="A794" s="34" t="s">
        <v>662</v>
      </c>
      <c r="B794">
        <v>-1</v>
      </c>
      <c r="C794">
        <v>2050</v>
      </c>
      <c r="D794" s="34" t="s">
        <v>328</v>
      </c>
      <c r="E794" s="34" t="s">
        <v>329</v>
      </c>
      <c r="F794" s="34" t="s">
        <v>607</v>
      </c>
      <c r="G794" s="34" t="s">
        <v>20</v>
      </c>
      <c r="H794" s="34" t="s">
        <v>21</v>
      </c>
      <c r="I794" s="34" t="s">
        <v>19</v>
      </c>
      <c r="J794" s="34" t="s">
        <v>22</v>
      </c>
      <c r="K794" s="34" t="s">
        <v>46</v>
      </c>
      <c r="L794" s="34" t="s">
        <v>47</v>
      </c>
      <c r="M794">
        <v>0.25976900000000003</v>
      </c>
    </row>
    <row r="795" spans="1:13" x14ac:dyDescent="0.3">
      <c r="A795" s="34" t="s">
        <v>662</v>
      </c>
      <c r="B795">
        <v>-1</v>
      </c>
      <c r="C795">
        <v>2050</v>
      </c>
      <c r="D795" s="34" t="s">
        <v>328</v>
      </c>
      <c r="E795" s="34" t="s">
        <v>329</v>
      </c>
      <c r="F795" s="34" t="s">
        <v>607</v>
      </c>
      <c r="G795" s="34" t="s">
        <v>20</v>
      </c>
      <c r="H795" s="34" t="s">
        <v>21</v>
      </c>
      <c r="I795" s="34" t="s">
        <v>19</v>
      </c>
      <c r="J795" s="34" t="s">
        <v>22</v>
      </c>
      <c r="K795" s="34" t="s">
        <v>48</v>
      </c>
      <c r="L795" s="34" t="s">
        <v>47</v>
      </c>
      <c r="M795">
        <v>-0.25976900000000003</v>
      </c>
    </row>
    <row r="796" spans="1:13" x14ac:dyDescent="0.3">
      <c r="A796" s="34" t="s">
        <v>662</v>
      </c>
      <c r="B796">
        <v>-1</v>
      </c>
      <c r="C796">
        <v>2050</v>
      </c>
      <c r="D796" s="34" t="s">
        <v>330</v>
      </c>
      <c r="E796" s="34" t="s">
        <v>331</v>
      </c>
      <c r="F796" s="34" t="s">
        <v>517</v>
      </c>
      <c r="G796" s="34" t="s">
        <v>31</v>
      </c>
      <c r="H796" s="34" t="s">
        <v>18</v>
      </c>
      <c r="I796" s="34" t="s">
        <v>19</v>
      </c>
      <c r="J796" s="34" t="s">
        <v>32</v>
      </c>
      <c r="K796" s="34" t="s">
        <v>46</v>
      </c>
      <c r="L796" s="34" t="s">
        <v>47</v>
      </c>
      <c r="M796">
        <v>1.214</v>
      </c>
    </row>
    <row r="797" spans="1:13" x14ac:dyDescent="0.3">
      <c r="A797" s="34" t="s">
        <v>662</v>
      </c>
      <c r="B797">
        <v>-1</v>
      </c>
      <c r="C797">
        <v>2050</v>
      </c>
      <c r="D797" s="34" t="s">
        <v>330</v>
      </c>
      <c r="E797" s="34" t="s">
        <v>331</v>
      </c>
      <c r="F797" s="34" t="s">
        <v>518</v>
      </c>
      <c r="G797" s="34" t="s">
        <v>180</v>
      </c>
      <c r="H797" s="34" t="s">
        <v>18</v>
      </c>
      <c r="I797" s="34" t="s">
        <v>19</v>
      </c>
      <c r="J797" s="34" t="s">
        <v>181</v>
      </c>
      <c r="K797" s="34" t="s">
        <v>46</v>
      </c>
      <c r="L797" s="34" t="s">
        <v>47</v>
      </c>
      <c r="M797">
        <v>1.2570000000000001</v>
      </c>
    </row>
    <row r="798" spans="1:13" x14ac:dyDescent="0.3">
      <c r="A798" s="34" t="s">
        <v>662</v>
      </c>
      <c r="B798">
        <v>-1</v>
      </c>
      <c r="C798">
        <v>2050</v>
      </c>
      <c r="D798" s="34" t="s">
        <v>330</v>
      </c>
      <c r="E798" s="34" t="s">
        <v>331</v>
      </c>
      <c r="F798" s="34" t="s">
        <v>518</v>
      </c>
      <c r="G798" s="34" t="s">
        <v>519</v>
      </c>
      <c r="H798" s="34" t="s">
        <v>40</v>
      </c>
      <c r="I798" s="34" t="s">
        <v>203</v>
      </c>
      <c r="J798" s="34" t="s">
        <v>204</v>
      </c>
      <c r="K798" s="34" t="s">
        <v>46</v>
      </c>
      <c r="L798" s="34" t="s">
        <v>47</v>
      </c>
      <c r="M798">
        <v>0.54382716049382718</v>
      </c>
    </row>
    <row r="799" spans="1:13" x14ac:dyDescent="0.3">
      <c r="A799" s="34" t="s">
        <v>662</v>
      </c>
      <c r="B799">
        <v>-1</v>
      </c>
      <c r="C799">
        <v>2050</v>
      </c>
      <c r="D799" s="34" t="s">
        <v>330</v>
      </c>
      <c r="E799" s="34" t="s">
        <v>331</v>
      </c>
      <c r="F799" s="34" t="s">
        <v>518</v>
      </c>
      <c r="G799" s="34" t="s">
        <v>519</v>
      </c>
      <c r="H799" s="34" t="s">
        <v>40</v>
      </c>
      <c r="I799" s="34" t="s">
        <v>203</v>
      </c>
      <c r="J799" s="34" t="s">
        <v>204</v>
      </c>
      <c r="K799" s="34" t="s">
        <v>48</v>
      </c>
      <c r="L799" s="34" t="s">
        <v>47</v>
      </c>
      <c r="M799">
        <v>-0.54382716049382718</v>
      </c>
    </row>
    <row r="800" spans="1:13" x14ac:dyDescent="0.3">
      <c r="A800" s="34" t="s">
        <v>662</v>
      </c>
      <c r="B800">
        <v>-1</v>
      </c>
      <c r="C800">
        <v>2050</v>
      </c>
      <c r="D800" s="34" t="s">
        <v>330</v>
      </c>
      <c r="E800" s="34" t="s">
        <v>331</v>
      </c>
      <c r="F800" s="34" t="s">
        <v>518</v>
      </c>
      <c r="G800" s="34" t="s">
        <v>519</v>
      </c>
      <c r="H800" s="34" t="s">
        <v>40</v>
      </c>
      <c r="I800" s="34" t="s">
        <v>19</v>
      </c>
      <c r="J800" s="34" t="s">
        <v>204</v>
      </c>
      <c r="K800" s="34" t="s">
        <v>46</v>
      </c>
      <c r="L800" s="34" t="s">
        <v>47</v>
      </c>
      <c r="M800">
        <v>0.88100000000000001</v>
      </c>
    </row>
    <row r="801" spans="1:13" x14ac:dyDescent="0.3">
      <c r="A801" s="34" t="s">
        <v>662</v>
      </c>
      <c r="B801">
        <v>-1</v>
      </c>
      <c r="C801">
        <v>2050</v>
      </c>
      <c r="D801" s="34" t="s">
        <v>330</v>
      </c>
      <c r="E801" s="34" t="s">
        <v>331</v>
      </c>
      <c r="F801" s="34" t="s">
        <v>518</v>
      </c>
      <c r="G801" s="34" t="s">
        <v>519</v>
      </c>
      <c r="H801" s="34" t="s">
        <v>40</v>
      </c>
      <c r="I801" s="34" t="s">
        <v>19</v>
      </c>
      <c r="J801" s="34" t="s">
        <v>204</v>
      </c>
      <c r="K801" s="34" t="s">
        <v>48</v>
      </c>
      <c r="L801" s="34" t="s">
        <v>47</v>
      </c>
      <c r="M801">
        <v>-0.88100000000000001</v>
      </c>
    </row>
    <row r="802" spans="1:13" x14ac:dyDescent="0.3">
      <c r="A802" s="34" t="s">
        <v>662</v>
      </c>
      <c r="B802">
        <v>-1</v>
      </c>
      <c r="C802">
        <v>2050</v>
      </c>
      <c r="D802" s="34" t="s">
        <v>330</v>
      </c>
      <c r="E802" s="34" t="s">
        <v>331</v>
      </c>
      <c r="F802" s="34" t="s">
        <v>518</v>
      </c>
      <c r="G802" s="34" t="s">
        <v>41</v>
      </c>
      <c r="H802" s="34" t="s">
        <v>40</v>
      </c>
      <c r="I802" s="34" t="s">
        <v>13</v>
      </c>
      <c r="J802" s="34" t="s">
        <v>42</v>
      </c>
      <c r="K802" s="34" t="s">
        <v>46</v>
      </c>
      <c r="L802" s="34" t="s">
        <v>47</v>
      </c>
      <c r="M802">
        <v>5.0797708493386745E-2</v>
      </c>
    </row>
    <row r="803" spans="1:13" x14ac:dyDescent="0.3">
      <c r="A803" s="34" t="s">
        <v>662</v>
      </c>
      <c r="B803">
        <v>-1</v>
      </c>
      <c r="C803">
        <v>2050</v>
      </c>
      <c r="D803" s="34" t="s">
        <v>330</v>
      </c>
      <c r="E803" s="34" t="s">
        <v>331</v>
      </c>
      <c r="F803" s="34" t="s">
        <v>518</v>
      </c>
      <c r="G803" s="34" t="s">
        <v>41</v>
      </c>
      <c r="H803" s="34" t="s">
        <v>40</v>
      </c>
      <c r="I803" s="34" t="s">
        <v>13</v>
      </c>
      <c r="J803" s="34" t="s">
        <v>42</v>
      </c>
      <c r="K803" s="34" t="s">
        <v>48</v>
      </c>
      <c r="L803" s="34" t="s">
        <v>47</v>
      </c>
      <c r="M803">
        <v>-5.0797708493386745E-2</v>
      </c>
    </row>
    <row r="804" spans="1:13" x14ac:dyDescent="0.3">
      <c r="A804" s="34" t="s">
        <v>662</v>
      </c>
      <c r="B804">
        <v>-1</v>
      </c>
      <c r="C804">
        <v>2050</v>
      </c>
      <c r="D804" s="34" t="s">
        <v>330</v>
      </c>
      <c r="E804" s="34" t="s">
        <v>331</v>
      </c>
      <c r="F804" s="34" t="s">
        <v>608</v>
      </c>
      <c r="G804" s="34" t="s">
        <v>29</v>
      </c>
      <c r="H804" s="34" t="s">
        <v>21</v>
      </c>
      <c r="I804" s="34" t="s">
        <v>19</v>
      </c>
      <c r="J804" s="34" t="s">
        <v>22</v>
      </c>
      <c r="K804" s="34" t="s">
        <v>46</v>
      </c>
      <c r="L804" s="34" t="s">
        <v>47</v>
      </c>
      <c r="M804">
        <v>3.0954000000000002E-2</v>
      </c>
    </row>
    <row r="805" spans="1:13" x14ac:dyDescent="0.3">
      <c r="A805" s="34" t="s">
        <v>662</v>
      </c>
      <c r="B805">
        <v>-1</v>
      </c>
      <c r="C805">
        <v>2050</v>
      </c>
      <c r="D805" s="34" t="s">
        <v>330</v>
      </c>
      <c r="E805" s="34" t="s">
        <v>331</v>
      </c>
      <c r="F805" s="34" t="s">
        <v>608</v>
      </c>
      <c r="G805" s="34" t="s">
        <v>29</v>
      </c>
      <c r="H805" s="34" t="s">
        <v>21</v>
      </c>
      <c r="I805" s="34" t="s">
        <v>19</v>
      </c>
      <c r="J805" s="34" t="s">
        <v>22</v>
      </c>
      <c r="K805" s="34" t="s">
        <v>48</v>
      </c>
      <c r="L805" s="34" t="s">
        <v>47</v>
      </c>
      <c r="M805">
        <v>-3.0954000000000002E-2</v>
      </c>
    </row>
    <row r="806" spans="1:13" x14ac:dyDescent="0.3">
      <c r="A806" s="34" t="s">
        <v>662</v>
      </c>
      <c r="B806">
        <v>-1</v>
      </c>
      <c r="C806">
        <v>2050</v>
      </c>
      <c r="D806" s="34" t="s">
        <v>330</v>
      </c>
      <c r="E806" s="34" t="s">
        <v>331</v>
      </c>
      <c r="F806" s="34" t="s">
        <v>608</v>
      </c>
      <c r="G806" s="34" t="s">
        <v>20</v>
      </c>
      <c r="H806" s="34" t="s">
        <v>21</v>
      </c>
      <c r="I806" s="34" t="s">
        <v>19</v>
      </c>
      <c r="J806" s="34" t="s">
        <v>22</v>
      </c>
      <c r="K806" s="34" t="s">
        <v>46</v>
      </c>
      <c r="L806" s="34" t="s">
        <v>47</v>
      </c>
      <c r="M806">
        <v>4.4039999999999999E-3</v>
      </c>
    </row>
    <row r="807" spans="1:13" x14ac:dyDescent="0.3">
      <c r="A807" s="34" t="s">
        <v>662</v>
      </c>
      <c r="B807">
        <v>-1</v>
      </c>
      <c r="C807">
        <v>2050</v>
      </c>
      <c r="D807" s="34" t="s">
        <v>330</v>
      </c>
      <c r="E807" s="34" t="s">
        <v>331</v>
      </c>
      <c r="F807" s="34" t="s">
        <v>608</v>
      </c>
      <c r="G807" s="34" t="s">
        <v>20</v>
      </c>
      <c r="H807" s="34" t="s">
        <v>21</v>
      </c>
      <c r="I807" s="34" t="s">
        <v>19</v>
      </c>
      <c r="J807" s="34" t="s">
        <v>22</v>
      </c>
      <c r="K807" s="34" t="s">
        <v>48</v>
      </c>
      <c r="L807" s="34" t="s">
        <v>47</v>
      </c>
      <c r="M807">
        <v>-4.4039999999999999E-3</v>
      </c>
    </row>
    <row r="808" spans="1:13" x14ac:dyDescent="0.3">
      <c r="A808" s="34" t="s">
        <v>662</v>
      </c>
      <c r="B808">
        <v>-1</v>
      </c>
      <c r="C808">
        <v>2050</v>
      </c>
      <c r="D808" s="34" t="s">
        <v>330</v>
      </c>
      <c r="E808" s="34" t="s">
        <v>331</v>
      </c>
      <c r="F808" s="34" t="s">
        <v>608</v>
      </c>
      <c r="G808" s="34" t="s">
        <v>30</v>
      </c>
      <c r="H808" s="34" t="s">
        <v>21</v>
      </c>
      <c r="I808" s="34" t="s">
        <v>19</v>
      </c>
      <c r="J808" s="34" t="s">
        <v>22</v>
      </c>
      <c r="K808" s="34" t="s">
        <v>46</v>
      </c>
      <c r="L808" s="34" t="s">
        <v>47</v>
      </c>
      <c r="M808">
        <v>2.4642000000000001E-2</v>
      </c>
    </row>
    <row r="809" spans="1:13" x14ac:dyDescent="0.3">
      <c r="A809" s="34" t="s">
        <v>662</v>
      </c>
      <c r="B809">
        <v>-1</v>
      </c>
      <c r="C809">
        <v>2050</v>
      </c>
      <c r="D809" s="34" t="s">
        <v>330</v>
      </c>
      <c r="E809" s="34" t="s">
        <v>331</v>
      </c>
      <c r="F809" s="34" t="s">
        <v>608</v>
      </c>
      <c r="G809" s="34" t="s">
        <v>30</v>
      </c>
      <c r="H809" s="34" t="s">
        <v>21</v>
      </c>
      <c r="I809" s="34" t="s">
        <v>19</v>
      </c>
      <c r="J809" s="34" t="s">
        <v>22</v>
      </c>
      <c r="K809" s="34" t="s">
        <v>48</v>
      </c>
      <c r="L809" s="34" t="s">
        <v>47</v>
      </c>
      <c r="M809">
        <v>-2.4642000000000001E-2</v>
      </c>
    </row>
    <row r="810" spans="1:13" x14ac:dyDescent="0.3">
      <c r="A810" s="34" t="s">
        <v>662</v>
      </c>
      <c r="B810">
        <v>-1</v>
      </c>
      <c r="C810">
        <v>2050</v>
      </c>
      <c r="D810" s="34" t="s">
        <v>332</v>
      </c>
      <c r="E810" s="34" t="s">
        <v>333</v>
      </c>
      <c r="F810" s="34" t="s">
        <v>520</v>
      </c>
      <c r="G810" s="34" t="s">
        <v>180</v>
      </c>
      <c r="H810" s="34" t="s">
        <v>18</v>
      </c>
      <c r="I810" s="34" t="s">
        <v>19</v>
      </c>
      <c r="J810" s="34" t="s">
        <v>181</v>
      </c>
      <c r="K810" s="34" t="s">
        <v>46</v>
      </c>
      <c r="L810" s="34" t="s">
        <v>47</v>
      </c>
      <c r="M810">
        <v>0.1278</v>
      </c>
    </row>
    <row r="811" spans="1:13" x14ac:dyDescent="0.3">
      <c r="A811" s="34" t="s">
        <v>662</v>
      </c>
      <c r="B811">
        <v>-1</v>
      </c>
      <c r="C811">
        <v>2050</v>
      </c>
      <c r="D811" s="34" t="s">
        <v>332</v>
      </c>
      <c r="E811" s="34" t="s">
        <v>333</v>
      </c>
      <c r="F811" s="34" t="s">
        <v>520</v>
      </c>
      <c r="G811" s="34" t="s">
        <v>334</v>
      </c>
      <c r="H811" s="34" t="s">
        <v>40</v>
      </c>
      <c r="I811" s="34" t="s">
        <v>203</v>
      </c>
      <c r="J811" s="34" t="s">
        <v>204</v>
      </c>
      <c r="K811" s="34" t="s">
        <v>46</v>
      </c>
      <c r="L811" s="34" t="s">
        <v>47</v>
      </c>
      <c r="M811">
        <v>0.18599979540022504</v>
      </c>
    </row>
    <row r="812" spans="1:13" x14ac:dyDescent="0.3">
      <c r="A812" s="34" t="s">
        <v>662</v>
      </c>
      <c r="B812">
        <v>-1</v>
      </c>
      <c r="C812">
        <v>2050</v>
      </c>
      <c r="D812" s="34" t="s">
        <v>332</v>
      </c>
      <c r="E812" s="34" t="s">
        <v>333</v>
      </c>
      <c r="F812" s="34" t="s">
        <v>520</v>
      </c>
      <c r="G812" s="34" t="s">
        <v>334</v>
      </c>
      <c r="H812" s="34" t="s">
        <v>40</v>
      </c>
      <c r="I812" s="34" t="s">
        <v>203</v>
      </c>
      <c r="J812" s="34" t="s">
        <v>204</v>
      </c>
      <c r="K812" s="34" t="s">
        <v>48</v>
      </c>
      <c r="L812" s="34" t="s">
        <v>47</v>
      </c>
      <c r="M812">
        <v>-0.18599979540022504</v>
      </c>
    </row>
    <row r="813" spans="1:13" x14ac:dyDescent="0.3">
      <c r="A813" s="34" t="s">
        <v>662</v>
      </c>
      <c r="B813">
        <v>-1</v>
      </c>
      <c r="C813">
        <v>2050</v>
      </c>
      <c r="D813" s="34" t="s">
        <v>332</v>
      </c>
      <c r="E813" s="34" t="s">
        <v>333</v>
      </c>
      <c r="F813" s="34" t="s">
        <v>520</v>
      </c>
      <c r="G813" s="34" t="s">
        <v>334</v>
      </c>
      <c r="H813" s="34" t="s">
        <v>40</v>
      </c>
      <c r="I813" s="34" t="s">
        <v>19</v>
      </c>
      <c r="J813" s="34" t="s">
        <v>204</v>
      </c>
      <c r="K813" s="34" t="s">
        <v>46</v>
      </c>
      <c r="L813" s="34" t="s">
        <v>47</v>
      </c>
      <c r="M813">
        <v>0.06</v>
      </c>
    </row>
    <row r="814" spans="1:13" x14ac:dyDescent="0.3">
      <c r="A814" s="34" t="s">
        <v>662</v>
      </c>
      <c r="B814">
        <v>-1</v>
      </c>
      <c r="C814">
        <v>2050</v>
      </c>
      <c r="D814" s="34" t="s">
        <v>332</v>
      </c>
      <c r="E814" s="34" t="s">
        <v>333</v>
      </c>
      <c r="F814" s="34" t="s">
        <v>520</v>
      </c>
      <c r="G814" s="34" t="s">
        <v>334</v>
      </c>
      <c r="H814" s="34" t="s">
        <v>40</v>
      </c>
      <c r="I814" s="34" t="s">
        <v>19</v>
      </c>
      <c r="J814" s="34" t="s">
        <v>204</v>
      </c>
      <c r="K814" s="34" t="s">
        <v>48</v>
      </c>
      <c r="L814" s="34" t="s">
        <v>47</v>
      </c>
      <c r="M814">
        <v>-0.06</v>
      </c>
    </row>
    <row r="815" spans="1:13" x14ac:dyDescent="0.3">
      <c r="A815" s="34" t="s">
        <v>662</v>
      </c>
      <c r="B815">
        <v>-1</v>
      </c>
      <c r="C815">
        <v>2050</v>
      </c>
      <c r="D815" s="34" t="s">
        <v>332</v>
      </c>
      <c r="E815" s="34" t="s">
        <v>333</v>
      </c>
      <c r="F815" s="34" t="s">
        <v>520</v>
      </c>
      <c r="G815" s="34" t="s">
        <v>521</v>
      </c>
      <c r="H815" s="34" t="s">
        <v>40</v>
      </c>
      <c r="I815" s="34" t="s">
        <v>203</v>
      </c>
      <c r="J815" s="34" t="s">
        <v>204</v>
      </c>
      <c r="K815" s="34" t="s">
        <v>46</v>
      </c>
      <c r="L815" s="34" t="s">
        <v>47</v>
      </c>
      <c r="M815">
        <v>0.20299997047273155</v>
      </c>
    </row>
    <row r="816" spans="1:13" x14ac:dyDescent="0.3">
      <c r="A816" s="34" t="s">
        <v>662</v>
      </c>
      <c r="B816">
        <v>-1</v>
      </c>
      <c r="C816">
        <v>2050</v>
      </c>
      <c r="D816" s="34" t="s">
        <v>332</v>
      </c>
      <c r="E816" s="34" t="s">
        <v>333</v>
      </c>
      <c r="F816" s="34" t="s">
        <v>520</v>
      </c>
      <c r="G816" s="34" t="s">
        <v>521</v>
      </c>
      <c r="H816" s="34" t="s">
        <v>40</v>
      </c>
      <c r="I816" s="34" t="s">
        <v>203</v>
      </c>
      <c r="J816" s="34" t="s">
        <v>204</v>
      </c>
      <c r="K816" s="34" t="s">
        <v>48</v>
      </c>
      <c r="L816" s="34" t="s">
        <v>47</v>
      </c>
      <c r="M816">
        <v>-0.20299997047273155</v>
      </c>
    </row>
    <row r="817" spans="1:13" x14ac:dyDescent="0.3">
      <c r="A817" s="34" t="s">
        <v>662</v>
      </c>
      <c r="B817">
        <v>-1</v>
      </c>
      <c r="C817">
        <v>2050</v>
      </c>
      <c r="D817" s="34" t="s">
        <v>332</v>
      </c>
      <c r="E817" s="34" t="s">
        <v>333</v>
      </c>
      <c r="F817" s="34" t="s">
        <v>520</v>
      </c>
      <c r="G817" s="34" t="s">
        <v>521</v>
      </c>
      <c r="H817" s="34" t="s">
        <v>40</v>
      </c>
      <c r="I817" s="34" t="s">
        <v>19</v>
      </c>
      <c r="J817" s="34" t="s">
        <v>204</v>
      </c>
      <c r="K817" s="34" t="s">
        <v>46</v>
      </c>
      <c r="L817" s="34" t="s">
        <v>47</v>
      </c>
      <c r="M817">
        <v>0.11</v>
      </c>
    </row>
    <row r="818" spans="1:13" x14ac:dyDescent="0.3">
      <c r="A818" s="34" t="s">
        <v>662</v>
      </c>
      <c r="B818">
        <v>-1</v>
      </c>
      <c r="C818">
        <v>2050</v>
      </c>
      <c r="D818" s="34" t="s">
        <v>332</v>
      </c>
      <c r="E818" s="34" t="s">
        <v>333</v>
      </c>
      <c r="F818" s="34" t="s">
        <v>520</v>
      </c>
      <c r="G818" s="34" t="s">
        <v>521</v>
      </c>
      <c r="H818" s="34" t="s">
        <v>40</v>
      </c>
      <c r="I818" s="34" t="s">
        <v>19</v>
      </c>
      <c r="J818" s="34" t="s">
        <v>204</v>
      </c>
      <c r="K818" s="34" t="s">
        <v>48</v>
      </c>
      <c r="L818" s="34" t="s">
        <v>47</v>
      </c>
      <c r="M818">
        <v>-0.11</v>
      </c>
    </row>
    <row r="819" spans="1:13" x14ac:dyDescent="0.3">
      <c r="A819" s="34" t="s">
        <v>662</v>
      </c>
      <c r="B819">
        <v>-1</v>
      </c>
      <c r="C819">
        <v>2050</v>
      </c>
      <c r="D819" s="34" t="s">
        <v>332</v>
      </c>
      <c r="E819" s="34" t="s">
        <v>333</v>
      </c>
      <c r="F819" s="34" t="s">
        <v>522</v>
      </c>
      <c r="G819" s="34" t="s">
        <v>523</v>
      </c>
      <c r="H819" s="34" t="s">
        <v>40</v>
      </c>
      <c r="I819" s="34" t="s">
        <v>203</v>
      </c>
      <c r="J819" s="34" t="s">
        <v>204</v>
      </c>
      <c r="K819" s="34" t="s">
        <v>46</v>
      </c>
      <c r="L819" s="34" t="s">
        <v>47</v>
      </c>
      <c r="M819">
        <v>2.4999999999999998E-2</v>
      </c>
    </row>
    <row r="820" spans="1:13" x14ac:dyDescent="0.3">
      <c r="A820" s="34" t="s">
        <v>662</v>
      </c>
      <c r="B820">
        <v>-1</v>
      </c>
      <c r="C820">
        <v>2050</v>
      </c>
      <c r="D820" s="34" t="s">
        <v>332</v>
      </c>
      <c r="E820" s="34" t="s">
        <v>333</v>
      </c>
      <c r="F820" s="34" t="s">
        <v>522</v>
      </c>
      <c r="G820" s="34" t="s">
        <v>523</v>
      </c>
      <c r="H820" s="34" t="s">
        <v>40</v>
      </c>
      <c r="I820" s="34" t="s">
        <v>203</v>
      </c>
      <c r="J820" s="34" t="s">
        <v>204</v>
      </c>
      <c r="K820" s="34" t="s">
        <v>48</v>
      </c>
      <c r="L820" s="34" t="s">
        <v>47</v>
      </c>
      <c r="M820">
        <v>-2.4999999999999998E-2</v>
      </c>
    </row>
    <row r="821" spans="1:13" x14ac:dyDescent="0.3">
      <c r="A821" s="34" t="s">
        <v>662</v>
      </c>
      <c r="B821">
        <v>-1</v>
      </c>
      <c r="C821">
        <v>2050</v>
      </c>
      <c r="D821" s="34" t="s">
        <v>332</v>
      </c>
      <c r="E821" s="34" t="s">
        <v>333</v>
      </c>
      <c r="F821" s="34" t="s">
        <v>522</v>
      </c>
      <c r="G821" s="34" t="s">
        <v>523</v>
      </c>
      <c r="H821" s="34" t="s">
        <v>40</v>
      </c>
      <c r="I821" s="34" t="s">
        <v>19</v>
      </c>
      <c r="J821" s="34" t="s">
        <v>204</v>
      </c>
      <c r="K821" s="34" t="s">
        <v>46</v>
      </c>
      <c r="L821" s="34" t="s">
        <v>47</v>
      </c>
      <c r="M821">
        <v>2.1999999999999999E-2</v>
      </c>
    </row>
    <row r="822" spans="1:13" x14ac:dyDescent="0.3">
      <c r="A822" s="34" t="s">
        <v>662</v>
      </c>
      <c r="B822">
        <v>-1</v>
      </c>
      <c r="C822">
        <v>2050</v>
      </c>
      <c r="D822" s="34" t="s">
        <v>332</v>
      </c>
      <c r="E822" s="34" t="s">
        <v>333</v>
      </c>
      <c r="F822" s="34" t="s">
        <v>522</v>
      </c>
      <c r="G822" s="34" t="s">
        <v>523</v>
      </c>
      <c r="H822" s="34" t="s">
        <v>40</v>
      </c>
      <c r="I822" s="34" t="s">
        <v>19</v>
      </c>
      <c r="J822" s="34" t="s">
        <v>204</v>
      </c>
      <c r="K822" s="34" t="s">
        <v>48</v>
      </c>
      <c r="L822" s="34" t="s">
        <v>47</v>
      </c>
      <c r="M822">
        <v>-2.1999999999999999E-2</v>
      </c>
    </row>
    <row r="823" spans="1:13" x14ac:dyDescent="0.3">
      <c r="A823" s="34" t="s">
        <v>662</v>
      </c>
      <c r="B823">
        <v>-1</v>
      </c>
      <c r="C823">
        <v>2050</v>
      </c>
      <c r="D823" s="34" t="s">
        <v>332</v>
      </c>
      <c r="E823" s="34" t="s">
        <v>333</v>
      </c>
      <c r="F823" s="34" t="s">
        <v>522</v>
      </c>
      <c r="G823" s="34" t="s">
        <v>524</v>
      </c>
      <c r="H823" s="34" t="s">
        <v>40</v>
      </c>
      <c r="I823" s="34" t="s">
        <v>203</v>
      </c>
      <c r="J823" s="34" t="s">
        <v>204</v>
      </c>
      <c r="K823" s="34" t="s">
        <v>46</v>
      </c>
      <c r="L823" s="34" t="s">
        <v>47</v>
      </c>
      <c r="M823">
        <v>9.0000038297888649E-2</v>
      </c>
    </row>
    <row r="824" spans="1:13" x14ac:dyDescent="0.3">
      <c r="A824" s="34" t="s">
        <v>662</v>
      </c>
      <c r="B824">
        <v>-1</v>
      </c>
      <c r="C824">
        <v>2050</v>
      </c>
      <c r="D824" s="34" t="s">
        <v>332</v>
      </c>
      <c r="E824" s="34" t="s">
        <v>333</v>
      </c>
      <c r="F824" s="34" t="s">
        <v>522</v>
      </c>
      <c r="G824" s="34" t="s">
        <v>524</v>
      </c>
      <c r="H824" s="34" t="s">
        <v>40</v>
      </c>
      <c r="I824" s="34" t="s">
        <v>203</v>
      </c>
      <c r="J824" s="34" t="s">
        <v>204</v>
      </c>
      <c r="K824" s="34" t="s">
        <v>48</v>
      </c>
      <c r="L824" s="34" t="s">
        <v>47</v>
      </c>
      <c r="M824">
        <v>-9.0000038297888649E-2</v>
      </c>
    </row>
    <row r="825" spans="1:13" x14ac:dyDescent="0.3">
      <c r="A825" s="34" t="s">
        <v>662</v>
      </c>
      <c r="B825">
        <v>-1</v>
      </c>
      <c r="C825">
        <v>2050</v>
      </c>
      <c r="D825" s="34" t="s">
        <v>332</v>
      </c>
      <c r="E825" s="34" t="s">
        <v>333</v>
      </c>
      <c r="F825" s="34" t="s">
        <v>522</v>
      </c>
      <c r="G825" s="34" t="s">
        <v>524</v>
      </c>
      <c r="H825" s="34" t="s">
        <v>40</v>
      </c>
      <c r="I825" s="34" t="s">
        <v>19</v>
      </c>
      <c r="J825" s="34" t="s">
        <v>204</v>
      </c>
      <c r="K825" s="34" t="s">
        <v>46</v>
      </c>
      <c r="L825" s="34" t="s">
        <v>47</v>
      </c>
      <c r="M825">
        <v>4.7E-2</v>
      </c>
    </row>
    <row r="826" spans="1:13" x14ac:dyDescent="0.3">
      <c r="A826" s="34" t="s">
        <v>662</v>
      </c>
      <c r="B826">
        <v>-1</v>
      </c>
      <c r="C826">
        <v>2050</v>
      </c>
      <c r="D826" s="34" t="s">
        <v>332</v>
      </c>
      <c r="E826" s="34" t="s">
        <v>333</v>
      </c>
      <c r="F826" s="34" t="s">
        <v>522</v>
      </c>
      <c r="G826" s="34" t="s">
        <v>524</v>
      </c>
      <c r="H826" s="34" t="s">
        <v>40</v>
      </c>
      <c r="I826" s="34" t="s">
        <v>19</v>
      </c>
      <c r="J826" s="34" t="s">
        <v>204</v>
      </c>
      <c r="K826" s="34" t="s">
        <v>48</v>
      </c>
      <c r="L826" s="34" t="s">
        <v>47</v>
      </c>
      <c r="M826">
        <v>-4.7E-2</v>
      </c>
    </row>
    <row r="827" spans="1:13" x14ac:dyDescent="0.3">
      <c r="A827" s="34" t="s">
        <v>662</v>
      </c>
      <c r="B827">
        <v>-1</v>
      </c>
      <c r="C827">
        <v>2050</v>
      </c>
      <c r="D827" s="34" t="s">
        <v>332</v>
      </c>
      <c r="E827" s="34" t="s">
        <v>333</v>
      </c>
      <c r="F827" s="34" t="s">
        <v>522</v>
      </c>
      <c r="G827" s="34" t="s">
        <v>525</v>
      </c>
      <c r="H827" s="34" t="s">
        <v>209</v>
      </c>
      <c r="I827" s="34" t="s">
        <v>203</v>
      </c>
      <c r="J827" s="34" t="s">
        <v>204</v>
      </c>
      <c r="K827" s="34" t="s">
        <v>46</v>
      </c>
      <c r="L827" s="34" t="s">
        <v>47</v>
      </c>
      <c r="M827">
        <v>1.5E-3</v>
      </c>
    </row>
    <row r="828" spans="1:13" x14ac:dyDescent="0.3">
      <c r="A828" s="34" t="s">
        <v>662</v>
      </c>
      <c r="B828">
        <v>-1</v>
      </c>
      <c r="C828">
        <v>2050</v>
      </c>
      <c r="D828" s="34" t="s">
        <v>332</v>
      </c>
      <c r="E828" s="34" t="s">
        <v>333</v>
      </c>
      <c r="F828" s="34" t="s">
        <v>522</v>
      </c>
      <c r="G828" s="34" t="s">
        <v>525</v>
      </c>
      <c r="H828" s="34" t="s">
        <v>209</v>
      </c>
      <c r="I828" s="34" t="s">
        <v>203</v>
      </c>
      <c r="J828" s="34" t="s">
        <v>204</v>
      </c>
      <c r="K828" s="34" t="s">
        <v>48</v>
      </c>
      <c r="L828" s="34" t="s">
        <v>47</v>
      </c>
      <c r="M828">
        <v>-1.5E-3</v>
      </c>
    </row>
    <row r="829" spans="1:13" x14ac:dyDescent="0.3">
      <c r="A829" s="34" t="s">
        <v>662</v>
      </c>
      <c r="B829">
        <v>-1</v>
      </c>
      <c r="C829">
        <v>2050</v>
      </c>
      <c r="D829" s="34" t="s">
        <v>332</v>
      </c>
      <c r="E829" s="34" t="s">
        <v>333</v>
      </c>
      <c r="F829" s="34" t="s">
        <v>522</v>
      </c>
      <c r="G829" s="34" t="s">
        <v>525</v>
      </c>
      <c r="H829" s="34" t="s">
        <v>209</v>
      </c>
      <c r="I829" s="34" t="s">
        <v>19</v>
      </c>
      <c r="J829" s="34" t="s">
        <v>204</v>
      </c>
      <c r="K829" s="34" t="s">
        <v>46</v>
      </c>
      <c r="L829" s="34" t="s">
        <v>47</v>
      </c>
      <c r="M829">
        <v>3.9E-2</v>
      </c>
    </row>
    <row r="830" spans="1:13" x14ac:dyDescent="0.3">
      <c r="A830" s="34" t="s">
        <v>662</v>
      </c>
      <c r="B830">
        <v>-1</v>
      </c>
      <c r="C830">
        <v>2050</v>
      </c>
      <c r="D830" s="34" t="s">
        <v>332</v>
      </c>
      <c r="E830" s="34" t="s">
        <v>333</v>
      </c>
      <c r="F830" s="34" t="s">
        <v>522</v>
      </c>
      <c r="G830" s="34" t="s">
        <v>525</v>
      </c>
      <c r="H830" s="34" t="s">
        <v>209</v>
      </c>
      <c r="I830" s="34" t="s">
        <v>19</v>
      </c>
      <c r="J830" s="34" t="s">
        <v>204</v>
      </c>
      <c r="K830" s="34" t="s">
        <v>48</v>
      </c>
      <c r="L830" s="34" t="s">
        <v>47</v>
      </c>
      <c r="M830">
        <v>-3.9E-2</v>
      </c>
    </row>
    <row r="831" spans="1:13" x14ac:dyDescent="0.3">
      <c r="A831" s="34" t="s">
        <v>662</v>
      </c>
      <c r="B831">
        <v>-1</v>
      </c>
      <c r="C831">
        <v>2050</v>
      </c>
      <c r="D831" s="34" t="s">
        <v>332</v>
      </c>
      <c r="E831" s="34" t="s">
        <v>333</v>
      </c>
      <c r="F831" s="34" t="s">
        <v>522</v>
      </c>
      <c r="G831" s="34" t="s">
        <v>526</v>
      </c>
      <c r="H831" s="34" t="s">
        <v>40</v>
      </c>
      <c r="I831" s="34" t="s">
        <v>203</v>
      </c>
      <c r="J831" s="34" t="s">
        <v>204</v>
      </c>
      <c r="K831" s="34" t="s">
        <v>46</v>
      </c>
      <c r="L831" s="34" t="s">
        <v>47</v>
      </c>
      <c r="M831">
        <v>5.0000000000000001E-3</v>
      </c>
    </row>
    <row r="832" spans="1:13" x14ac:dyDescent="0.3">
      <c r="A832" s="34" t="s">
        <v>662</v>
      </c>
      <c r="B832">
        <v>-1</v>
      </c>
      <c r="C832">
        <v>2050</v>
      </c>
      <c r="D832" s="34" t="s">
        <v>332</v>
      </c>
      <c r="E832" s="34" t="s">
        <v>333</v>
      </c>
      <c r="F832" s="34" t="s">
        <v>522</v>
      </c>
      <c r="G832" s="34" t="s">
        <v>526</v>
      </c>
      <c r="H832" s="34" t="s">
        <v>40</v>
      </c>
      <c r="I832" s="34" t="s">
        <v>203</v>
      </c>
      <c r="J832" s="34" t="s">
        <v>204</v>
      </c>
      <c r="K832" s="34" t="s">
        <v>48</v>
      </c>
      <c r="L832" s="34" t="s">
        <v>47</v>
      </c>
      <c r="M832">
        <v>-5.0000000000000001E-3</v>
      </c>
    </row>
    <row r="833" spans="1:13" x14ac:dyDescent="0.3">
      <c r="A833" s="34" t="s">
        <v>662</v>
      </c>
      <c r="B833">
        <v>-1</v>
      </c>
      <c r="C833">
        <v>2050</v>
      </c>
      <c r="D833" s="34" t="s">
        <v>332</v>
      </c>
      <c r="E833" s="34" t="s">
        <v>333</v>
      </c>
      <c r="F833" s="34" t="s">
        <v>522</v>
      </c>
      <c r="G833" s="34" t="s">
        <v>526</v>
      </c>
      <c r="H833" s="34" t="s">
        <v>40</v>
      </c>
      <c r="I833" s="34" t="s">
        <v>19</v>
      </c>
      <c r="J833" s="34" t="s">
        <v>204</v>
      </c>
      <c r="K833" s="34" t="s">
        <v>46</v>
      </c>
      <c r="L833" s="34" t="s">
        <v>47</v>
      </c>
      <c r="M833">
        <v>4.0000000000000001E-3</v>
      </c>
    </row>
    <row r="834" spans="1:13" x14ac:dyDescent="0.3">
      <c r="A834" s="34" t="s">
        <v>662</v>
      </c>
      <c r="B834">
        <v>-1</v>
      </c>
      <c r="C834">
        <v>2050</v>
      </c>
      <c r="D834" s="34" t="s">
        <v>332</v>
      </c>
      <c r="E834" s="34" t="s">
        <v>333</v>
      </c>
      <c r="F834" s="34" t="s">
        <v>522</v>
      </c>
      <c r="G834" s="34" t="s">
        <v>526</v>
      </c>
      <c r="H834" s="34" t="s">
        <v>40</v>
      </c>
      <c r="I834" s="34" t="s">
        <v>19</v>
      </c>
      <c r="J834" s="34" t="s">
        <v>204</v>
      </c>
      <c r="K834" s="34" t="s">
        <v>48</v>
      </c>
      <c r="L834" s="34" t="s">
        <v>47</v>
      </c>
      <c r="M834">
        <v>-4.0000000000000001E-3</v>
      </c>
    </row>
    <row r="835" spans="1:13" x14ac:dyDescent="0.3">
      <c r="A835" s="34" t="s">
        <v>662</v>
      </c>
      <c r="B835">
        <v>-1</v>
      </c>
      <c r="C835">
        <v>2050</v>
      </c>
      <c r="D835" s="34" t="s">
        <v>332</v>
      </c>
      <c r="E835" s="34" t="s">
        <v>333</v>
      </c>
      <c r="F835" s="34" t="s">
        <v>522</v>
      </c>
      <c r="G835" s="34" t="s">
        <v>335</v>
      </c>
      <c r="H835" s="34" t="s">
        <v>237</v>
      </c>
      <c r="I835" s="34" t="s">
        <v>203</v>
      </c>
      <c r="J835" s="34" t="s">
        <v>204</v>
      </c>
      <c r="K835" s="34" t="s">
        <v>46</v>
      </c>
      <c r="L835" s="34" t="s">
        <v>47</v>
      </c>
      <c r="M835">
        <v>0.43399952260052516</v>
      </c>
    </row>
    <row r="836" spans="1:13" x14ac:dyDescent="0.3">
      <c r="A836" s="34" t="s">
        <v>662</v>
      </c>
      <c r="B836">
        <v>-1</v>
      </c>
      <c r="C836">
        <v>2050</v>
      </c>
      <c r="D836" s="34" t="s">
        <v>332</v>
      </c>
      <c r="E836" s="34" t="s">
        <v>333</v>
      </c>
      <c r="F836" s="34" t="s">
        <v>522</v>
      </c>
      <c r="G836" s="34" t="s">
        <v>335</v>
      </c>
      <c r="H836" s="34" t="s">
        <v>237</v>
      </c>
      <c r="I836" s="34" t="s">
        <v>203</v>
      </c>
      <c r="J836" s="34" t="s">
        <v>204</v>
      </c>
      <c r="K836" s="34" t="s">
        <v>48</v>
      </c>
      <c r="L836" s="34" t="s">
        <v>47</v>
      </c>
      <c r="M836">
        <v>-0.43399952260052516</v>
      </c>
    </row>
    <row r="837" spans="1:13" x14ac:dyDescent="0.3">
      <c r="A837" s="34" t="s">
        <v>662</v>
      </c>
      <c r="B837">
        <v>-1</v>
      </c>
      <c r="C837">
        <v>2050</v>
      </c>
      <c r="D837" s="34" t="s">
        <v>332</v>
      </c>
      <c r="E837" s="34" t="s">
        <v>333</v>
      </c>
      <c r="F837" s="34" t="s">
        <v>522</v>
      </c>
      <c r="G837" s="34" t="s">
        <v>335</v>
      </c>
      <c r="H837" s="34" t="s">
        <v>237</v>
      </c>
      <c r="I837" s="34" t="s">
        <v>19</v>
      </c>
      <c r="J837" s="34" t="s">
        <v>204</v>
      </c>
      <c r="K837" s="34" t="s">
        <v>46</v>
      </c>
      <c r="L837" s="34" t="s">
        <v>47</v>
      </c>
      <c r="M837">
        <v>0.16</v>
      </c>
    </row>
    <row r="838" spans="1:13" x14ac:dyDescent="0.3">
      <c r="A838" s="34" t="s">
        <v>662</v>
      </c>
      <c r="B838">
        <v>-1</v>
      </c>
      <c r="C838">
        <v>2050</v>
      </c>
      <c r="D838" s="34" t="s">
        <v>332</v>
      </c>
      <c r="E838" s="34" t="s">
        <v>333</v>
      </c>
      <c r="F838" s="34" t="s">
        <v>522</v>
      </c>
      <c r="G838" s="34" t="s">
        <v>335</v>
      </c>
      <c r="H838" s="34" t="s">
        <v>237</v>
      </c>
      <c r="I838" s="34" t="s">
        <v>19</v>
      </c>
      <c r="J838" s="34" t="s">
        <v>204</v>
      </c>
      <c r="K838" s="34" t="s">
        <v>48</v>
      </c>
      <c r="L838" s="34" t="s">
        <v>47</v>
      </c>
      <c r="M838">
        <v>-0.16</v>
      </c>
    </row>
    <row r="839" spans="1:13" x14ac:dyDescent="0.3">
      <c r="A839" s="34" t="s">
        <v>662</v>
      </c>
      <c r="B839">
        <v>-1</v>
      </c>
      <c r="C839">
        <v>2050</v>
      </c>
      <c r="D839" s="34" t="s">
        <v>332</v>
      </c>
      <c r="E839" s="34" t="s">
        <v>333</v>
      </c>
      <c r="F839" s="34" t="s">
        <v>522</v>
      </c>
      <c r="G839" s="34" t="s">
        <v>16</v>
      </c>
      <c r="H839" s="34" t="s">
        <v>12</v>
      </c>
      <c r="I839" s="34" t="s">
        <v>13</v>
      </c>
      <c r="J839" s="34" t="s">
        <v>14</v>
      </c>
      <c r="K839" s="34" t="s">
        <v>49</v>
      </c>
      <c r="L839" s="34" t="s">
        <v>47</v>
      </c>
      <c r="M839">
        <v>4.9581216781503077</v>
      </c>
    </row>
    <row r="840" spans="1:13" x14ac:dyDescent="0.3">
      <c r="A840" s="34" t="s">
        <v>662</v>
      </c>
      <c r="B840">
        <v>-1</v>
      </c>
      <c r="C840">
        <v>2050</v>
      </c>
      <c r="D840" s="34" t="s">
        <v>332</v>
      </c>
      <c r="E840" s="34" t="s">
        <v>333</v>
      </c>
      <c r="F840" s="34" t="s">
        <v>522</v>
      </c>
      <c r="G840" s="34" t="s">
        <v>41</v>
      </c>
      <c r="H840" s="34" t="s">
        <v>40</v>
      </c>
      <c r="I840" s="34" t="s">
        <v>13</v>
      </c>
      <c r="J840" s="34" t="s">
        <v>42</v>
      </c>
      <c r="K840" s="34" t="s">
        <v>46</v>
      </c>
      <c r="L840" s="34" t="s">
        <v>47</v>
      </c>
      <c r="M840">
        <v>4.5286203051066246E-2</v>
      </c>
    </row>
    <row r="841" spans="1:13" x14ac:dyDescent="0.3">
      <c r="A841" s="34" t="s">
        <v>662</v>
      </c>
      <c r="B841">
        <v>-1</v>
      </c>
      <c r="C841">
        <v>2050</v>
      </c>
      <c r="D841" s="34" t="s">
        <v>332</v>
      </c>
      <c r="E841" s="34" t="s">
        <v>333</v>
      </c>
      <c r="F841" s="34" t="s">
        <v>522</v>
      </c>
      <c r="G841" s="34" t="s">
        <v>41</v>
      </c>
      <c r="H841" s="34" t="s">
        <v>40</v>
      </c>
      <c r="I841" s="34" t="s">
        <v>13</v>
      </c>
      <c r="J841" s="34" t="s">
        <v>42</v>
      </c>
      <c r="K841" s="34" t="s">
        <v>48</v>
      </c>
      <c r="L841" s="34" t="s">
        <v>47</v>
      </c>
      <c r="M841">
        <v>-4.5286203051066246E-2</v>
      </c>
    </row>
    <row r="842" spans="1:13" x14ac:dyDescent="0.3">
      <c r="A842" s="34" t="s">
        <v>662</v>
      </c>
      <c r="B842">
        <v>-1</v>
      </c>
      <c r="C842">
        <v>2050</v>
      </c>
      <c r="D842" s="34" t="s">
        <v>332</v>
      </c>
      <c r="E842" s="34" t="s">
        <v>333</v>
      </c>
      <c r="F842" s="34" t="s">
        <v>527</v>
      </c>
      <c r="G842" s="34" t="s">
        <v>528</v>
      </c>
      <c r="H842" s="34" t="s">
        <v>53</v>
      </c>
      <c r="I842" s="34" t="s">
        <v>203</v>
      </c>
      <c r="J842" s="34" t="s">
        <v>204</v>
      </c>
      <c r="K842" s="34" t="s">
        <v>46</v>
      </c>
      <c r="L842" s="34" t="s">
        <v>47</v>
      </c>
      <c r="M842">
        <v>2.4999999999999998E-2</v>
      </c>
    </row>
    <row r="843" spans="1:13" x14ac:dyDescent="0.3">
      <c r="A843" s="34" t="s">
        <v>662</v>
      </c>
      <c r="B843">
        <v>-1</v>
      </c>
      <c r="C843">
        <v>2050</v>
      </c>
      <c r="D843" s="34" t="s">
        <v>332</v>
      </c>
      <c r="E843" s="34" t="s">
        <v>333</v>
      </c>
      <c r="F843" s="34" t="s">
        <v>527</v>
      </c>
      <c r="G843" s="34" t="s">
        <v>528</v>
      </c>
      <c r="H843" s="34" t="s">
        <v>53</v>
      </c>
      <c r="I843" s="34" t="s">
        <v>203</v>
      </c>
      <c r="J843" s="34" t="s">
        <v>204</v>
      </c>
      <c r="K843" s="34" t="s">
        <v>48</v>
      </c>
      <c r="L843" s="34" t="s">
        <v>47</v>
      </c>
      <c r="M843">
        <v>-2.4999999999999998E-2</v>
      </c>
    </row>
    <row r="844" spans="1:13" x14ac:dyDescent="0.3">
      <c r="A844" s="34" t="s">
        <v>662</v>
      </c>
      <c r="B844">
        <v>-1</v>
      </c>
      <c r="C844">
        <v>2050</v>
      </c>
      <c r="D844" s="34" t="s">
        <v>332</v>
      </c>
      <c r="E844" s="34" t="s">
        <v>333</v>
      </c>
      <c r="F844" s="34" t="s">
        <v>527</v>
      </c>
      <c r="G844" s="34" t="s">
        <v>528</v>
      </c>
      <c r="H844" s="34" t="s">
        <v>53</v>
      </c>
      <c r="I844" s="34" t="s">
        <v>19</v>
      </c>
      <c r="J844" s="34" t="s">
        <v>204</v>
      </c>
      <c r="K844" s="34" t="s">
        <v>46</v>
      </c>
      <c r="L844" s="34" t="s">
        <v>47</v>
      </c>
      <c r="M844">
        <v>2.5000000000000001E-3</v>
      </c>
    </row>
    <row r="845" spans="1:13" x14ac:dyDescent="0.3">
      <c r="A845" s="34" t="s">
        <v>662</v>
      </c>
      <c r="B845">
        <v>-1</v>
      </c>
      <c r="C845">
        <v>2050</v>
      </c>
      <c r="D845" s="34" t="s">
        <v>332</v>
      </c>
      <c r="E845" s="34" t="s">
        <v>333</v>
      </c>
      <c r="F845" s="34" t="s">
        <v>527</v>
      </c>
      <c r="G845" s="34" t="s">
        <v>528</v>
      </c>
      <c r="H845" s="34" t="s">
        <v>53</v>
      </c>
      <c r="I845" s="34" t="s">
        <v>19</v>
      </c>
      <c r="J845" s="34" t="s">
        <v>204</v>
      </c>
      <c r="K845" s="34" t="s">
        <v>48</v>
      </c>
      <c r="L845" s="34" t="s">
        <v>47</v>
      </c>
      <c r="M845">
        <v>-2.5000000000000001E-3</v>
      </c>
    </row>
    <row r="846" spans="1:13" x14ac:dyDescent="0.3">
      <c r="A846" s="34" t="s">
        <v>662</v>
      </c>
      <c r="B846">
        <v>-1</v>
      </c>
      <c r="C846">
        <v>2050</v>
      </c>
      <c r="D846" s="34" t="s">
        <v>332</v>
      </c>
      <c r="E846" s="34" t="s">
        <v>333</v>
      </c>
      <c r="F846" s="34" t="s">
        <v>529</v>
      </c>
      <c r="G846" s="34" t="s">
        <v>318</v>
      </c>
      <c r="H846" s="34" t="s">
        <v>40</v>
      </c>
      <c r="I846" s="34" t="s">
        <v>19</v>
      </c>
      <c r="J846" s="34" t="s">
        <v>27</v>
      </c>
      <c r="K846" s="34" t="s">
        <v>46</v>
      </c>
      <c r="L846" s="34" t="s">
        <v>47</v>
      </c>
      <c r="M846">
        <v>0.45500000000000002</v>
      </c>
    </row>
    <row r="847" spans="1:13" x14ac:dyDescent="0.3">
      <c r="A847" s="34" t="s">
        <v>662</v>
      </c>
      <c r="B847">
        <v>-1</v>
      </c>
      <c r="C847">
        <v>2050</v>
      </c>
      <c r="D847" s="34" t="s">
        <v>332</v>
      </c>
      <c r="E847" s="34" t="s">
        <v>333</v>
      </c>
      <c r="F847" s="34" t="s">
        <v>529</v>
      </c>
      <c r="G847" s="34" t="s">
        <v>318</v>
      </c>
      <c r="H847" s="34" t="s">
        <v>40</v>
      </c>
      <c r="I847" s="34" t="s">
        <v>19</v>
      </c>
      <c r="J847" s="34" t="s">
        <v>27</v>
      </c>
      <c r="K847" s="34" t="s">
        <v>48</v>
      </c>
      <c r="L847" s="34" t="s">
        <v>47</v>
      </c>
      <c r="M847">
        <v>-0.45500000000000002</v>
      </c>
    </row>
    <row r="848" spans="1:13" x14ac:dyDescent="0.3">
      <c r="A848" s="34" t="s">
        <v>662</v>
      </c>
      <c r="B848">
        <v>-1</v>
      </c>
      <c r="C848">
        <v>2050</v>
      </c>
      <c r="D848" s="34" t="s">
        <v>332</v>
      </c>
      <c r="E848" s="34" t="s">
        <v>333</v>
      </c>
      <c r="F848" s="34" t="s">
        <v>529</v>
      </c>
      <c r="G848" s="34" t="s">
        <v>530</v>
      </c>
      <c r="H848" s="34" t="s">
        <v>40</v>
      </c>
      <c r="I848" s="34" t="s">
        <v>19</v>
      </c>
      <c r="J848" s="34" t="s">
        <v>27</v>
      </c>
      <c r="K848" s="34" t="s">
        <v>46</v>
      </c>
      <c r="L848" s="34" t="s">
        <v>47</v>
      </c>
      <c r="M848">
        <v>0.6</v>
      </c>
    </row>
    <row r="849" spans="1:13" x14ac:dyDescent="0.3">
      <c r="A849" s="34" t="s">
        <v>662</v>
      </c>
      <c r="B849">
        <v>-1</v>
      </c>
      <c r="C849">
        <v>2050</v>
      </c>
      <c r="D849" s="34" t="s">
        <v>332</v>
      </c>
      <c r="E849" s="34" t="s">
        <v>333</v>
      </c>
      <c r="F849" s="34" t="s">
        <v>529</v>
      </c>
      <c r="G849" s="34" t="s">
        <v>530</v>
      </c>
      <c r="H849" s="34" t="s">
        <v>40</v>
      </c>
      <c r="I849" s="34" t="s">
        <v>19</v>
      </c>
      <c r="J849" s="34" t="s">
        <v>27</v>
      </c>
      <c r="K849" s="34" t="s">
        <v>48</v>
      </c>
      <c r="L849" s="34" t="s">
        <v>47</v>
      </c>
      <c r="M849">
        <v>-0.6</v>
      </c>
    </row>
    <row r="850" spans="1:13" x14ac:dyDescent="0.3">
      <c r="A850" s="34" t="s">
        <v>662</v>
      </c>
      <c r="B850">
        <v>-1</v>
      </c>
      <c r="C850">
        <v>2050</v>
      </c>
      <c r="D850" s="34" t="s">
        <v>332</v>
      </c>
      <c r="E850" s="34" t="s">
        <v>333</v>
      </c>
      <c r="F850" s="34" t="s">
        <v>529</v>
      </c>
      <c r="G850" s="34" t="s">
        <v>272</v>
      </c>
      <c r="H850" s="34" t="s">
        <v>40</v>
      </c>
      <c r="I850" s="34" t="s">
        <v>203</v>
      </c>
      <c r="J850" s="34" t="s">
        <v>204</v>
      </c>
      <c r="K850" s="34" t="s">
        <v>46</v>
      </c>
      <c r="L850" s="34" t="s">
        <v>47</v>
      </c>
      <c r="M850">
        <v>0.60400049662263056</v>
      </c>
    </row>
    <row r="851" spans="1:13" x14ac:dyDescent="0.3">
      <c r="A851" s="34" t="s">
        <v>662</v>
      </c>
      <c r="B851">
        <v>-1</v>
      </c>
      <c r="C851">
        <v>2050</v>
      </c>
      <c r="D851" s="34" t="s">
        <v>332</v>
      </c>
      <c r="E851" s="34" t="s">
        <v>333</v>
      </c>
      <c r="F851" s="34" t="s">
        <v>529</v>
      </c>
      <c r="G851" s="34" t="s">
        <v>272</v>
      </c>
      <c r="H851" s="34" t="s">
        <v>40</v>
      </c>
      <c r="I851" s="34" t="s">
        <v>203</v>
      </c>
      <c r="J851" s="34" t="s">
        <v>204</v>
      </c>
      <c r="K851" s="34" t="s">
        <v>48</v>
      </c>
      <c r="L851" s="34" t="s">
        <v>47</v>
      </c>
      <c r="M851">
        <v>-0.60400049662263056</v>
      </c>
    </row>
    <row r="852" spans="1:13" x14ac:dyDescent="0.3">
      <c r="A852" s="34" t="s">
        <v>662</v>
      </c>
      <c r="B852">
        <v>-1</v>
      </c>
      <c r="C852">
        <v>2050</v>
      </c>
      <c r="D852" s="34" t="s">
        <v>332</v>
      </c>
      <c r="E852" s="34" t="s">
        <v>333</v>
      </c>
      <c r="F852" s="34" t="s">
        <v>529</v>
      </c>
      <c r="G852" s="34" t="s">
        <v>272</v>
      </c>
      <c r="H852" s="34" t="s">
        <v>40</v>
      </c>
      <c r="I852" s="34" t="s">
        <v>19</v>
      </c>
      <c r="J852" s="34" t="s">
        <v>204</v>
      </c>
      <c r="K852" s="34" t="s">
        <v>46</v>
      </c>
      <c r="L852" s="34" t="s">
        <v>47</v>
      </c>
      <c r="M852">
        <v>0.36</v>
      </c>
    </row>
    <row r="853" spans="1:13" x14ac:dyDescent="0.3">
      <c r="A853" s="34" t="s">
        <v>662</v>
      </c>
      <c r="B853">
        <v>-1</v>
      </c>
      <c r="C853">
        <v>2050</v>
      </c>
      <c r="D853" s="34" t="s">
        <v>332</v>
      </c>
      <c r="E853" s="34" t="s">
        <v>333</v>
      </c>
      <c r="F853" s="34" t="s">
        <v>529</v>
      </c>
      <c r="G853" s="34" t="s">
        <v>272</v>
      </c>
      <c r="H853" s="34" t="s">
        <v>40</v>
      </c>
      <c r="I853" s="34" t="s">
        <v>19</v>
      </c>
      <c r="J853" s="34" t="s">
        <v>204</v>
      </c>
      <c r="K853" s="34" t="s">
        <v>48</v>
      </c>
      <c r="L853" s="34" t="s">
        <v>47</v>
      </c>
      <c r="M853">
        <v>-0.36</v>
      </c>
    </row>
    <row r="854" spans="1:13" x14ac:dyDescent="0.3">
      <c r="A854" s="34" t="s">
        <v>662</v>
      </c>
      <c r="B854">
        <v>-1</v>
      </c>
      <c r="C854">
        <v>2050</v>
      </c>
      <c r="D854" s="34" t="s">
        <v>332</v>
      </c>
      <c r="E854" s="34" t="s">
        <v>333</v>
      </c>
      <c r="F854" s="34" t="s">
        <v>609</v>
      </c>
      <c r="G854" s="34" t="s">
        <v>28</v>
      </c>
      <c r="H854" s="34" t="s">
        <v>23</v>
      </c>
      <c r="I854" s="34" t="s">
        <v>19</v>
      </c>
      <c r="J854" s="34" t="s">
        <v>24</v>
      </c>
      <c r="K854" s="34" t="s">
        <v>46</v>
      </c>
      <c r="L854" s="34" t="s">
        <v>47</v>
      </c>
      <c r="M854">
        <v>0.08</v>
      </c>
    </row>
    <row r="855" spans="1:13" x14ac:dyDescent="0.3">
      <c r="A855" s="34" t="s">
        <v>662</v>
      </c>
      <c r="B855">
        <v>-1</v>
      </c>
      <c r="C855">
        <v>2050</v>
      </c>
      <c r="D855" s="34" t="s">
        <v>332</v>
      </c>
      <c r="E855" s="34" t="s">
        <v>333</v>
      </c>
      <c r="F855" s="34" t="s">
        <v>609</v>
      </c>
      <c r="G855" s="34" t="s">
        <v>29</v>
      </c>
      <c r="H855" s="34" t="s">
        <v>21</v>
      </c>
      <c r="I855" s="34" t="s">
        <v>19</v>
      </c>
      <c r="J855" s="34" t="s">
        <v>22</v>
      </c>
      <c r="K855" s="34" t="s">
        <v>46</v>
      </c>
      <c r="L855" s="34" t="s">
        <v>47</v>
      </c>
      <c r="M855">
        <v>0.1383971</v>
      </c>
    </row>
    <row r="856" spans="1:13" x14ac:dyDescent="0.3">
      <c r="A856" s="34" t="s">
        <v>662</v>
      </c>
      <c r="B856">
        <v>-1</v>
      </c>
      <c r="C856">
        <v>2050</v>
      </c>
      <c r="D856" s="34" t="s">
        <v>332</v>
      </c>
      <c r="E856" s="34" t="s">
        <v>333</v>
      </c>
      <c r="F856" s="34" t="s">
        <v>609</v>
      </c>
      <c r="G856" s="34" t="s">
        <v>29</v>
      </c>
      <c r="H856" s="34" t="s">
        <v>21</v>
      </c>
      <c r="I856" s="34" t="s">
        <v>19</v>
      </c>
      <c r="J856" s="34" t="s">
        <v>22</v>
      </c>
      <c r="K856" s="34" t="s">
        <v>48</v>
      </c>
      <c r="L856" s="34" t="s">
        <v>47</v>
      </c>
      <c r="M856">
        <v>-0.1383971</v>
      </c>
    </row>
    <row r="857" spans="1:13" x14ac:dyDescent="0.3">
      <c r="A857" s="34" t="s">
        <v>662</v>
      </c>
      <c r="B857">
        <v>-1</v>
      </c>
      <c r="C857">
        <v>2050</v>
      </c>
      <c r="D857" s="34" t="s">
        <v>332</v>
      </c>
      <c r="E857" s="34" t="s">
        <v>333</v>
      </c>
      <c r="F857" s="34" t="s">
        <v>609</v>
      </c>
      <c r="G857" s="34" t="s">
        <v>20</v>
      </c>
      <c r="H857" s="34" t="s">
        <v>21</v>
      </c>
      <c r="I857" s="34" t="s">
        <v>19</v>
      </c>
      <c r="J857" s="34" t="s">
        <v>22</v>
      </c>
      <c r="K857" s="34" t="s">
        <v>46</v>
      </c>
      <c r="L857" s="34" t="s">
        <v>47</v>
      </c>
      <c r="M857">
        <v>0.29939379999999999</v>
      </c>
    </row>
    <row r="858" spans="1:13" x14ac:dyDescent="0.3">
      <c r="A858" s="34" t="s">
        <v>662</v>
      </c>
      <c r="B858">
        <v>-1</v>
      </c>
      <c r="C858">
        <v>2050</v>
      </c>
      <c r="D858" s="34" t="s">
        <v>332</v>
      </c>
      <c r="E858" s="34" t="s">
        <v>333</v>
      </c>
      <c r="F858" s="34" t="s">
        <v>609</v>
      </c>
      <c r="G858" s="34" t="s">
        <v>20</v>
      </c>
      <c r="H858" s="34" t="s">
        <v>21</v>
      </c>
      <c r="I858" s="34" t="s">
        <v>19</v>
      </c>
      <c r="J858" s="34" t="s">
        <v>22</v>
      </c>
      <c r="K858" s="34" t="s">
        <v>48</v>
      </c>
      <c r="L858" s="34" t="s">
        <v>47</v>
      </c>
      <c r="M858">
        <v>-0.29939379999999999</v>
      </c>
    </row>
    <row r="859" spans="1:13" x14ac:dyDescent="0.3">
      <c r="A859" s="34" t="s">
        <v>662</v>
      </c>
      <c r="B859">
        <v>-1</v>
      </c>
      <c r="C859">
        <v>2050</v>
      </c>
      <c r="D859" s="34" t="s">
        <v>332</v>
      </c>
      <c r="E859" s="34" t="s">
        <v>333</v>
      </c>
      <c r="F859" s="34" t="s">
        <v>609</v>
      </c>
      <c r="G859" s="34" t="s">
        <v>30</v>
      </c>
      <c r="H859" s="34" t="s">
        <v>21</v>
      </c>
      <c r="I859" s="34" t="s">
        <v>19</v>
      </c>
      <c r="J859" s="34" t="s">
        <v>22</v>
      </c>
      <c r="K859" s="34" t="s">
        <v>46</v>
      </c>
      <c r="L859" s="34" t="s">
        <v>47</v>
      </c>
      <c r="M859">
        <v>7.1260000000000004E-2</v>
      </c>
    </row>
    <row r="860" spans="1:13" x14ac:dyDescent="0.3">
      <c r="A860" s="34" t="s">
        <v>662</v>
      </c>
      <c r="B860">
        <v>-1</v>
      </c>
      <c r="C860">
        <v>2050</v>
      </c>
      <c r="D860" s="34" t="s">
        <v>332</v>
      </c>
      <c r="E860" s="34" t="s">
        <v>333</v>
      </c>
      <c r="F860" s="34" t="s">
        <v>609</v>
      </c>
      <c r="G860" s="34" t="s">
        <v>30</v>
      </c>
      <c r="H860" s="34" t="s">
        <v>21</v>
      </c>
      <c r="I860" s="34" t="s">
        <v>19</v>
      </c>
      <c r="J860" s="34" t="s">
        <v>22</v>
      </c>
      <c r="K860" s="34" t="s">
        <v>48</v>
      </c>
      <c r="L860" s="34" t="s">
        <v>47</v>
      </c>
      <c r="M860">
        <v>-7.1260000000000004E-2</v>
      </c>
    </row>
    <row r="861" spans="1:13" x14ac:dyDescent="0.3">
      <c r="A861" s="34" t="s">
        <v>662</v>
      </c>
      <c r="B861">
        <v>-1</v>
      </c>
      <c r="C861">
        <v>2050</v>
      </c>
      <c r="D861" s="34" t="s">
        <v>332</v>
      </c>
      <c r="E861" s="34" t="s">
        <v>333</v>
      </c>
      <c r="F861" s="34" t="s">
        <v>609</v>
      </c>
      <c r="G861" s="34" t="s">
        <v>644</v>
      </c>
      <c r="H861" s="34" t="s">
        <v>21</v>
      </c>
      <c r="I861" s="34" t="s">
        <v>19</v>
      </c>
      <c r="J861" s="34" t="s">
        <v>22</v>
      </c>
      <c r="K861" s="34" t="s">
        <v>49</v>
      </c>
      <c r="L861" s="34" t="s">
        <v>47</v>
      </c>
      <c r="M861">
        <v>21.400000000000002</v>
      </c>
    </row>
    <row r="862" spans="1:13" x14ac:dyDescent="0.3">
      <c r="A862" s="34" t="s">
        <v>662</v>
      </c>
      <c r="B862">
        <v>-1</v>
      </c>
      <c r="C862">
        <v>2050</v>
      </c>
      <c r="D862" s="34" t="s">
        <v>336</v>
      </c>
      <c r="E862" s="34" t="s">
        <v>337</v>
      </c>
      <c r="F862" s="34" t="s">
        <v>531</v>
      </c>
      <c r="G862" s="34" t="s">
        <v>532</v>
      </c>
      <c r="H862" s="34" t="s">
        <v>268</v>
      </c>
      <c r="I862" s="34" t="s">
        <v>203</v>
      </c>
      <c r="J862" s="34" t="s">
        <v>204</v>
      </c>
      <c r="K862" s="34" t="s">
        <v>46</v>
      </c>
      <c r="L862" s="34" t="s">
        <v>47</v>
      </c>
      <c r="M862">
        <v>1.5954545454545455</v>
      </c>
    </row>
    <row r="863" spans="1:13" x14ac:dyDescent="0.3">
      <c r="A863" s="34" t="s">
        <v>662</v>
      </c>
      <c r="B863">
        <v>-1</v>
      </c>
      <c r="C863">
        <v>2050</v>
      </c>
      <c r="D863" s="34" t="s">
        <v>336</v>
      </c>
      <c r="E863" s="34" t="s">
        <v>337</v>
      </c>
      <c r="F863" s="34" t="s">
        <v>531</v>
      </c>
      <c r="G863" s="34" t="s">
        <v>532</v>
      </c>
      <c r="H863" s="34" t="s">
        <v>268</v>
      </c>
      <c r="I863" s="34" t="s">
        <v>203</v>
      </c>
      <c r="J863" s="34" t="s">
        <v>204</v>
      </c>
      <c r="K863" s="34" t="s">
        <v>48</v>
      </c>
      <c r="L863" s="34" t="s">
        <v>47</v>
      </c>
      <c r="M863">
        <v>-1.5954545454545455</v>
      </c>
    </row>
    <row r="864" spans="1:13" x14ac:dyDescent="0.3">
      <c r="A864" s="34" t="s">
        <v>662</v>
      </c>
      <c r="B864">
        <v>-1</v>
      </c>
      <c r="C864">
        <v>2050</v>
      </c>
      <c r="D864" s="34" t="s">
        <v>336</v>
      </c>
      <c r="E864" s="34" t="s">
        <v>337</v>
      </c>
      <c r="F864" s="34" t="s">
        <v>531</v>
      </c>
      <c r="G864" s="34" t="s">
        <v>532</v>
      </c>
      <c r="H864" s="34" t="s">
        <v>268</v>
      </c>
      <c r="I864" s="34" t="s">
        <v>19</v>
      </c>
      <c r="J864" s="34" t="s">
        <v>204</v>
      </c>
      <c r="K864" s="34" t="s">
        <v>46</v>
      </c>
      <c r="L864" s="34" t="s">
        <v>47</v>
      </c>
      <c r="M864">
        <v>1.7550000000000001</v>
      </c>
    </row>
    <row r="865" spans="1:13" x14ac:dyDescent="0.3">
      <c r="A865" s="34" t="s">
        <v>662</v>
      </c>
      <c r="B865">
        <v>-1</v>
      </c>
      <c r="C865">
        <v>2050</v>
      </c>
      <c r="D865" s="34" t="s">
        <v>336</v>
      </c>
      <c r="E865" s="34" t="s">
        <v>337</v>
      </c>
      <c r="F865" s="34" t="s">
        <v>531</v>
      </c>
      <c r="G865" s="34" t="s">
        <v>532</v>
      </c>
      <c r="H865" s="34" t="s">
        <v>268</v>
      </c>
      <c r="I865" s="34" t="s">
        <v>19</v>
      </c>
      <c r="J865" s="34" t="s">
        <v>204</v>
      </c>
      <c r="K865" s="34" t="s">
        <v>48</v>
      </c>
      <c r="L865" s="34" t="s">
        <v>47</v>
      </c>
      <c r="M865">
        <v>-1.7550000000000001</v>
      </c>
    </row>
    <row r="866" spans="1:13" x14ac:dyDescent="0.3">
      <c r="A866" s="34" t="s">
        <v>662</v>
      </c>
      <c r="B866">
        <v>-1</v>
      </c>
      <c r="C866">
        <v>2050</v>
      </c>
      <c r="D866" s="34" t="s">
        <v>336</v>
      </c>
      <c r="E866" s="34" t="s">
        <v>337</v>
      </c>
      <c r="F866" s="34" t="s">
        <v>531</v>
      </c>
      <c r="G866" s="34" t="s">
        <v>533</v>
      </c>
      <c r="H866" s="34" t="s">
        <v>268</v>
      </c>
      <c r="I866" s="34" t="s">
        <v>203</v>
      </c>
      <c r="J866" s="34" t="s">
        <v>204</v>
      </c>
      <c r="K866" s="34" t="s">
        <v>46</v>
      </c>
      <c r="L866" s="34" t="s">
        <v>47</v>
      </c>
      <c r="M866">
        <v>0.37582417582417588</v>
      </c>
    </row>
    <row r="867" spans="1:13" x14ac:dyDescent="0.3">
      <c r="A867" s="34" t="s">
        <v>662</v>
      </c>
      <c r="B867">
        <v>-1</v>
      </c>
      <c r="C867">
        <v>2050</v>
      </c>
      <c r="D867" s="34" t="s">
        <v>336</v>
      </c>
      <c r="E867" s="34" t="s">
        <v>337</v>
      </c>
      <c r="F867" s="34" t="s">
        <v>531</v>
      </c>
      <c r="G867" s="34" t="s">
        <v>533</v>
      </c>
      <c r="H867" s="34" t="s">
        <v>268</v>
      </c>
      <c r="I867" s="34" t="s">
        <v>203</v>
      </c>
      <c r="J867" s="34" t="s">
        <v>204</v>
      </c>
      <c r="K867" s="34" t="s">
        <v>48</v>
      </c>
      <c r="L867" s="34" t="s">
        <v>47</v>
      </c>
      <c r="M867">
        <v>-0.37582417582417588</v>
      </c>
    </row>
    <row r="868" spans="1:13" x14ac:dyDescent="0.3">
      <c r="A868" s="34" t="s">
        <v>662</v>
      </c>
      <c r="B868">
        <v>-1</v>
      </c>
      <c r="C868">
        <v>2050</v>
      </c>
      <c r="D868" s="34" t="s">
        <v>336</v>
      </c>
      <c r="E868" s="34" t="s">
        <v>337</v>
      </c>
      <c r="F868" s="34" t="s">
        <v>531</v>
      </c>
      <c r="G868" s="34" t="s">
        <v>533</v>
      </c>
      <c r="H868" s="34" t="s">
        <v>268</v>
      </c>
      <c r="I868" s="34" t="s">
        <v>19</v>
      </c>
      <c r="J868" s="34" t="s">
        <v>204</v>
      </c>
      <c r="K868" s="34" t="s">
        <v>46</v>
      </c>
      <c r="L868" s="34" t="s">
        <v>47</v>
      </c>
      <c r="M868">
        <v>0.34200000000000003</v>
      </c>
    </row>
    <row r="869" spans="1:13" x14ac:dyDescent="0.3">
      <c r="A869" s="34" t="s">
        <v>662</v>
      </c>
      <c r="B869">
        <v>-1</v>
      </c>
      <c r="C869">
        <v>2050</v>
      </c>
      <c r="D869" s="34" t="s">
        <v>336</v>
      </c>
      <c r="E869" s="34" t="s">
        <v>337</v>
      </c>
      <c r="F869" s="34" t="s">
        <v>531</v>
      </c>
      <c r="G869" s="34" t="s">
        <v>533</v>
      </c>
      <c r="H869" s="34" t="s">
        <v>268</v>
      </c>
      <c r="I869" s="34" t="s">
        <v>19</v>
      </c>
      <c r="J869" s="34" t="s">
        <v>204</v>
      </c>
      <c r="K869" s="34" t="s">
        <v>48</v>
      </c>
      <c r="L869" s="34" t="s">
        <v>47</v>
      </c>
      <c r="M869">
        <v>-0.34200000000000003</v>
      </c>
    </row>
    <row r="870" spans="1:13" x14ac:dyDescent="0.3">
      <c r="A870" s="34" t="s">
        <v>662</v>
      </c>
      <c r="B870">
        <v>-1</v>
      </c>
      <c r="C870">
        <v>2050</v>
      </c>
      <c r="D870" s="34" t="s">
        <v>336</v>
      </c>
      <c r="E870" s="34" t="s">
        <v>337</v>
      </c>
      <c r="F870" s="34" t="s">
        <v>531</v>
      </c>
      <c r="G870" s="34" t="s">
        <v>534</v>
      </c>
      <c r="H870" s="34" t="s">
        <v>39</v>
      </c>
      <c r="I870" s="34" t="s">
        <v>19</v>
      </c>
      <c r="J870" s="34" t="s">
        <v>27</v>
      </c>
      <c r="K870" s="34" t="s">
        <v>46</v>
      </c>
      <c r="L870" s="34" t="s">
        <v>47</v>
      </c>
      <c r="M870">
        <v>2.1000000000000001E-2</v>
      </c>
    </row>
    <row r="871" spans="1:13" x14ac:dyDescent="0.3">
      <c r="A871" s="34" t="s">
        <v>662</v>
      </c>
      <c r="B871">
        <v>-1</v>
      </c>
      <c r="C871">
        <v>2050</v>
      </c>
      <c r="D871" s="34" t="s">
        <v>336</v>
      </c>
      <c r="E871" s="34" t="s">
        <v>337</v>
      </c>
      <c r="F871" s="34" t="s">
        <v>531</v>
      </c>
      <c r="G871" s="34" t="s">
        <v>534</v>
      </c>
      <c r="H871" s="34" t="s">
        <v>39</v>
      </c>
      <c r="I871" s="34" t="s">
        <v>19</v>
      </c>
      <c r="J871" s="34" t="s">
        <v>27</v>
      </c>
      <c r="K871" s="34" t="s">
        <v>48</v>
      </c>
      <c r="L871" s="34" t="s">
        <v>47</v>
      </c>
      <c r="M871">
        <v>-2.1000000000000001E-2</v>
      </c>
    </row>
    <row r="872" spans="1:13" x14ac:dyDescent="0.3">
      <c r="A872" s="34" t="s">
        <v>662</v>
      </c>
      <c r="B872">
        <v>-1</v>
      </c>
      <c r="C872">
        <v>2050</v>
      </c>
      <c r="D872" s="34" t="s">
        <v>336</v>
      </c>
      <c r="E872" s="34" t="s">
        <v>337</v>
      </c>
      <c r="F872" s="34" t="s">
        <v>531</v>
      </c>
      <c r="G872" s="34" t="s">
        <v>535</v>
      </c>
      <c r="H872" s="34" t="s">
        <v>39</v>
      </c>
      <c r="I872" s="34" t="s">
        <v>203</v>
      </c>
      <c r="J872" s="34" t="s">
        <v>204</v>
      </c>
      <c r="K872" s="34" t="s">
        <v>46</v>
      </c>
      <c r="L872" s="34" t="s">
        <v>47</v>
      </c>
      <c r="M872">
        <v>6.25E-2</v>
      </c>
    </row>
    <row r="873" spans="1:13" x14ac:dyDescent="0.3">
      <c r="A873" s="34" t="s">
        <v>662</v>
      </c>
      <c r="B873">
        <v>-1</v>
      </c>
      <c r="C873">
        <v>2050</v>
      </c>
      <c r="D873" s="34" t="s">
        <v>336</v>
      </c>
      <c r="E873" s="34" t="s">
        <v>337</v>
      </c>
      <c r="F873" s="34" t="s">
        <v>531</v>
      </c>
      <c r="G873" s="34" t="s">
        <v>535</v>
      </c>
      <c r="H873" s="34" t="s">
        <v>39</v>
      </c>
      <c r="I873" s="34" t="s">
        <v>203</v>
      </c>
      <c r="J873" s="34" t="s">
        <v>204</v>
      </c>
      <c r="K873" s="34" t="s">
        <v>48</v>
      </c>
      <c r="L873" s="34" t="s">
        <v>47</v>
      </c>
      <c r="M873">
        <v>-6.25E-2</v>
      </c>
    </row>
    <row r="874" spans="1:13" x14ac:dyDescent="0.3">
      <c r="A874" s="34" t="s">
        <v>662</v>
      </c>
      <c r="B874">
        <v>-1</v>
      </c>
      <c r="C874">
        <v>2050</v>
      </c>
      <c r="D874" s="34" t="s">
        <v>336</v>
      </c>
      <c r="E874" s="34" t="s">
        <v>337</v>
      </c>
      <c r="F874" s="34" t="s">
        <v>531</v>
      </c>
      <c r="G874" s="34" t="s">
        <v>535</v>
      </c>
      <c r="H874" s="34" t="s">
        <v>39</v>
      </c>
      <c r="I874" s="34" t="s">
        <v>19</v>
      </c>
      <c r="J874" s="34" t="s">
        <v>204</v>
      </c>
      <c r="K874" s="34" t="s">
        <v>46</v>
      </c>
      <c r="L874" s="34" t="s">
        <v>47</v>
      </c>
      <c r="M874">
        <v>0.03</v>
      </c>
    </row>
    <row r="875" spans="1:13" x14ac:dyDescent="0.3">
      <c r="A875" s="34" t="s">
        <v>662</v>
      </c>
      <c r="B875">
        <v>-1</v>
      </c>
      <c r="C875">
        <v>2050</v>
      </c>
      <c r="D875" s="34" t="s">
        <v>336</v>
      </c>
      <c r="E875" s="34" t="s">
        <v>337</v>
      </c>
      <c r="F875" s="34" t="s">
        <v>531</v>
      </c>
      <c r="G875" s="34" t="s">
        <v>535</v>
      </c>
      <c r="H875" s="34" t="s">
        <v>39</v>
      </c>
      <c r="I875" s="34" t="s">
        <v>19</v>
      </c>
      <c r="J875" s="34" t="s">
        <v>204</v>
      </c>
      <c r="K875" s="34" t="s">
        <v>48</v>
      </c>
      <c r="L875" s="34" t="s">
        <v>47</v>
      </c>
      <c r="M875">
        <v>-0.03</v>
      </c>
    </row>
    <row r="876" spans="1:13" x14ac:dyDescent="0.3">
      <c r="A876" s="34" t="s">
        <v>662</v>
      </c>
      <c r="B876">
        <v>-1</v>
      </c>
      <c r="C876">
        <v>2050</v>
      </c>
      <c r="D876" s="34" t="s">
        <v>336</v>
      </c>
      <c r="E876" s="34" t="s">
        <v>337</v>
      </c>
      <c r="F876" s="34" t="s">
        <v>531</v>
      </c>
      <c r="G876" s="34" t="s">
        <v>536</v>
      </c>
      <c r="H876" s="34" t="s">
        <v>39</v>
      </c>
      <c r="I876" s="34" t="s">
        <v>203</v>
      </c>
      <c r="J876" s="34" t="s">
        <v>204</v>
      </c>
      <c r="K876" s="34" t="s">
        <v>46</v>
      </c>
      <c r="L876" s="34" t="s">
        <v>47</v>
      </c>
      <c r="M876">
        <v>0.91853932584269671</v>
      </c>
    </row>
    <row r="877" spans="1:13" x14ac:dyDescent="0.3">
      <c r="A877" s="34" t="s">
        <v>662</v>
      </c>
      <c r="B877">
        <v>-1</v>
      </c>
      <c r="C877">
        <v>2050</v>
      </c>
      <c r="D877" s="34" t="s">
        <v>336</v>
      </c>
      <c r="E877" s="34" t="s">
        <v>337</v>
      </c>
      <c r="F877" s="34" t="s">
        <v>531</v>
      </c>
      <c r="G877" s="34" t="s">
        <v>536</v>
      </c>
      <c r="H877" s="34" t="s">
        <v>39</v>
      </c>
      <c r="I877" s="34" t="s">
        <v>203</v>
      </c>
      <c r="J877" s="34" t="s">
        <v>204</v>
      </c>
      <c r="K877" s="34" t="s">
        <v>48</v>
      </c>
      <c r="L877" s="34" t="s">
        <v>47</v>
      </c>
      <c r="M877">
        <v>-0.91853932584269671</v>
      </c>
    </row>
    <row r="878" spans="1:13" x14ac:dyDescent="0.3">
      <c r="A878" s="34" t="s">
        <v>662</v>
      </c>
      <c r="B878">
        <v>-1</v>
      </c>
      <c r="C878">
        <v>2050</v>
      </c>
      <c r="D878" s="34" t="s">
        <v>336</v>
      </c>
      <c r="E878" s="34" t="s">
        <v>337</v>
      </c>
      <c r="F878" s="34" t="s">
        <v>531</v>
      </c>
      <c r="G878" s="34" t="s">
        <v>536</v>
      </c>
      <c r="H878" s="34" t="s">
        <v>39</v>
      </c>
      <c r="I878" s="34" t="s">
        <v>19</v>
      </c>
      <c r="J878" s="34" t="s">
        <v>204</v>
      </c>
      <c r="K878" s="34" t="s">
        <v>46</v>
      </c>
      <c r="L878" s="34" t="s">
        <v>47</v>
      </c>
      <c r="M878">
        <v>0.32700000000000001</v>
      </c>
    </row>
    <row r="879" spans="1:13" x14ac:dyDescent="0.3">
      <c r="A879" s="34" t="s">
        <v>662</v>
      </c>
      <c r="B879">
        <v>-1</v>
      </c>
      <c r="C879">
        <v>2050</v>
      </c>
      <c r="D879" s="34" t="s">
        <v>336</v>
      </c>
      <c r="E879" s="34" t="s">
        <v>337</v>
      </c>
      <c r="F879" s="34" t="s">
        <v>531</v>
      </c>
      <c r="G879" s="34" t="s">
        <v>536</v>
      </c>
      <c r="H879" s="34" t="s">
        <v>39</v>
      </c>
      <c r="I879" s="34" t="s">
        <v>19</v>
      </c>
      <c r="J879" s="34" t="s">
        <v>204</v>
      </c>
      <c r="K879" s="34" t="s">
        <v>48</v>
      </c>
      <c r="L879" s="34" t="s">
        <v>47</v>
      </c>
      <c r="M879">
        <v>-0.32700000000000001</v>
      </c>
    </row>
    <row r="880" spans="1:13" x14ac:dyDescent="0.3">
      <c r="A880" s="34" t="s">
        <v>662</v>
      </c>
      <c r="B880">
        <v>-1</v>
      </c>
      <c r="C880">
        <v>2050</v>
      </c>
      <c r="D880" s="34" t="s">
        <v>336</v>
      </c>
      <c r="E880" s="34" t="s">
        <v>337</v>
      </c>
      <c r="F880" s="34" t="s">
        <v>531</v>
      </c>
      <c r="G880" s="34" t="s">
        <v>537</v>
      </c>
      <c r="H880" s="34" t="s">
        <v>39</v>
      </c>
      <c r="I880" s="34" t="s">
        <v>203</v>
      </c>
      <c r="J880" s="34" t="s">
        <v>204</v>
      </c>
      <c r="K880" s="34" t="s">
        <v>46</v>
      </c>
      <c r="L880" s="34" t="s">
        <v>47</v>
      </c>
      <c r="M880">
        <v>6.3750000000000001E-2</v>
      </c>
    </row>
    <row r="881" spans="1:13" x14ac:dyDescent="0.3">
      <c r="A881" s="34" t="s">
        <v>662</v>
      </c>
      <c r="B881">
        <v>-1</v>
      </c>
      <c r="C881">
        <v>2050</v>
      </c>
      <c r="D881" s="34" t="s">
        <v>336</v>
      </c>
      <c r="E881" s="34" t="s">
        <v>337</v>
      </c>
      <c r="F881" s="34" t="s">
        <v>531</v>
      </c>
      <c r="G881" s="34" t="s">
        <v>537</v>
      </c>
      <c r="H881" s="34" t="s">
        <v>39</v>
      </c>
      <c r="I881" s="34" t="s">
        <v>203</v>
      </c>
      <c r="J881" s="34" t="s">
        <v>204</v>
      </c>
      <c r="K881" s="34" t="s">
        <v>48</v>
      </c>
      <c r="L881" s="34" t="s">
        <v>47</v>
      </c>
      <c r="M881">
        <v>-6.3750000000000001E-2</v>
      </c>
    </row>
    <row r="882" spans="1:13" x14ac:dyDescent="0.3">
      <c r="A882" s="34" t="s">
        <v>662</v>
      </c>
      <c r="B882">
        <v>-1</v>
      </c>
      <c r="C882">
        <v>2050</v>
      </c>
      <c r="D882" s="34" t="s">
        <v>336</v>
      </c>
      <c r="E882" s="34" t="s">
        <v>337</v>
      </c>
      <c r="F882" s="34" t="s">
        <v>531</v>
      </c>
      <c r="G882" s="34" t="s">
        <v>537</v>
      </c>
      <c r="H882" s="34" t="s">
        <v>39</v>
      </c>
      <c r="I882" s="34" t="s">
        <v>19</v>
      </c>
      <c r="J882" s="34" t="s">
        <v>204</v>
      </c>
      <c r="K882" s="34" t="s">
        <v>46</v>
      </c>
      <c r="L882" s="34" t="s">
        <v>47</v>
      </c>
      <c r="M882">
        <v>0.20400000000000001</v>
      </c>
    </row>
    <row r="883" spans="1:13" x14ac:dyDescent="0.3">
      <c r="A883" s="34" t="s">
        <v>662</v>
      </c>
      <c r="B883">
        <v>-1</v>
      </c>
      <c r="C883">
        <v>2050</v>
      </c>
      <c r="D883" s="34" t="s">
        <v>336</v>
      </c>
      <c r="E883" s="34" t="s">
        <v>337</v>
      </c>
      <c r="F883" s="34" t="s">
        <v>531</v>
      </c>
      <c r="G883" s="34" t="s">
        <v>537</v>
      </c>
      <c r="H883" s="34" t="s">
        <v>39</v>
      </c>
      <c r="I883" s="34" t="s">
        <v>19</v>
      </c>
      <c r="J883" s="34" t="s">
        <v>204</v>
      </c>
      <c r="K883" s="34" t="s">
        <v>48</v>
      </c>
      <c r="L883" s="34" t="s">
        <v>47</v>
      </c>
      <c r="M883">
        <v>-0.20400000000000001</v>
      </c>
    </row>
    <row r="884" spans="1:13" x14ac:dyDescent="0.3">
      <c r="A884" s="34" t="s">
        <v>662</v>
      </c>
      <c r="B884">
        <v>-1</v>
      </c>
      <c r="C884">
        <v>2050</v>
      </c>
      <c r="D884" s="34" t="s">
        <v>336</v>
      </c>
      <c r="E884" s="34" t="s">
        <v>337</v>
      </c>
      <c r="F884" s="34" t="s">
        <v>531</v>
      </c>
      <c r="G884" s="34" t="s">
        <v>320</v>
      </c>
      <c r="H884" s="34" t="s">
        <v>40</v>
      </c>
      <c r="I884" s="34" t="s">
        <v>19</v>
      </c>
      <c r="J884" s="34" t="s">
        <v>27</v>
      </c>
      <c r="K884" s="34" t="s">
        <v>46</v>
      </c>
      <c r="L884" s="34" t="s">
        <v>47</v>
      </c>
      <c r="M884">
        <v>2.6</v>
      </c>
    </row>
    <row r="885" spans="1:13" x14ac:dyDescent="0.3">
      <c r="A885" s="34" t="s">
        <v>662</v>
      </c>
      <c r="B885">
        <v>-1</v>
      </c>
      <c r="C885">
        <v>2050</v>
      </c>
      <c r="D885" s="34" t="s">
        <v>336</v>
      </c>
      <c r="E885" s="34" t="s">
        <v>337</v>
      </c>
      <c r="F885" s="34" t="s">
        <v>531</v>
      </c>
      <c r="G885" s="34" t="s">
        <v>320</v>
      </c>
      <c r="H885" s="34" t="s">
        <v>40</v>
      </c>
      <c r="I885" s="34" t="s">
        <v>19</v>
      </c>
      <c r="J885" s="34" t="s">
        <v>27</v>
      </c>
      <c r="K885" s="34" t="s">
        <v>48</v>
      </c>
      <c r="L885" s="34" t="s">
        <v>47</v>
      </c>
      <c r="M885">
        <v>-2.6</v>
      </c>
    </row>
    <row r="886" spans="1:13" x14ac:dyDescent="0.3">
      <c r="A886" s="34" t="s">
        <v>662</v>
      </c>
      <c r="B886">
        <v>-1</v>
      </c>
      <c r="C886">
        <v>2050</v>
      </c>
      <c r="D886" s="34" t="s">
        <v>336</v>
      </c>
      <c r="E886" s="34" t="s">
        <v>337</v>
      </c>
      <c r="F886" s="34" t="s">
        <v>531</v>
      </c>
      <c r="G886" s="34" t="s">
        <v>538</v>
      </c>
      <c r="H886" s="34" t="s">
        <v>209</v>
      </c>
      <c r="I886" s="34" t="s">
        <v>19</v>
      </c>
      <c r="J886" s="34" t="s">
        <v>27</v>
      </c>
      <c r="K886" s="34" t="s">
        <v>46</v>
      </c>
      <c r="L886" s="34" t="s">
        <v>47</v>
      </c>
      <c r="M886">
        <v>0.36399999999999999</v>
      </c>
    </row>
    <row r="887" spans="1:13" x14ac:dyDescent="0.3">
      <c r="A887" s="34" t="s">
        <v>662</v>
      </c>
      <c r="B887">
        <v>-1</v>
      </c>
      <c r="C887">
        <v>2050</v>
      </c>
      <c r="D887" s="34" t="s">
        <v>336</v>
      </c>
      <c r="E887" s="34" t="s">
        <v>337</v>
      </c>
      <c r="F887" s="34" t="s">
        <v>531</v>
      </c>
      <c r="G887" s="34" t="s">
        <v>538</v>
      </c>
      <c r="H887" s="34" t="s">
        <v>209</v>
      </c>
      <c r="I887" s="34" t="s">
        <v>19</v>
      </c>
      <c r="J887" s="34" t="s">
        <v>27</v>
      </c>
      <c r="K887" s="34" t="s">
        <v>48</v>
      </c>
      <c r="L887" s="34" t="s">
        <v>47</v>
      </c>
      <c r="M887">
        <v>-0.36399999999999999</v>
      </c>
    </row>
    <row r="888" spans="1:13" x14ac:dyDescent="0.3">
      <c r="A888" s="34" t="s">
        <v>662</v>
      </c>
      <c r="B888">
        <v>-1</v>
      </c>
      <c r="C888">
        <v>2050</v>
      </c>
      <c r="D888" s="34" t="s">
        <v>336</v>
      </c>
      <c r="E888" s="34" t="s">
        <v>337</v>
      </c>
      <c r="F888" s="34" t="s">
        <v>531</v>
      </c>
      <c r="G888" s="34" t="s">
        <v>286</v>
      </c>
      <c r="H888" s="34" t="s">
        <v>39</v>
      </c>
      <c r="I888" s="34" t="s">
        <v>19</v>
      </c>
      <c r="J888" s="34" t="s">
        <v>27</v>
      </c>
      <c r="K888" s="34" t="s">
        <v>46</v>
      </c>
      <c r="L888" s="34" t="s">
        <v>47</v>
      </c>
      <c r="M888">
        <v>3.5</v>
      </c>
    </row>
    <row r="889" spans="1:13" x14ac:dyDescent="0.3">
      <c r="A889" s="34" t="s">
        <v>662</v>
      </c>
      <c r="B889">
        <v>-1</v>
      </c>
      <c r="C889">
        <v>2050</v>
      </c>
      <c r="D889" s="34" t="s">
        <v>336</v>
      </c>
      <c r="E889" s="34" t="s">
        <v>337</v>
      </c>
      <c r="F889" s="34" t="s">
        <v>531</v>
      </c>
      <c r="G889" s="34" t="s">
        <v>286</v>
      </c>
      <c r="H889" s="34" t="s">
        <v>39</v>
      </c>
      <c r="I889" s="34" t="s">
        <v>19</v>
      </c>
      <c r="J889" s="34" t="s">
        <v>27</v>
      </c>
      <c r="K889" s="34" t="s">
        <v>48</v>
      </c>
      <c r="L889" s="34" t="s">
        <v>47</v>
      </c>
      <c r="M889">
        <v>-3.5</v>
      </c>
    </row>
    <row r="890" spans="1:13" x14ac:dyDescent="0.3">
      <c r="A890" s="34" t="s">
        <v>662</v>
      </c>
      <c r="B890">
        <v>-1</v>
      </c>
      <c r="C890">
        <v>2050</v>
      </c>
      <c r="D890" s="34" t="s">
        <v>336</v>
      </c>
      <c r="E890" s="34" t="s">
        <v>337</v>
      </c>
      <c r="F890" s="34" t="s">
        <v>531</v>
      </c>
      <c r="G890" s="34" t="s">
        <v>297</v>
      </c>
      <c r="H890" s="34" t="s">
        <v>268</v>
      </c>
      <c r="I890" s="34" t="s">
        <v>19</v>
      </c>
      <c r="J890" s="34" t="s">
        <v>27</v>
      </c>
      <c r="K890" s="34" t="s">
        <v>46</v>
      </c>
      <c r="L890" s="34" t="s">
        <v>47</v>
      </c>
      <c r="M890">
        <v>2.86</v>
      </c>
    </row>
    <row r="891" spans="1:13" x14ac:dyDescent="0.3">
      <c r="A891" s="34" t="s">
        <v>662</v>
      </c>
      <c r="B891">
        <v>-1</v>
      </c>
      <c r="C891">
        <v>2050</v>
      </c>
      <c r="D891" s="34" t="s">
        <v>336</v>
      </c>
      <c r="E891" s="34" t="s">
        <v>337</v>
      </c>
      <c r="F891" s="34" t="s">
        <v>531</v>
      </c>
      <c r="G891" s="34" t="s">
        <v>297</v>
      </c>
      <c r="H891" s="34" t="s">
        <v>268</v>
      </c>
      <c r="I891" s="34" t="s">
        <v>19</v>
      </c>
      <c r="J891" s="34" t="s">
        <v>27</v>
      </c>
      <c r="K891" s="34" t="s">
        <v>48</v>
      </c>
      <c r="L891" s="34" t="s">
        <v>47</v>
      </c>
      <c r="M891">
        <v>-2.86</v>
      </c>
    </row>
    <row r="892" spans="1:13" x14ac:dyDescent="0.3">
      <c r="A892" s="34" t="s">
        <v>662</v>
      </c>
      <c r="B892">
        <v>-1</v>
      </c>
      <c r="C892">
        <v>2050</v>
      </c>
      <c r="D892" s="34" t="s">
        <v>336</v>
      </c>
      <c r="E892" s="34" t="s">
        <v>337</v>
      </c>
      <c r="F892" s="34" t="s">
        <v>531</v>
      </c>
      <c r="G892" s="34" t="s">
        <v>539</v>
      </c>
      <c r="H892" s="34" t="s">
        <v>53</v>
      </c>
      <c r="I892" s="34" t="s">
        <v>203</v>
      </c>
      <c r="J892" s="34" t="s">
        <v>204</v>
      </c>
      <c r="K892" s="34" t="s">
        <v>46</v>
      </c>
      <c r="L892" s="34" t="s">
        <v>47</v>
      </c>
      <c r="M892">
        <v>6.9692307692307693</v>
      </c>
    </row>
    <row r="893" spans="1:13" x14ac:dyDescent="0.3">
      <c r="A893" s="34" t="s">
        <v>662</v>
      </c>
      <c r="B893">
        <v>-1</v>
      </c>
      <c r="C893">
        <v>2050</v>
      </c>
      <c r="D893" s="34" t="s">
        <v>336</v>
      </c>
      <c r="E893" s="34" t="s">
        <v>337</v>
      </c>
      <c r="F893" s="34" t="s">
        <v>531</v>
      </c>
      <c r="G893" s="34" t="s">
        <v>539</v>
      </c>
      <c r="H893" s="34" t="s">
        <v>53</v>
      </c>
      <c r="I893" s="34" t="s">
        <v>203</v>
      </c>
      <c r="J893" s="34" t="s">
        <v>204</v>
      </c>
      <c r="K893" s="34" t="s">
        <v>48</v>
      </c>
      <c r="L893" s="34" t="s">
        <v>47</v>
      </c>
      <c r="M893">
        <v>-6.9692307692307693</v>
      </c>
    </row>
    <row r="894" spans="1:13" x14ac:dyDescent="0.3">
      <c r="A894" s="34" t="s">
        <v>662</v>
      </c>
      <c r="B894">
        <v>-1</v>
      </c>
      <c r="C894">
        <v>2050</v>
      </c>
      <c r="D894" s="34" t="s">
        <v>336</v>
      </c>
      <c r="E894" s="34" t="s">
        <v>337</v>
      </c>
      <c r="F894" s="34" t="s">
        <v>531</v>
      </c>
      <c r="G894" s="34" t="s">
        <v>539</v>
      </c>
      <c r="H894" s="34" t="s">
        <v>53</v>
      </c>
      <c r="I894" s="34" t="s">
        <v>19</v>
      </c>
      <c r="J894" s="34" t="s">
        <v>204</v>
      </c>
      <c r="K894" s="34" t="s">
        <v>46</v>
      </c>
      <c r="L894" s="34" t="s">
        <v>47</v>
      </c>
      <c r="M894">
        <v>4.53</v>
      </c>
    </row>
    <row r="895" spans="1:13" x14ac:dyDescent="0.3">
      <c r="A895" s="34" t="s">
        <v>662</v>
      </c>
      <c r="B895">
        <v>-1</v>
      </c>
      <c r="C895">
        <v>2050</v>
      </c>
      <c r="D895" s="34" t="s">
        <v>336</v>
      </c>
      <c r="E895" s="34" t="s">
        <v>337</v>
      </c>
      <c r="F895" s="34" t="s">
        <v>531</v>
      </c>
      <c r="G895" s="34" t="s">
        <v>539</v>
      </c>
      <c r="H895" s="34" t="s">
        <v>53</v>
      </c>
      <c r="I895" s="34" t="s">
        <v>19</v>
      </c>
      <c r="J895" s="34" t="s">
        <v>204</v>
      </c>
      <c r="K895" s="34" t="s">
        <v>48</v>
      </c>
      <c r="L895" s="34" t="s">
        <v>47</v>
      </c>
      <c r="M895">
        <v>-4.53</v>
      </c>
    </row>
    <row r="896" spans="1:13" x14ac:dyDescent="0.3">
      <c r="A896" s="34" t="s">
        <v>662</v>
      </c>
      <c r="B896">
        <v>-1</v>
      </c>
      <c r="C896">
        <v>2050</v>
      </c>
      <c r="D896" s="34" t="s">
        <v>336</v>
      </c>
      <c r="E896" s="34" t="s">
        <v>337</v>
      </c>
      <c r="F896" s="34" t="s">
        <v>531</v>
      </c>
      <c r="G896" s="34" t="s">
        <v>540</v>
      </c>
      <c r="H896" s="34" t="s">
        <v>39</v>
      </c>
      <c r="I896" s="34" t="s">
        <v>203</v>
      </c>
      <c r="J896" s="34" t="s">
        <v>204</v>
      </c>
      <c r="K896" s="34" t="s">
        <v>46</v>
      </c>
      <c r="L896" s="34" t="s">
        <v>47</v>
      </c>
      <c r="M896">
        <v>0.10212765957446809</v>
      </c>
    </row>
    <row r="897" spans="1:13" x14ac:dyDescent="0.3">
      <c r="A897" s="34" t="s">
        <v>662</v>
      </c>
      <c r="B897">
        <v>-1</v>
      </c>
      <c r="C897">
        <v>2050</v>
      </c>
      <c r="D897" s="34" t="s">
        <v>336</v>
      </c>
      <c r="E897" s="34" t="s">
        <v>337</v>
      </c>
      <c r="F897" s="34" t="s">
        <v>531</v>
      </c>
      <c r="G897" s="34" t="s">
        <v>540</v>
      </c>
      <c r="H897" s="34" t="s">
        <v>39</v>
      </c>
      <c r="I897" s="34" t="s">
        <v>203</v>
      </c>
      <c r="J897" s="34" t="s">
        <v>204</v>
      </c>
      <c r="K897" s="34" t="s">
        <v>48</v>
      </c>
      <c r="L897" s="34" t="s">
        <v>47</v>
      </c>
      <c r="M897">
        <v>-0.10212765957446809</v>
      </c>
    </row>
    <row r="898" spans="1:13" x14ac:dyDescent="0.3">
      <c r="A898" s="34" t="s">
        <v>662</v>
      </c>
      <c r="B898">
        <v>-1</v>
      </c>
      <c r="C898">
        <v>2050</v>
      </c>
      <c r="D898" s="34" t="s">
        <v>336</v>
      </c>
      <c r="E898" s="34" t="s">
        <v>337</v>
      </c>
      <c r="F898" s="34" t="s">
        <v>531</v>
      </c>
      <c r="G898" s="34" t="s">
        <v>540</v>
      </c>
      <c r="H898" s="34" t="s">
        <v>39</v>
      </c>
      <c r="I898" s="34" t="s">
        <v>19</v>
      </c>
      <c r="J898" s="34" t="s">
        <v>204</v>
      </c>
      <c r="K898" s="34" t="s">
        <v>46</v>
      </c>
      <c r="L898" s="34" t="s">
        <v>47</v>
      </c>
      <c r="M898">
        <v>4.8000000000000001E-2</v>
      </c>
    </row>
    <row r="899" spans="1:13" x14ac:dyDescent="0.3">
      <c r="A899" s="34" t="s">
        <v>662</v>
      </c>
      <c r="B899">
        <v>-1</v>
      </c>
      <c r="C899">
        <v>2050</v>
      </c>
      <c r="D899" s="34" t="s">
        <v>336</v>
      </c>
      <c r="E899" s="34" t="s">
        <v>337</v>
      </c>
      <c r="F899" s="34" t="s">
        <v>531</v>
      </c>
      <c r="G899" s="34" t="s">
        <v>540</v>
      </c>
      <c r="H899" s="34" t="s">
        <v>39</v>
      </c>
      <c r="I899" s="34" t="s">
        <v>19</v>
      </c>
      <c r="J899" s="34" t="s">
        <v>204</v>
      </c>
      <c r="K899" s="34" t="s">
        <v>48</v>
      </c>
      <c r="L899" s="34" t="s">
        <v>47</v>
      </c>
      <c r="M899">
        <v>-4.8000000000000001E-2</v>
      </c>
    </row>
    <row r="900" spans="1:13" x14ac:dyDescent="0.3">
      <c r="A900" s="34" t="s">
        <v>662</v>
      </c>
      <c r="B900">
        <v>-1</v>
      </c>
      <c r="C900">
        <v>2050</v>
      </c>
      <c r="D900" s="34" t="s">
        <v>336</v>
      </c>
      <c r="E900" s="34" t="s">
        <v>337</v>
      </c>
      <c r="F900" s="34" t="s">
        <v>531</v>
      </c>
      <c r="G900" s="34" t="s">
        <v>541</v>
      </c>
      <c r="H900" s="34" t="s">
        <v>39</v>
      </c>
      <c r="I900" s="34" t="s">
        <v>203</v>
      </c>
      <c r="J900" s="34" t="s">
        <v>204</v>
      </c>
      <c r="K900" s="34" t="s">
        <v>46</v>
      </c>
      <c r="L900" s="34" t="s">
        <v>47</v>
      </c>
      <c r="M900">
        <v>0.26666666666666666</v>
      </c>
    </row>
    <row r="901" spans="1:13" x14ac:dyDescent="0.3">
      <c r="A901" s="34" t="s">
        <v>662</v>
      </c>
      <c r="B901">
        <v>-1</v>
      </c>
      <c r="C901">
        <v>2050</v>
      </c>
      <c r="D901" s="34" t="s">
        <v>336</v>
      </c>
      <c r="E901" s="34" t="s">
        <v>337</v>
      </c>
      <c r="F901" s="34" t="s">
        <v>531</v>
      </c>
      <c r="G901" s="34" t="s">
        <v>541</v>
      </c>
      <c r="H901" s="34" t="s">
        <v>39</v>
      </c>
      <c r="I901" s="34" t="s">
        <v>203</v>
      </c>
      <c r="J901" s="34" t="s">
        <v>204</v>
      </c>
      <c r="K901" s="34" t="s">
        <v>48</v>
      </c>
      <c r="L901" s="34" t="s">
        <v>47</v>
      </c>
      <c r="M901">
        <v>-0.26666666666666666</v>
      </c>
    </row>
    <row r="902" spans="1:13" x14ac:dyDescent="0.3">
      <c r="A902" s="34" t="s">
        <v>662</v>
      </c>
      <c r="B902">
        <v>-1</v>
      </c>
      <c r="C902">
        <v>2050</v>
      </c>
      <c r="D902" s="34" t="s">
        <v>336</v>
      </c>
      <c r="E902" s="34" t="s">
        <v>337</v>
      </c>
      <c r="F902" s="34" t="s">
        <v>531</v>
      </c>
      <c r="G902" s="34" t="s">
        <v>541</v>
      </c>
      <c r="H902" s="34" t="s">
        <v>39</v>
      </c>
      <c r="I902" s="34" t="s">
        <v>19</v>
      </c>
      <c r="J902" s="34" t="s">
        <v>204</v>
      </c>
      <c r="K902" s="34" t="s">
        <v>46</v>
      </c>
      <c r="L902" s="34" t="s">
        <v>47</v>
      </c>
      <c r="M902">
        <v>0.2</v>
      </c>
    </row>
    <row r="903" spans="1:13" x14ac:dyDescent="0.3">
      <c r="A903" s="34" t="s">
        <v>662</v>
      </c>
      <c r="B903">
        <v>-1</v>
      </c>
      <c r="C903">
        <v>2050</v>
      </c>
      <c r="D903" s="34" t="s">
        <v>336</v>
      </c>
      <c r="E903" s="34" t="s">
        <v>337</v>
      </c>
      <c r="F903" s="34" t="s">
        <v>531</v>
      </c>
      <c r="G903" s="34" t="s">
        <v>541</v>
      </c>
      <c r="H903" s="34" t="s">
        <v>39</v>
      </c>
      <c r="I903" s="34" t="s">
        <v>19</v>
      </c>
      <c r="J903" s="34" t="s">
        <v>204</v>
      </c>
      <c r="K903" s="34" t="s">
        <v>48</v>
      </c>
      <c r="L903" s="34" t="s">
        <v>47</v>
      </c>
      <c r="M903">
        <v>-0.2</v>
      </c>
    </row>
    <row r="904" spans="1:13" x14ac:dyDescent="0.3">
      <c r="A904" s="34" t="s">
        <v>662</v>
      </c>
      <c r="B904">
        <v>-1</v>
      </c>
      <c r="C904">
        <v>2050</v>
      </c>
      <c r="D904" s="34" t="s">
        <v>336</v>
      </c>
      <c r="E904" s="34" t="s">
        <v>337</v>
      </c>
      <c r="F904" s="34" t="s">
        <v>531</v>
      </c>
      <c r="G904" s="34" t="s">
        <v>542</v>
      </c>
      <c r="H904" s="34" t="s">
        <v>39</v>
      </c>
      <c r="I904" s="34" t="s">
        <v>203</v>
      </c>
      <c r="J904" s="34" t="s">
        <v>204</v>
      </c>
      <c r="K904" s="34" t="s">
        <v>46</v>
      </c>
      <c r="L904" s="34" t="s">
        <v>47</v>
      </c>
      <c r="M904">
        <v>0.3293103448275862</v>
      </c>
    </row>
    <row r="905" spans="1:13" x14ac:dyDescent="0.3">
      <c r="A905" s="34" t="s">
        <v>662</v>
      </c>
      <c r="B905">
        <v>-1</v>
      </c>
      <c r="C905">
        <v>2050</v>
      </c>
      <c r="D905" s="34" t="s">
        <v>336</v>
      </c>
      <c r="E905" s="34" t="s">
        <v>337</v>
      </c>
      <c r="F905" s="34" t="s">
        <v>531</v>
      </c>
      <c r="G905" s="34" t="s">
        <v>542</v>
      </c>
      <c r="H905" s="34" t="s">
        <v>39</v>
      </c>
      <c r="I905" s="34" t="s">
        <v>203</v>
      </c>
      <c r="J905" s="34" t="s">
        <v>204</v>
      </c>
      <c r="K905" s="34" t="s">
        <v>48</v>
      </c>
      <c r="L905" s="34" t="s">
        <v>47</v>
      </c>
      <c r="M905">
        <v>-0.3293103448275862</v>
      </c>
    </row>
    <row r="906" spans="1:13" x14ac:dyDescent="0.3">
      <c r="A906" s="34" t="s">
        <v>662</v>
      </c>
      <c r="B906">
        <v>-1</v>
      </c>
      <c r="C906">
        <v>2050</v>
      </c>
      <c r="D906" s="34" t="s">
        <v>336</v>
      </c>
      <c r="E906" s="34" t="s">
        <v>337</v>
      </c>
      <c r="F906" s="34" t="s">
        <v>531</v>
      </c>
      <c r="G906" s="34" t="s">
        <v>542</v>
      </c>
      <c r="H906" s="34" t="s">
        <v>39</v>
      </c>
      <c r="I906" s="34" t="s">
        <v>19</v>
      </c>
      <c r="J906" s="34" t="s">
        <v>204</v>
      </c>
      <c r="K906" s="34" t="s">
        <v>46</v>
      </c>
      <c r="L906" s="34" t="s">
        <v>47</v>
      </c>
      <c r="M906">
        <v>0.191</v>
      </c>
    </row>
    <row r="907" spans="1:13" x14ac:dyDescent="0.3">
      <c r="A907" s="34" t="s">
        <v>662</v>
      </c>
      <c r="B907">
        <v>-1</v>
      </c>
      <c r="C907">
        <v>2050</v>
      </c>
      <c r="D907" s="34" t="s">
        <v>336</v>
      </c>
      <c r="E907" s="34" t="s">
        <v>337</v>
      </c>
      <c r="F907" s="34" t="s">
        <v>531</v>
      </c>
      <c r="G907" s="34" t="s">
        <v>542</v>
      </c>
      <c r="H907" s="34" t="s">
        <v>39</v>
      </c>
      <c r="I907" s="34" t="s">
        <v>19</v>
      </c>
      <c r="J907" s="34" t="s">
        <v>204</v>
      </c>
      <c r="K907" s="34" t="s">
        <v>48</v>
      </c>
      <c r="L907" s="34" t="s">
        <v>47</v>
      </c>
      <c r="M907">
        <v>-0.191</v>
      </c>
    </row>
    <row r="908" spans="1:13" x14ac:dyDescent="0.3">
      <c r="A908" s="34" t="s">
        <v>662</v>
      </c>
      <c r="B908">
        <v>-1</v>
      </c>
      <c r="C908">
        <v>2050</v>
      </c>
      <c r="D908" s="34" t="s">
        <v>336</v>
      </c>
      <c r="E908" s="34" t="s">
        <v>337</v>
      </c>
      <c r="F908" s="34" t="s">
        <v>531</v>
      </c>
      <c r="G908" s="34" t="s">
        <v>543</v>
      </c>
      <c r="H908" s="34" t="s">
        <v>39</v>
      </c>
      <c r="I908" s="34" t="s">
        <v>203</v>
      </c>
      <c r="J908" s="34" t="s">
        <v>204</v>
      </c>
      <c r="K908" s="34" t="s">
        <v>46</v>
      </c>
      <c r="L908" s="34" t="s">
        <v>47</v>
      </c>
      <c r="M908">
        <v>0.19624573378839588</v>
      </c>
    </row>
    <row r="909" spans="1:13" x14ac:dyDescent="0.3">
      <c r="A909" s="34" t="s">
        <v>662</v>
      </c>
      <c r="B909">
        <v>-1</v>
      </c>
      <c r="C909">
        <v>2050</v>
      </c>
      <c r="D909" s="34" t="s">
        <v>336</v>
      </c>
      <c r="E909" s="34" t="s">
        <v>337</v>
      </c>
      <c r="F909" s="34" t="s">
        <v>531</v>
      </c>
      <c r="G909" s="34" t="s">
        <v>543</v>
      </c>
      <c r="H909" s="34" t="s">
        <v>39</v>
      </c>
      <c r="I909" s="34" t="s">
        <v>203</v>
      </c>
      <c r="J909" s="34" t="s">
        <v>204</v>
      </c>
      <c r="K909" s="34" t="s">
        <v>48</v>
      </c>
      <c r="L909" s="34" t="s">
        <v>47</v>
      </c>
      <c r="M909">
        <v>-0.19624573378839588</v>
      </c>
    </row>
    <row r="910" spans="1:13" x14ac:dyDescent="0.3">
      <c r="A910" s="34" t="s">
        <v>662</v>
      </c>
      <c r="B910">
        <v>-1</v>
      </c>
      <c r="C910">
        <v>2050</v>
      </c>
      <c r="D910" s="34" t="s">
        <v>336</v>
      </c>
      <c r="E910" s="34" t="s">
        <v>337</v>
      </c>
      <c r="F910" s="34" t="s">
        <v>531</v>
      </c>
      <c r="G910" s="34" t="s">
        <v>543</v>
      </c>
      <c r="H910" s="34" t="s">
        <v>39</v>
      </c>
      <c r="I910" s="34" t="s">
        <v>19</v>
      </c>
      <c r="J910" s="34" t="s">
        <v>204</v>
      </c>
      <c r="K910" s="34" t="s">
        <v>46</v>
      </c>
      <c r="L910" s="34" t="s">
        <v>47</v>
      </c>
      <c r="M910">
        <v>0.115</v>
      </c>
    </row>
    <row r="911" spans="1:13" x14ac:dyDescent="0.3">
      <c r="A911" s="34" t="s">
        <v>662</v>
      </c>
      <c r="B911">
        <v>-1</v>
      </c>
      <c r="C911">
        <v>2050</v>
      </c>
      <c r="D911" s="34" t="s">
        <v>336</v>
      </c>
      <c r="E911" s="34" t="s">
        <v>337</v>
      </c>
      <c r="F911" s="34" t="s">
        <v>531</v>
      </c>
      <c r="G911" s="34" t="s">
        <v>543</v>
      </c>
      <c r="H911" s="34" t="s">
        <v>39</v>
      </c>
      <c r="I911" s="34" t="s">
        <v>19</v>
      </c>
      <c r="J911" s="34" t="s">
        <v>204</v>
      </c>
      <c r="K911" s="34" t="s">
        <v>48</v>
      </c>
      <c r="L911" s="34" t="s">
        <v>47</v>
      </c>
      <c r="M911">
        <v>-0.115</v>
      </c>
    </row>
    <row r="912" spans="1:13" x14ac:dyDescent="0.3">
      <c r="A912" s="34" t="s">
        <v>662</v>
      </c>
      <c r="B912">
        <v>-1</v>
      </c>
      <c r="C912">
        <v>2050</v>
      </c>
      <c r="D912" s="34" t="s">
        <v>336</v>
      </c>
      <c r="E912" s="34" t="s">
        <v>337</v>
      </c>
      <c r="F912" s="34" t="s">
        <v>531</v>
      </c>
      <c r="G912" s="34" t="s">
        <v>544</v>
      </c>
      <c r="H912" s="34" t="s">
        <v>324</v>
      </c>
      <c r="I912" s="34" t="s">
        <v>203</v>
      </c>
      <c r="J912" s="34" t="s">
        <v>204</v>
      </c>
      <c r="K912" s="34" t="s">
        <v>46</v>
      </c>
      <c r="L912" s="34" t="s">
        <v>47</v>
      </c>
      <c r="M912">
        <v>0.19999999999999998</v>
      </c>
    </row>
    <row r="913" spans="1:13" x14ac:dyDescent="0.3">
      <c r="A913" s="34" t="s">
        <v>662</v>
      </c>
      <c r="B913">
        <v>-1</v>
      </c>
      <c r="C913">
        <v>2050</v>
      </c>
      <c r="D913" s="34" t="s">
        <v>336</v>
      </c>
      <c r="E913" s="34" t="s">
        <v>337</v>
      </c>
      <c r="F913" s="34" t="s">
        <v>531</v>
      </c>
      <c r="G913" s="34" t="s">
        <v>544</v>
      </c>
      <c r="H913" s="34" t="s">
        <v>324</v>
      </c>
      <c r="I913" s="34" t="s">
        <v>203</v>
      </c>
      <c r="J913" s="34" t="s">
        <v>204</v>
      </c>
      <c r="K913" s="34" t="s">
        <v>48</v>
      </c>
      <c r="L913" s="34" t="s">
        <v>47</v>
      </c>
      <c r="M913">
        <v>-0.19999999999999998</v>
      </c>
    </row>
    <row r="914" spans="1:13" x14ac:dyDescent="0.3">
      <c r="A914" s="34" t="s">
        <v>662</v>
      </c>
      <c r="B914">
        <v>-1</v>
      </c>
      <c r="C914">
        <v>2050</v>
      </c>
      <c r="D914" s="34" t="s">
        <v>336</v>
      </c>
      <c r="E914" s="34" t="s">
        <v>337</v>
      </c>
      <c r="F914" s="34" t="s">
        <v>531</v>
      </c>
      <c r="G914" s="34" t="s">
        <v>544</v>
      </c>
      <c r="H914" s="34" t="s">
        <v>324</v>
      </c>
      <c r="I914" s="34" t="s">
        <v>19</v>
      </c>
      <c r="J914" s="34" t="s">
        <v>204</v>
      </c>
      <c r="K914" s="34" t="s">
        <v>46</v>
      </c>
      <c r="L914" s="34" t="s">
        <v>47</v>
      </c>
      <c r="M914">
        <v>8.7999999999999995E-2</v>
      </c>
    </row>
    <row r="915" spans="1:13" x14ac:dyDescent="0.3">
      <c r="A915" s="34" t="s">
        <v>662</v>
      </c>
      <c r="B915">
        <v>-1</v>
      </c>
      <c r="C915">
        <v>2050</v>
      </c>
      <c r="D915" s="34" t="s">
        <v>336</v>
      </c>
      <c r="E915" s="34" t="s">
        <v>337</v>
      </c>
      <c r="F915" s="34" t="s">
        <v>531</v>
      </c>
      <c r="G915" s="34" t="s">
        <v>544</v>
      </c>
      <c r="H915" s="34" t="s">
        <v>324</v>
      </c>
      <c r="I915" s="34" t="s">
        <v>19</v>
      </c>
      <c r="J915" s="34" t="s">
        <v>204</v>
      </c>
      <c r="K915" s="34" t="s">
        <v>48</v>
      </c>
      <c r="L915" s="34" t="s">
        <v>47</v>
      </c>
      <c r="M915">
        <v>-8.7999999999999995E-2</v>
      </c>
    </row>
    <row r="916" spans="1:13" x14ac:dyDescent="0.3">
      <c r="A916" s="34" t="s">
        <v>662</v>
      </c>
      <c r="B916">
        <v>-1</v>
      </c>
      <c r="C916">
        <v>2050</v>
      </c>
      <c r="D916" s="34" t="s">
        <v>336</v>
      </c>
      <c r="E916" s="34" t="s">
        <v>337</v>
      </c>
      <c r="F916" s="34" t="s">
        <v>531</v>
      </c>
      <c r="G916" s="34" t="s">
        <v>545</v>
      </c>
      <c r="H916" s="34" t="s">
        <v>39</v>
      </c>
      <c r="I916" s="34" t="s">
        <v>203</v>
      </c>
      <c r="J916" s="34" t="s">
        <v>204</v>
      </c>
      <c r="K916" s="34" t="s">
        <v>46</v>
      </c>
      <c r="L916" s="34" t="s">
        <v>47</v>
      </c>
      <c r="M916">
        <v>0.15</v>
      </c>
    </row>
    <row r="917" spans="1:13" x14ac:dyDescent="0.3">
      <c r="A917" s="34" t="s">
        <v>662</v>
      </c>
      <c r="B917">
        <v>-1</v>
      </c>
      <c r="C917">
        <v>2050</v>
      </c>
      <c r="D917" s="34" t="s">
        <v>336</v>
      </c>
      <c r="E917" s="34" t="s">
        <v>337</v>
      </c>
      <c r="F917" s="34" t="s">
        <v>531</v>
      </c>
      <c r="G917" s="34" t="s">
        <v>545</v>
      </c>
      <c r="H917" s="34" t="s">
        <v>39</v>
      </c>
      <c r="I917" s="34" t="s">
        <v>203</v>
      </c>
      <c r="J917" s="34" t="s">
        <v>204</v>
      </c>
      <c r="K917" s="34" t="s">
        <v>48</v>
      </c>
      <c r="L917" s="34" t="s">
        <v>47</v>
      </c>
      <c r="M917">
        <v>-0.15</v>
      </c>
    </row>
    <row r="918" spans="1:13" x14ac:dyDescent="0.3">
      <c r="A918" s="34" t="s">
        <v>662</v>
      </c>
      <c r="B918">
        <v>-1</v>
      </c>
      <c r="C918">
        <v>2050</v>
      </c>
      <c r="D918" s="34" t="s">
        <v>336</v>
      </c>
      <c r="E918" s="34" t="s">
        <v>337</v>
      </c>
      <c r="F918" s="34" t="s">
        <v>531</v>
      </c>
      <c r="G918" s="34" t="s">
        <v>545</v>
      </c>
      <c r="H918" s="34" t="s">
        <v>39</v>
      </c>
      <c r="I918" s="34" t="s">
        <v>19</v>
      </c>
      <c r="J918" s="34" t="s">
        <v>204</v>
      </c>
      <c r="K918" s="34" t="s">
        <v>46</v>
      </c>
      <c r="L918" s="34" t="s">
        <v>47</v>
      </c>
      <c r="M918">
        <v>4.8000000000000001E-2</v>
      </c>
    </row>
    <row r="919" spans="1:13" x14ac:dyDescent="0.3">
      <c r="A919" s="34" t="s">
        <v>662</v>
      </c>
      <c r="B919">
        <v>-1</v>
      </c>
      <c r="C919">
        <v>2050</v>
      </c>
      <c r="D919" s="34" t="s">
        <v>336</v>
      </c>
      <c r="E919" s="34" t="s">
        <v>337</v>
      </c>
      <c r="F919" s="34" t="s">
        <v>531</v>
      </c>
      <c r="G919" s="34" t="s">
        <v>545</v>
      </c>
      <c r="H919" s="34" t="s">
        <v>39</v>
      </c>
      <c r="I919" s="34" t="s">
        <v>19</v>
      </c>
      <c r="J919" s="34" t="s">
        <v>204</v>
      </c>
      <c r="K919" s="34" t="s">
        <v>48</v>
      </c>
      <c r="L919" s="34" t="s">
        <v>47</v>
      </c>
      <c r="M919">
        <v>-4.8000000000000001E-2</v>
      </c>
    </row>
    <row r="920" spans="1:13" x14ac:dyDescent="0.3">
      <c r="A920" s="34" t="s">
        <v>662</v>
      </c>
      <c r="B920">
        <v>-1</v>
      </c>
      <c r="C920">
        <v>2050</v>
      </c>
      <c r="D920" s="34" t="s">
        <v>336</v>
      </c>
      <c r="E920" s="34" t="s">
        <v>337</v>
      </c>
      <c r="F920" s="34" t="s">
        <v>531</v>
      </c>
      <c r="G920" s="34" t="s">
        <v>546</v>
      </c>
      <c r="H920" s="34" t="s">
        <v>39</v>
      </c>
      <c r="I920" s="34" t="s">
        <v>203</v>
      </c>
      <c r="J920" s="34" t="s">
        <v>204</v>
      </c>
      <c r="K920" s="34" t="s">
        <v>46</v>
      </c>
      <c r="L920" s="34" t="s">
        <v>47</v>
      </c>
      <c r="M920">
        <v>5.7222222222222223E-2</v>
      </c>
    </row>
    <row r="921" spans="1:13" x14ac:dyDescent="0.3">
      <c r="A921" s="34" t="s">
        <v>662</v>
      </c>
      <c r="B921">
        <v>-1</v>
      </c>
      <c r="C921">
        <v>2050</v>
      </c>
      <c r="D921" s="34" t="s">
        <v>336</v>
      </c>
      <c r="E921" s="34" t="s">
        <v>337</v>
      </c>
      <c r="F921" s="34" t="s">
        <v>531</v>
      </c>
      <c r="G921" s="34" t="s">
        <v>546</v>
      </c>
      <c r="H921" s="34" t="s">
        <v>39</v>
      </c>
      <c r="I921" s="34" t="s">
        <v>203</v>
      </c>
      <c r="J921" s="34" t="s">
        <v>204</v>
      </c>
      <c r="K921" s="34" t="s">
        <v>48</v>
      </c>
      <c r="L921" s="34" t="s">
        <v>47</v>
      </c>
      <c r="M921">
        <v>-5.7222222222222223E-2</v>
      </c>
    </row>
    <row r="922" spans="1:13" x14ac:dyDescent="0.3">
      <c r="A922" s="34" t="s">
        <v>662</v>
      </c>
      <c r="B922">
        <v>-1</v>
      </c>
      <c r="C922">
        <v>2050</v>
      </c>
      <c r="D922" s="34" t="s">
        <v>336</v>
      </c>
      <c r="E922" s="34" t="s">
        <v>337</v>
      </c>
      <c r="F922" s="34" t="s">
        <v>531</v>
      </c>
      <c r="G922" s="34" t="s">
        <v>546</v>
      </c>
      <c r="H922" s="34" t="s">
        <v>39</v>
      </c>
      <c r="I922" s="34" t="s">
        <v>19</v>
      </c>
      <c r="J922" s="34" t="s">
        <v>204</v>
      </c>
      <c r="K922" s="34" t="s">
        <v>46</v>
      </c>
      <c r="L922" s="34" t="s">
        <v>47</v>
      </c>
      <c r="M922">
        <v>0.20600000000000002</v>
      </c>
    </row>
    <row r="923" spans="1:13" x14ac:dyDescent="0.3">
      <c r="A923" s="34" t="s">
        <v>662</v>
      </c>
      <c r="B923">
        <v>-1</v>
      </c>
      <c r="C923">
        <v>2050</v>
      </c>
      <c r="D923" s="34" t="s">
        <v>336</v>
      </c>
      <c r="E923" s="34" t="s">
        <v>337</v>
      </c>
      <c r="F923" s="34" t="s">
        <v>531</v>
      </c>
      <c r="G923" s="34" t="s">
        <v>546</v>
      </c>
      <c r="H923" s="34" t="s">
        <v>39</v>
      </c>
      <c r="I923" s="34" t="s">
        <v>19</v>
      </c>
      <c r="J923" s="34" t="s">
        <v>204</v>
      </c>
      <c r="K923" s="34" t="s">
        <v>48</v>
      </c>
      <c r="L923" s="34" t="s">
        <v>47</v>
      </c>
      <c r="M923">
        <v>-0.20600000000000002</v>
      </c>
    </row>
    <row r="924" spans="1:13" x14ac:dyDescent="0.3">
      <c r="A924" s="34" t="s">
        <v>662</v>
      </c>
      <c r="B924">
        <v>-1</v>
      </c>
      <c r="C924">
        <v>2050</v>
      </c>
      <c r="D924" s="34" t="s">
        <v>336</v>
      </c>
      <c r="E924" s="34" t="s">
        <v>337</v>
      </c>
      <c r="F924" s="34" t="s">
        <v>531</v>
      </c>
      <c r="G924" s="34" t="s">
        <v>547</v>
      </c>
      <c r="H924" s="34" t="s">
        <v>39</v>
      </c>
      <c r="I924" s="34" t="s">
        <v>203</v>
      </c>
      <c r="J924" s="34" t="s">
        <v>204</v>
      </c>
      <c r="K924" s="34" t="s">
        <v>46</v>
      </c>
      <c r="L924" s="34" t="s">
        <v>47</v>
      </c>
      <c r="M924">
        <v>9.2783505154639179E-2</v>
      </c>
    </row>
    <row r="925" spans="1:13" x14ac:dyDescent="0.3">
      <c r="A925" s="34" t="s">
        <v>662</v>
      </c>
      <c r="B925">
        <v>-1</v>
      </c>
      <c r="C925">
        <v>2050</v>
      </c>
      <c r="D925" s="34" t="s">
        <v>336</v>
      </c>
      <c r="E925" s="34" t="s">
        <v>337</v>
      </c>
      <c r="F925" s="34" t="s">
        <v>531</v>
      </c>
      <c r="G925" s="34" t="s">
        <v>547</v>
      </c>
      <c r="H925" s="34" t="s">
        <v>39</v>
      </c>
      <c r="I925" s="34" t="s">
        <v>203</v>
      </c>
      <c r="J925" s="34" t="s">
        <v>204</v>
      </c>
      <c r="K925" s="34" t="s">
        <v>48</v>
      </c>
      <c r="L925" s="34" t="s">
        <v>47</v>
      </c>
      <c r="M925">
        <v>-9.2783505154639179E-2</v>
      </c>
    </row>
    <row r="926" spans="1:13" x14ac:dyDescent="0.3">
      <c r="A926" s="34" t="s">
        <v>662</v>
      </c>
      <c r="B926">
        <v>-1</v>
      </c>
      <c r="C926">
        <v>2050</v>
      </c>
      <c r="D926" s="34" t="s">
        <v>336</v>
      </c>
      <c r="E926" s="34" t="s">
        <v>337</v>
      </c>
      <c r="F926" s="34" t="s">
        <v>531</v>
      </c>
      <c r="G926" s="34" t="s">
        <v>547</v>
      </c>
      <c r="H926" s="34" t="s">
        <v>39</v>
      </c>
      <c r="I926" s="34" t="s">
        <v>19</v>
      </c>
      <c r="J926" s="34" t="s">
        <v>204</v>
      </c>
      <c r="K926" s="34" t="s">
        <v>46</v>
      </c>
      <c r="L926" s="34" t="s">
        <v>47</v>
      </c>
      <c r="M926">
        <v>4.4999999999999998E-2</v>
      </c>
    </row>
    <row r="927" spans="1:13" x14ac:dyDescent="0.3">
      <c r="A927" s="34" t="s">
        <v>662</v>
      </c>
      <c r="B927">
        <v>-1</v>
      </c>
      <c r="C927">
        <v>2050</v>
      </c>
      <c r="D927" s="34" t="s">
        <v>336</v>
      </c>
      <c r="E927" s="34" t="s">
        <v>337</v>
      </c>
      <c r="F927" s="34" t="s">
        <v>531</v>
      </c>
      <c r="G927" s="34" t="s">
        <v>547</v>
      </c>
      <c r="H927" s="34" t="s">
        <v>39</v>
      </c>
      <c r="I927" s="34" t="s">
        <v>19</v>
      </c>
      <c r="J927" s="34" t="s">
        <v>204</v>
      </c>
      <c r="K927" s="34" t="s">
        <v>48</v>
      </c>
      <c r="L927" s="34" t="s">
        <v>47</v>
      </c>
      <c r="M927">
        <v>-4.4999999999999998E-2</v>
      </c>
    </row>
    <row r="928" spans="1:13" x14ac:dyDescent="0.3">
      <c r="A928" s="34" t="s">
        <v>662</v>
      </c>
      <c r="B928">
        <v>-1</v>
      </c>
      <c r="C928">
        <v>2050</v>
      </c>
      <c r="D928" s="34" t="s">
        <v>336</v>
      </c>
      <c r="E928" s="34" t="s">
        <v>337</v>
      </c>
      <c r="F928" s="34" t="s">
        <v>531</v>
      </c>
      <c r="G928" s="34" t="s">
        <v>548</v>
      </c>
      <c r="H928" s="34" t="s">
        <v>39</v>
      </c>
      <c r="I928" s="34" t="s">
        <v>203</v>
      </c>
      <c r="J928" s="34" t="s">
        <v>204</v>
      </c>
      <c r="K928" s="34" t="s">
        <v>46</v>
      </c>
      <c r="L928" s="34" t="s">
        <v>47</v>
      </c>
      <c r="M928">
        <v>0.42444444444444451</v>
      </c>
    </row>
    <row r="929" spans="1:13" x14ac:dyDescent="0.3">
      <c r="A929" s="34" t="s">
        <v>662</v>
      </c>
      <c r="B929">
        <v>-1</v>
      </c>
      <c r="C929">
        <v>2050</v>
      </c>
      <c r="D929" s="34" t="s">
        <v>336</v>
      </c>
      <c r="E929" s="34" t="s">
        <v>337</v>
      </c>
      <c r="F929" s="34" t="s">
        <v>531</v>
      </c>
      <c r="G929" s="34" t="s">
        <v>548</v>
      </c>
      <c r="H929" s="34" t="s">
        <v>39</v>
      </c>
      <c r="I929" s="34" t="s">
        <v>203</v>
      </c>
      <c r="J929" s="34" t="s">
        <v>204</v>
      </c>
      <c r="K929" s="34" t="s">
        <v>48</v>
      </c>
      <c r="L929" s="34" t="s">
        <v>47</v>
      </c>
      <c r="M929">
        <v>-0.42444444444444451</v>
      </c>
    </row>
    <row r="930" spans="1:13" x14ac:dyDescent="0.3">
      <c r="A930" s="34" t="s">
        <v>662</v>
      </c>
      <c r="B930">
        <v>-1</v>
      </c>
      <c r="C930">
        <v>2050</v>
      </c>
      <c r="D930" s="34" t="s">
        <v>336</v>
      </c>
      <c r="E930" s="34" t="s">
        <v>337</v>
      </c>
      <c r="F930" s="34" t="s">
        <v>531</v>
      </c>
      <c r="G930" s="34" t="s">
        <v>548</v>
      </c>
      <c r="H930" s="34" t="s">
        <v>39</v>
      </c>
      <c r="I930" s="34" t="s">
        <v>19</v>
      </c>
      <c r="J930" s="34" t="s">
        <v>204</v>
      </c>
      <c r="K930" s="34" t="s">
        <v>46</v>
      </c>
      <c r="L930" s="34" t="s">
        <v>47</v>
      </c>
      <c r="M930">
        <v>0.191</v>
      </c>
    </row>
    <row r="931" spans="1:13" x14ac:dyDescent="0.3">
      <c r="A931" s="34" t="s">
        <v>662</v>
      </c>
      <c r="B931">
        <v>-1</v>
      </c>
      <c r="C931">
        <v>2050</v>
      </c>
      <c r="D931" s="34" t="s">
        <v>336</v>
      </c>
      <c r="E931" s="34" t="s">
        <v>337</v>
      </c>
      <c r="F931" s="34" t="s">
        <v>531</v>
      </c>
      <c r="G931" s="34" t="s">
        <v>548</v>
      </c>
      <c r="H931" s="34" t="s">
        <v>39</v>
      </c>
      <c r="I931" s="34" t="s">
        <v>19</v>
      </c>
      <c r="J931" s="34" t="s">
        <v>204</v>
      </c>
      <c r="K931" s="34" t="s">
        <v>48</v>
      </c>
      <c r="L931" s="34" t="s">
        <v>47</v>
      </c>
      <c r="M931">
        <v>-0.191</v>
      </c>
    </row>
    <row r="932" spans="1:13" x14ac:dyDescent="0.3">
      <c r="A932" s="34" t="s">
        <v>662</v>
      </c>
      <c r="B932">
        <v>-1</v>
      </c>
      <c r="C932">
        <v>2050</v>
      </c>
      <c r="D932" s="34" t="s">
        <v>336</v>
      </c>
      <c r="E932" s="34" t="s">
        <v>337</v>
      </c>
      <c r="F932" s="34" t="s">
        <v>531</v>
      </c>
      <c r="G932" s="34" t="s">
        <v>549</v>
      </c>
      <c r="H932" s="34" t="s">
        <v>39</v>
      </c>
      <c r="I932" s="34" t="s">
        <v>203</v>
      </c>
      <c r="J932" s="34" t="s">
        <v>204</v>
      </c>
      <c r="K932" s="34" t="s">
        <v>46</v>
      </c>
      <c r="L932" s="34" t="s">
        <v>47</v>
      </c>
      <c r="M932">
        <v>0.10769230769230768</v>
      </c>
    </row>
    <row r="933" spans="1:13" x14ac:dyDescent="0.3">
      <c r="A933" s="34" t="s">
        <v>662</v>
      </c>
      <c r="B933">
        <v>-1</v>
      </c>
      <c r="C933">
        <v>2050</v>
      </c>
      <c r="D933" s="34" t="s">
        <v>336</v>
      </c>
      <c r="E933" s="34" t="s">
        <v>337</v>
      </c>
      <c r="F933" s="34" t="s">
        <v>531</v>
      </c>
      <c r="G933" s="34" t="s">
        <v>549</v>
      </c>
      <c r="H933" s="34" t="s">
        <v>39</v>
      </c>
      <c r="I933" s="34" t="s">
        <v>203</v>
      </c>
      <c r="J933" s="34" t="s">
        <v>204</v>
      </c>
      <c r="K933" s="34" t="s">
        <v>48</v>
      </c>
      <c r="L933" s="34" t="s">
        <v>47</v>
      </c>
      <c r="M933">
        <v>-0.10769230769230768</v>
      </c>
    </row>
    <row r="934" spans="1:13" x14ac:dyDescent="0.3">
      <c r="A934" s="34" t="s">
        <v>662</v>
      </c>
      <c r="B934">
        <v>-1</v>
      </c>
      <c r="C934">
        <v>2050</v>
      </c>
      <c r="D934" s="34" t="s">
        <v>336</v>
      </c>
      <c r="E934" s="34" t="s">
        <v>337</v>
      </c>
      <c r="F934" s="34" t="s">
        <v>531</v>
      </c>
      <c r="G934" s="34" t="s">
        <v>549</v>
      </c>
      <c r="H934" s="34" t="s">
        <v>39</v>
      </c>
      <c r="I934" s="34" t="s">
        <v>19</v>
      </c>
      <c r="J934" s="34" t="s">
        <v>204</v>
      </c>
      <c r="K934" s="34" t="s">
        <v>46</v>
      </c>
      <c r="L934" s="34" t="s">
        <v>47</v>
      </c>
      <c r="M934">
        <v>2.8000000000000001E-2</v>
      </c>
    </row>
    <row r="935" spans="1:13" x14ac:dyDescent="0.3">
      <c r="A935" s="34" t="s">
        <v>662</v>
      </c>
      <c r="B935">
        <v>-1</v>
      </c>
      <c r="C935">
        <v>2050</v>
      </c>
      <c r="D935" s="34" t="s">
        <v>336</v>
      </c>
      <c r="E935" s="34" t="s">
        <v>337</v>
      </c>
      <c r="F935" s="34" t="s">
        <v>531</v>
      </c>
      <c r="G935" s="34" t="s">
        <v>549</v>
      </c>
      <c r="H935" s="34" t="s">
        <v>39</v>
      </c>
      <c r="I935" s="34" t="s">
        <v>19</v>
      </c>
      <c r="J935" s="34" t="s">
        <v>204</v>
      </c>
      <c r="K935" s="34" t="s">
        <v>48</v>
      </c>
      <c r="L935" s="34" t="s">
        <v>47</v>
      </c>
      <c r="M935">
        <v>-2.8000000000000001E-2</v>
      </c>
    </row>
    <row r="936" spans="1:13" x14ac:dyDescent="0.3">
      <c r="A936" s="34" t="s">
        <v>662</v>
      </c>
      <c r="B936">
        <v>-1</v>
      </c>
      <c r="C936">
        <v>2050</v>
      </c>
      <c r="D936" s="34" t="s">
        <v>336</v>
      </c>
      <c r="E936" s="34" t="s">
        <v>337</v>
      </c>
      <c r="F936" s="34" t="s">
        <v>531</v>
      </c>
      <c r="G936" s="34" t="s">
        <v>550</v>
      </c>
      <c r="H936" s="34" t="s">
        <v>39</v>
      </c>
      <c r="I936" s="34" t="s">
        <v>203</v>
      </c>
      <c r="J936" s="34" t="s">
        <v>204</v>
      </c>
      <c r="K936" s="34" t="s">
        <v>46</v>
      </c>
      <c r="L936" s="34" t="s">
        <v>47</v>
      </c>
      <c r="M936">
        <v>0.11538461538461538</v>
      </c>
    </row>
    <row r="937" spans="1:13" x14ac:dyDescent="0.3">
      <c r="A937" s="34" t="s">
        <v>662</v>
      </c>
      <c r="B937">
        <v>-1</v>
      </c>
      <c r="C937">
        <v>2050</v>
      </c>
      <c r="D937" s="34" t="s">
        <v>336</v>
      </c>
      <c r="E937" s="34" t="s">
        <v>337</v>
      </c>
      <c r="F937" s="34" t="s">
        <v>531</v>
      </c>
      <c r="G937" s="34" t="s">
        <v>550</v>
      </c>
      <c r="H937" s="34" t="s">
        <v>39</v>
      </c>
      <c r="I937" s="34" t="s">
        <v>203</v>
      </c>
      <c r="J937" s="34" t="s">
        <v>204</v>
      </c>
      <c r="K937" s="34" t="s">
        <v>48</v>
      </c>
      <c r="L937" s="34" t="s">
        <v>47</v>
      </c>
      <c r="M937">
        <v>-0.11538461538461538</v>
      </c>
    </row>
    <row r="938" spans="1:13" x14ac:dyDescent="0.3">
      <c r="A938" s="34" t="s">
        <v>662</v>
      </c>
      <c r="B938">
        <v>-1</v>
      </c>
      <c r="C938">
        <v>2050</v>
      </c>
      <c r="D938" s="34" t="s">
        <v>336</v>
      </c>
      <c r="E938" s="34" t="s">
        <v>337</v>
      </c>
      <c r="F938" s="34" t="s">
        <v>531</v>
      </c>
      <c r="G938" s="34" t="s">
        <v>550</v>
      </c>
      <c r="H938" s="34" t="s">
        <v>39</v>
      </c>
      <c r="I938" s="34" t="s">
        <v>19</v>
      </c>
      <c r="J938" s="34" t="s">
        <v>204</v>
      </c>
      <c r="K938" s="34" t="s">
        <v>46</v>
      </c>
      <c r="L938" s="34" t="s">
        <v>47</v>
      </c>
      <c r="M938">
        <v>0.03</v>
      </c>
    </row>
    <row r="939" spans="1:13" x14ac:dyDescent="0.3">
      <c r="A939" s="34" t="s">
        <v>662</v>
      </c>
      <c r="B939">
        <v>-1</v>
      </c>
      <c r="C939">
        <v>2050</v>
      </c>
      <c r="D939" s="34" t="s">
        <v>336</v>
      </c>
      <c r="E939" s="34" t="s">
        <v>337</v>
      </c>
      <c r="F939" s="34" t="s">
        <v>531</v>
      </c>
      <c r="G939" s="34" t="s">
        <v>550</v>
      </c>
      <c r="H939" s="34" t="s">
        <v>39</v>
      </c>
      <c r="I939" s="34" t="s">
        <v>19</v>
      </c>
      <c r="J939" s="34" t="s">
        <v>204</v>
      </c>
      <c r="K939" s="34" t="s">
        <v>48</v>
      </c>
      <c r="L939" s="34" t="s">
        <v>47</v>
      </c>
      <c r="M939">
        <v>-0.03</v>
      </c>
    </row>
    <row r="940" spans="1:13" x14ac:dyDescent="0.3">
      <c r="A940" s="34" t="s">
        <v>662</v>
      </c>
      <c r="B940">
        <v>-1</v>
      </c>
      <c r="C940">
        <v>2050</v>
      </c>
      <c r="D940" s="34" t="s">
        <v>336</v>
      </c>
      <c r="E940" s="34" t="s">
        <v>337</v>
      </c>
      <c r="F940" s="34" t="s">
        <v>531</v>
      </c>
      <c r="G940" s="34" t="s">
        <v>551</v>
      </c>
      <c r="H940" s="34" t="s">
        <v>39</v>
      </c>
      <c r="I940" s="34" t="s">
        <v>203</v>
      </c>
      <c r="J940" s="34" t="s">
        <v>204</v>
      </c>
      <c r="K940" s="34" t="s">
        <v>46</v>
      </c>
      <c r="L940" s="34" t="s">
        <v>47</v>
      </c>
      <c r="M940">
        <v>0.25454545454545457</v>
      </c>
    </row>
    <row r="941" spans="1:13" x14ac:dyDescent="0.3">
      <c r="A941" s="34" t="s">
        <v>662</v>
      </c>
      <c r="B941">
        <v>-1</v>
      </c>
      <c r="C941">
        <v>2050</v>
      </c>
      <c r="D941" s="34" t="s">
        <v>336</v>
      </c>
      <c r="E941" s="34" t="s">
        <v>337</v>
      </c>
      <c r="F941" s="34" t="s">
        <v>531</v>
      </c>
      <c r="G941" s="34" t="s">
        <v>551</v>
      </c>
      <c r="H941" s="34" t="s">
        <v>39</v>
      </c>
      <c r="I941" s="34" t="s">
        <v>203</v>
      </c>
      <c r="J941" s="34" t="s">
        <v>204</v>
      </c>
      <c r="K941" s="34" t="s">
        <v>48</v>
      </c>
      <c r="L941" s="34" t="s">
        <v>47</v>
      </c>
      <c r="M941">
        <v>-0.25454545454545457</v>
      </c>
    </row>
    <row r="942" spans="1:13" x14ac:dyDescent="0.3">
      <c r="A942" s="34" t="s">
        <v>662</v>
      </c>
      <c r="B942">
        <v>-1</v>
      </c>
      <c r="C942">
        <v>2050</v>
      </c>
      <c r="D942" s="34" t="s">
        <v>336</v>
      </c>
      <c r="E942" s="34" t="s">
        <v>337</v>
      </c>
      <c r="F942" s="34" t="s">
        <v>531</v>
      </c>
      <c r="G942" s="34" t="s">
        <v>551</v>
      </c>
      <c r="H942" s="34" t="s">
        <v>39</v>
      </c>
      <c r="I942" s="34" t="s">
        <v>19</v>
      </c>
      <c r="J942" s="34" t="s">
        <v>204</v>
      </c>
      <c r="K942" s="34" t="s">
        <v>46</v>
      </c>
      <c r="L942" s="34" t="s">
        <v>47</v>
      </c>
      <c r="M942">
        <v>8.4000000000000005E-2</v>
      </c>
    </row>
    <row r="943" spans="1:13" x14ac:dyDescent="0.3">
      <c r="A943" s="34" t="s">
        <v>662</v>
      </c>
      <c r="B943">
        <v>-1</v>
      </c>
      <c r="C943">
        <v>2050</v>
      </c>
      <c r="D943" s="34" t="s">
        <v>336</v>
      </c>
      <c r="E943" s="34" t="s">
        <v>337</v>
      </c>
      <c r="F943" s="34" t="s">
        <v>531</v>
      </c>
      <c r="G943" s="34" t="s">
        <v>551</v>
      </c>
      <c r="H943" s="34" t="s">
        <v>39</v>
      </c>
      <c r="I943" s="34" t="s">
        <v>19</v>
      </c>
      <c r="J943" s="34" t="s">
        <v>204</v>
      </c>
      <c r="K943" s="34" t="s">
        <v>48</v>
      </c>
      <c r="L943" s="34" t="s">
        <v>47</v>
      </c>
      <c r="M943">
        <v>-8.4000000000000005E-2</v>
      </c>
    </row>
    <row r="944" spans="1:13" x14ac:dyDescent="0.3">
      <c r="A944" s="34" t="s">
        <v>662</v>
      </c>
      <c r="B944">
        <v>-1</v>
      </c>
      <c r="C944">
        <v>2050</v>
      </c>
      <c r="D944" s="34" t="s">
        <v>336</v>
      </c>
      <c r="E944" s="34" t="s">
        <v>337</v>
      </c>
      <c r="F944" s="34" t="s">
        <v>531</v>
      </c>
      <c r="G944" s="34" t="s">
        <v>552</v>
      </c>
      <c r="H944" s="34" t="s">
        <v>39</v>
      </c>
      <c r="I944" s="34" t="s">
        <v>203</v>
      </c>
      <c r="J944" s="34" t="s">
        <v>204</v>
      </c>
      <c r="K944" s="34" t="s">
        <v>46</v>
      </c>
      <c r="L944" s="34" t="s">
        <v>47</v>
      </c>
      <c r="M944">
        <v>0.25454545454545457</v>
      </c>
    </row>
    <row r="945" spans="1:13" x14ac:dyDescent="0.3">
      <c r="A945" s="34" t="s">
        <v>662</v>
      </c>
      <c r="B945">
        <v>-1</v>
      </c>
      <c r="C945">
        <v>2050</v>
      </c>
      <c r="D945" s="34" t="s">
        <v>336</v>
      </c>
      <c r="E945" s="34" t="s">
        <v>337</v>
      </c>
      <c r="F945" s="34" t="s">
        <v>531</v>
      </c>
      <c r="G945" s="34" t="s">
        <v>552</v>
      </c>
      <c r="H945" s="34" t="s">
        <v>39</v>
      </c>
      <c r="I945" s="34" t="s">
        <v>203</v>
      </c>
      <c r="J945" s="34" t="s">
        <v>204</v>
      </c>
      <c r="K945" s="34" t="s">
        <v>48</v>
      </c>
      <c r="L945" s="34" t="s">
        <v>47</v>
      </c>
      <c r="M945">
        <v>-0.25454545454545457</v>
      </c>
    </row>
    <row r="946" spans="1:13" x14ac:dyDescent="0.3">
      <c r="A946" s="34" t="s">
        <v>662</v>
      </c>
      <c r="B946">
        <v>-1</v>
      </c>
      <c r="C946">
        <v>2050</v>
      </c>
      <c r="D946" s="34" t="s">
        <v>336</v>
      </c>
      <c r="E946" s="34" t="s">
        <v>337</v>
      </c>
      <c r="F946" s="34" t="s">
        <v>531</v>
      </c>
      <c r="G946" s="34" t="s">
        <v>552</v>
      </c>
      <c r="H946" s="34" t="s">
        <v>39</v>
      </c>
      <c r="I946" s="34" t="s">
        <v>19</v>
      </c>
      <c r="J946" s="34" t="s">
        <v>204</v>
      </c>
      <c r="K946" s="34" t="s">
        <v>46</v>
      </c>
      <c r="L946" s="34" t="s">
        <v>47</v>
      </c>
      <c r="M946">
        <v>8.4000000000000005E-2</v>
      </c>
    </row>
    <row r="947" spans="1:13" x14ac:dyDescent="0.3">
      <c r="A947" s="34" t="s">
        <v>662</v>
      </c>
      <c r="B947">
        <v>-1</v>
      </c>
      <c r="C947">
        <v>2050</v>
      </c>
      <c r="D947" s="34" t="s">
        <v>336</v>
      </c>
      <c r="E947" s="34" t="s">
        <v>337</v>
      </c>
      <c r="F947" s="34" t="s">
        <v>531</v>
      </c>
      <c r="G947" s="34" t="s">
        <v>552</v>
      </c>
      <c r="H947" s="34" t="s">
        <v>39</v>
      </c>
      <c r="I947" s="34" t="s">
        <v>19</v>
      </c>
      <c r="J947" s="34" t="s">
        <v>204</v>
      </c>
      <c r="K947" s="34" t="s">
        <v>48</v>
      </c>
      <c r="L947" s="34" t="s">
        <v>47</v>
      </c>
      <c r="M947">
        <v>-8.4000000000000005E-2</v>
      </c>
    </row>
    <row r="948" spans="1:13" x14ac:dyDescent="0.3">
      <c r="A948" s="34" t="s">
        <v>662</v>
      </c>
      <c r="B948">
        <v>-1</v>
      </c>
      <c r="C948">
        <v>2050</v>
      </c>
      <c r="D948" s="34" t="s">
        <v>336</v>
      </c>
      <c r="E948" s="34" t="s">
        <v>337</v>
      </c>
      <c r="F948" s="34" t="s">
        <v>531</v>
      </c>
      <c r="G948" s="34" t="s">
        <v>11</v>
      </c>
      <c r="H948" s="34" t="s">
        <v>12</v>
      </c>
      <c r="I948" s="34" t="s">
        <v>13</v>
      </c>
      <c r="J948" s="34" t="s">
        <v>14</v>
      </c>
      <c r="K948" s="34" t="s">
        <v>46</v>
      </c>
      <c r="L948" s="34" t="s">
        <v>47</v>
      </c>
      <c r="M948">
        <v>2.6660000000000008</v>
      </c>
    </row>
    <row r="949" spans="1:13" x14ac:dyDescent="0.3">
      <c r="A949" s="34" t="s">
        <v>662</v>
      </c>
      <c r="B949">
        <v>-1</v>
      </c>
      <c r="C949">
        <v>2050</v>
      </c>
      <c r="D949" s="34" t="s">
        <v>336</v>
      </c>
      <c r="E949" s="34" t="s">
        <v>337</v>
      </c>
      <c r="F949" s="34" t="s">
        <v>531</v>
      </c>
      <c r="G949" s="34" t="s">
        <v>11</v>
      </c>
      <c r="H949" s="34" t="s">
        <v>12</v>
      </c>
      <c r="I949" s="34" t="s">
        <v>13</v>
      </c>
      <c r="J949" s="34" t="s">
        <v>14</v>
      </c>
      <c r="K949" s="34" t="s">
        <v>48</v>
      </c>
      <c r="L949" s="34" t="s">
        <v>47</v>
      </c>
      <c r="M949">
        <v>-0.66600000000000181</v>
      </c>
    </row>
    <row r="950" spans="1:13" x14ac:dyDescent="0.3">
      <c r="A950" s="34" t="s">
        <v>662</v>
      </c>
      <c r="B950">
        <v>-1</v>
      </c>
      <c r="C950">
        <v>2050</v>
      </c>
      <c r="D950" s="34" t="s">
        <v>336</v>
      </c>
      <c r="E950" s="34" t="s">
        <v>337</v>
      </c>
      <c r="F950" s="34" t="s">
        <v>531</v>
      </c>
      <c r="G950" s="34" t="s">
        <v>16</v>
      </c>
      <c r="H950" s="34" t="s">
        <v>12</v>
      </c>
      <c r="I950" s="34" t="s">
        <v>13</v>
      </c>
      <c r="J950" s="34" t="s">
        <v>14</v>
      </c>
      <c r="K950" s="34" t="s">
        <v>49</v>
      </c>
      <c r="L950" s="34" t="s">
        <v>47</v>
      </c>
      <c r="M950">
        <v>42.063943773628928</v>
      </c>
    </row>
    <row r="951" spans="1:13" x14ac:dyDescent="0.3">
      <c r="A951" s="34" t="s">
        <v>662</v>
      </c>
      <c r="B951">
        <v>-1</v>
      </c>
      <c r="C951">
        <v>2050</v>
      </c>
      <c r="D951" s="34" t="s">
        <v>336</v>
      </c>
      <c r="E951" s="34" t="s">
        <v>337</v>
      </c>
      <c r="F951" s="34" t="s">
        <v>531</v>
      </c>
      <c r="G951" s="34" t="s">
        <v>392</v>
      </c>
      <c r="H951" s="34" t="s">
        <v>13</v>
      </c>
      <c r="I951" s="34" t="s">
        <v>13</v>
      </c>
      <c r="J951" s="34" t="s">
        <v>17</v>
      </c>
      <c r="K951" s="34" t="s">
        <v>49</v>
      </c>
      <c r="L951" s="34" t="s">
        <v>47</v>
      </c>
      <c r="M951">
        <v>48.090370784983733</v>
      </c>
    </row>
    <row r="952" spans="1:13" x14ac:dyDescent="0.3">
      <c r="A952" s="34" t="s">
        <v>662</v>
      </c>
      <c r="B952">
        <v>-1</v>
      </c>
      <c r="C952">
        <v>2050</v>
      </c>
      <c r="D952" s="34" t="s">
        <v>336</v>
      </c>
      <c r="E952" s="34" t="s">
        <v>337</v>
      </c>
      <c r="F952" s="34" t="s">
        <v>531</v>
      </c>
      <c r="G952" s="34" t="s">
        <v>41</v>
      </c>
      <c r="H952" s="34" t="s">
        <v>40</v>
      </c>
      <c r="I952" s="34" t="s">
        <v>13</v>
      </c>
      <c r="J952" s="34" t="s">
        <v>42</v>
      </c>
      <c r="K952" s="34" t="s">
        <v>46</v>
      </c>
      <c r="L952" s="34" t="s">
        <v>47</v>
      </c>
      <c r="M952">
        <v>1.5151128460938892</v>
      </c>
    </row>
    <row r="953" spans="1:13" x14ac:dyDescent="0.3">
      <c r="A953" s="34" t="s">
        <v>662</v>
      </c>
      <c r="B953">
        <v>-1</v>
      </c>
      <c r="C953">
        <v>2050</v>
      </c>
      <c r="D953" s="34" t="s">
        <v>336</v>
      </c>
      <c r="E953" s="34" t="s">
        <v>337</v>
      </c>
      <c r="F953" s="34" t="s">
        <v>531</v>
      </c>
      <c r="G953" s="34" t="s">
        <v>41</v>
      </c>
      <c r="H953" s="34" t="s">
        <v>40</v>
      </c>
      <c r="I953" s="34" t="s">
        <v>13</v>
      </c>
      <c r="J953" s="34" t="s">
        <v>42</v>
      </c>
      <c r="K953" s="34" t="s">
        <v>49</v>
      </c>
      <c r="L953" s="34" t="s">
        <v>47</v>
      </c>
      <c r="M953">
        <v>-3.1832314562052488E-16</v>
      </c>
    </row>
    <row r="954" spans="1:13" x14ac:dyDescent="0.3">
      <c r="A954" s="34" t="s">
        <v>662</v>
      </c>
      <c r="B954">
        <v>-1</v>
      </c>
      <c r="C954">
        <v>2050</v>
      </c>
      <c r="D954" s="34" t="s">
        <v>336</v>
      </c>
      <c r="E954" s="34" t="s">
        <v>337</v>
      </c>
      <c r="F954" s="34" t="s">
        <v>531</v>
      </c>
      <c r="G954" s="34" t="s">
        <v>41</v>
      </c>
      <c r="H954" s="34" t="s">
        <v>40</v>
      </c>
      <c r="I954" s="34" t="s">
        <v>13</v>
      </c>
      <c r="J954" s="34" t="s">
        <v>42</v>
      </c>
      <c r="K954" s="34" t="s">
        <v>48</v>
      </c>
      <c r="L954" s="34" t="s">
        <v>47</v>
      </c>
      <c r="M954">
        <v>-1.515112846093889</v>
      </c>
    </row>
    <row r="955" spans="1:13" x14ac:dyDescent="0.3">
      <c r="A955" s="34" t="s">
        <v>662</v>
      </c>
      <c r="B955">
        <v>-1</v>
      </c>
      <c r="C955">
        <v>2050</v>
      </c>
      <c r="D955" s="34" t="s">
        <v>336</v>
      </c>
      <c r="E955" s="34" t="s">
        <v>337</v>
      </c>
      <c r="F955" s="34" t="s">
        <v>553</v>
      </c>
      <c r="G955" s="34" t="s">
        <v>554</v>
      </c>
      <c r="H955" s="34" t="s">
        <v>268</v>
      </c>
      <c r="I955" s="34" t="s">
        <v>19</v>
      </c>
      <c r="J955" s="34" t="s">
        <v>27</v>
      </c>
      <c r="K955" s="34" t="s">
        <v>46</v>
      </c>
      <c r="L955" s="34" t="s">
        <v>47</v>
      </c>
      <c r="M955">
        <v>0.61</v>
      </c>
    </row>
    <row r="956" spans="1:13" x14ac:dyDescent="0.3">
      <c r="A956" s="34" t="s">
        <v>662</v>
      </c>
      <c r="B956">
        <v>-1</v>
      </c>
      <c r="C956">
        <v>2050</v>
      </c>
      <c r="D956" s="34" t="s">
        <v>336</v>
      </c>
      <c r="E956" s="34" t="s">
        <v>337</v>
      </c>
      <c r="F956" s="34" t="s">
        <v>553</v>
      </c>
      <c r="G956" s="34" t="s">
        <v>554</v>
      </c>
      <c r="H956" s="34" t="s">
        <v>268</v>
      </c>
      <c r="I956" s="34" t="s">
        <v>19</v>
      </c>
      <c r="J956" s="34" t="s">
        <v>27</v>
      </c>
      <c r="K956" s="34" t="s">
        <v>48</v>
      </c>
      <c r="L956" s="34" t="s">
        <v>47</v>
      </c>
      <c r="M956">
        <v>-0.61</v>
      </c>
    </row>
    <row r="957" spans="1:13" x14ac:dyDescent="0.3">
      <c r="A957" s="34" t="s">
        <v>662</v>
      </c>
      <c r="B957">
        <v>-1</v>
      </c>
      <c r="C957">
        <v>2050</v>
      </c>
      <c r="D957" s="34" t="s">
        <v>336</v>
      </c>
      <c r="E957" s="34" t="s">
        <v>337</v>
      </c>
      <c r="F957" s="34" t="s">
        <v>553</v>
      </c>
      <c r="G957" s="34" t="s">
        <v>555</v>
      </c>
      <c r="H957" s="34" t="s">
        <v>268</v>
      </c>
      <c r="I957" s="34" t="s">
        <v>19</v>
      </c>
      <c r="J957" s="34" t="s">
        <v>27</v>
      </c>
      <c r="K957" s="34" t="s">
        <v>46</v>
      </c>
      <c r="L957" s="34" t="s">
        <v>47</v>
      </c>
      <c r="M957">
        <v>3.8519999999999999</v>
      </c>
    </row>
    <row r="958" spans="1:13" x14ac:dyDescent="0.3">
      <c r="A958" s="34" t="s">
        <v>662</v>
      </c>
      <c r="B958">
        <v>-1</v>
      </c>
      <c r="C958">
        <v>2050</v>
      </c>
      <c r="D958" s="34" t="s">
        <v>336</v>
      </c>
      <c r="E958" s="34" t="s">
        <v>337</v>
      </c>
      <c r="F958" s="34" t="s">
        <v>553</v>
      </c>
      <c r="G958" s="34" t="s">
        <v>555</v>
      </c>
      <c r="H958" s="34" t="s">
        <v>268</v>
      </c>
      <c r="I958" s="34" t="s">
        <v>19</v>
      </c>
      <c r="J958" s="34" t="s">
        <v>27</v>
      </c>
      <c r="K958" s="34" t="s">
        <v>48</v>
      </c>
      <c r="L958" s="34" t="s">
        <v>47</v>
      </c>
      <c r="M958">
        <v>-3.8519999999999999</v>
      </c>
    </row>
    <row r="959" spans="1:13" x14ac:dyDescent="0.3">
      <c r="A959" s="34" t="s">
        <v>662</v>
      </c>
      <c r="B959">
        <v>-1</v>
      </c>
      <c r="C959">
        <v>2050</v>
      </c>
      <c r="D959" s="34" t="s">
        <v>336</v>
      </c>
      <c r="E959" s="34" t="s">
        <v>337</v>
      </c>
      <c r="F959" s="34" t="s">
        <v>553</v>
      </c>
      <c r="G959" s="34" t="s">
        <v>556</v>
      </c>
      <c r="H959" s="34" t="s">
        <v>39</v>
      </c>
      <c r="I959" s="34" t="s">
        <v>19</v>
      </c>
      <c r="J959" s="34" t="s">
        <v>27</v>
      </c>
      <c r="K959" s="34" t="s">
        <v>46</v>
      </c>
      <c r="L959" s="34" t="s">
        <v>47</v>
      </c>
      <c r="M959">
        <v>1.425</v>
      </c>
    </row>
    <row r="960" spans="1:13" x14ac:dyDescent="0.3">
      <c r="A960" s="34" t="s">
        <v>662</v>
      </c>
      <c r="B960">
        <v>-1</v>
      </c>
      <c r="C960">
        <v>2050</v>
      </c>
      <c r="D960" s="34" t="s">
        <v>336</v>
      </c>
      <c r="E960" s="34" t="s">
        <v>337</v>
      </c>
      <c r="F960" s="34" t="s">
        <v>553</v>
      </c>
      <c r="G960" s="34" t="s">
        <v>556</v>
      </c>
      <c r="H960" s="34" t="s">
        <v>39</v>
      </c>
      <c r="I960" s="34" t="s">
        <v>19</v>
      </c>
      <c r="J960" s="34" t="s">
        <v>27</v>
      </c>
      <c r="K960" s="34" t="s">
        <v>48</v>
      </c>
      <c r="L960" s="34" t="s">
        <v>47</v>
      </c>
      <c r="M960">
        <v>-1.425</v>
      </c>
    </row>
    <row r="961" spans="1:13" x14ac:dyDescent="0.3">
      <c r="A961" s="34" t="s">
        <v>662</v>
      </c>
      <c r="B961">
        <v>-1</v>
      </c>
      <c r="C961">
        <v>2050</v>
      </c>
      <c r="D961" s="34" t="s">
        <v>336</v>
      </c>
      <c r="E961" s="34" t="s">
        <v>337</v>
      </c>
      <c r="F961" s="34" t="s">
        <v>553</v>
      </c>
      <c r="G961" s="34" t="s">
        <v>180</v>
      </c>
      <c r="H961" s="34" t="s">
        <v>18</v>
      </c>
      <c r="I961" s="34" t="s">
        <v>19</v>
      </c>
      <c r="J961" s="34" t="s">
        <v>181</v>
      </c>
      <c r="K961" s="34" t="s">
        <v>46</v>
      </c>
      <c r="L961" s="34" t="s">
        <v>47</v>
      </c>
      <c r="M961">
        <v>0.95300000000000007</v>
      </c>
    </row>
    <row r="962" spans="1:13" x14ac:dyDescent="0.3">
      <c r="A962" s="34" t="s">
        <v>662</v>
      </c>
      <c r="B962">
        <v>-1</v>
      </c>
      <c r="C962">
        <v>2050</v>
      </c>
      <c r="D962" s="34" t="s">
        <v>336</v>
      </c>
      <c r="E962" s="34" t="s">
        <v>337</v>
      </c>
      <c r="F962" s="34" t="s">
        <v>553</v>
      </c>
      <c r="G962" s="34" t="s">
        <v>253</v>
      </c>
      <c r="H962" s="34" t="s">
        <v>254</v>
      </c>
      <c r="I962" s="34" t="s">
        <v>19</v>
      </c>
      <c r="J962" s="34" t="s">
        <v>27</v>
      </c>
      <c r="K962" s="34" t="s">
        <v>46</v>
      </c>
      <c r="L962" s="34" t="s">
        <v>47</v>
      </c>
      <c r="M962">
        <v>2.7760000000000002</v>
      </c>
    </row>
    <row r="963" spans="1:13" x14ac:dyDescent="0.3">
      <c r="A963" s="34" t="s">
        <v>662</v>
      </c>
      <c r="B963">
        <v>-1</v>
      </c>
      <c r="C963">
        <v>2050</v>
      </c>
      <c r="D963" s="34" t="s">
        <v>336</v>
      </c>
      <c r="E963" s="34" t="s">
        <v>337</v>
      </c>
      <c r="F963" s="34" t="s">
        <v>553</v>
      </c>
      <c r="G963" s="34" t="s">
        <v>253</v>
      </c>
      <c r="H963" s="34" t="s">
        <v>254</v>
      </c>
      <c r="I963" s="34" t="s">
        <v>19</v>
      </c>
      <c r="J963" s="34" t="s">
        <v>27</v>
      </c>
      <c r="K963" s="34" t="s">
        <v>48</v>
      </c>
      <c r="L963" s="34" t="s">
        <v>47</v>
      </c>
      <c r="M963">
        <v>-2.7760000000000002</v>
      </c>
    </row>
    <row r="964" spans="1:13" x14ac:dyDescent="0.3">
      <c r="A964" s="34" t="s">
        <v>662</v>
      </c>
      <c r="B964">
        <v>-1</v>
      </c>
      <c r="C964">
        <v>2050</v>
      </c>
      <c r="D964" s="34" t="s">
        <v>336</v>
      </c>
      <c r="E964" s="34" t="s">
        <v>337</v>
      </c>
      <c r="F964" s="34" t="s">
        <v>553</v>
      </c>
      <c r="G964" s="34" t="s">
        <v>557</v>
      </c>
      <c r="H964" s="34" t="s">
        <v>39</v>
      </c>
      <c r="I964" s="34" t="s">
        <v>19</v>
      </c>
      <c r="J964" s="34" t="s">
        <v>27</v>
      </c>
      <c r="K964" s="34" t="s">
        <v>46</v>
      </c>
      <c r="L964" s="34" t="s">
        <v>47</v>
      </c>
      <c r="M964">
        <v>1.2750000000000001</v>
      </c>
    </row>
    <row r="965" spans="1:13" x14ac:dyDescent="0.3">
      <c r="A965" s="34" t="s">
        <v>662</v>
      </c>
      <c r="B965">
        <v>-1</v>
      </c>
      <c r="C965">
        <v>2050</v>
      </c>
      <c r="D965" s="34" t="s">
        <v>336</v>
      </c>
      <c r="E965" s="34" t="s">
        <v>337</v>
      </c>
      <c r="F965" s="34" t="s">
        <v>553</v>
      </c>
      <c r="G965" s="34" t="s">
        <v>557</v>
      </c>
      <c r="H965" s="34" t="s">
        <v>39</v>
      </c>
      <c r="I965" s="34" t="s">
        <v>19</v>
      </c>
      <c r="J965" s="34" t="s">
        <v>27</v>
      </c>
      <c r="K965" s="34" t="s">
        <v>48</v>
      </c>
      <c r="L965" s="34" t="s">
        <v>47</v>
      </c>
      <c r="M965">
        <v>-1.2750000000000001</v>
      </c>
    </row>
    <row r="966" spans="1:13" x14ac:dyDescent="0.3">
      <c r="A966" s="34" t="s">
        <v>662</v>
      </c>
      <c r="B966">
        <v>-1</v>
      </c>
      <c r="C966">
        <v>2050</v>
      </c>
      <c r="D966" s="34" t="s">
        <v>336</v>
      </c>
      <c r="E966" s="34" t="s">
        <v>337</v>
      </c>
      <c r="F966" s="34" t="s">
        <v>553</v>
      </c>
      <c r="G966" s="34" t="s">
        <v>558</v>
      </c>
      <c r="H966" s="34" t="s">
        <v>39</v>
      </c>
      <c r="I966" s="34" t="s">
        <v>19</v>
      </c>
      <c r="J966" s="34" t="s">
        <v>27</v>
      </c>
      <c r="K966" s="34" t="s">
        <v>46</v>
      </c>
      <c r="L966" s="34" t="s">
        <v>47</v>
      </c>
      <c r="M966">
        <v>0.93800000000000006</v>
      </c>
    </row>
    <row r="967" spans="1:13" x14ac:dyDescent="0.3">
      <c r="A967" s="34" t="s">
        <v>662</v>
      </c>
      <c r="B967">
        <v>-1</v>
      </c>
      <c r="C967">
        <v>2050</v>
      </c>
      <c r="D967" s="34" t="s">
        <v>336</v>
      </c>
      <c r="E967" s="34" t="s">
        <v>337</v>
      </c>
      <c r="F967" s="34" t="s">
        <v>553</v>
      </c>
      <c r="G967" s="34" t="s">
        <v>558</v>
      </c>
      <c r="H967" s="34" t="s">
        <v>39</v>
      </c>
      <c r="I967" s="34" t="s">
        <v>19</v>
      </c>
      <c r="J967" s="34" t="s">
        <v>27</v>
      </c>
      <c r="K967" s="34" t="s">
        <v>48</v>
      </c>
      <c r="L967" s="34" t="s">
        <v>47</v>
      </c>
      <c r="M967">
        <v>-0.93800000000000006</v>
      </c>
    </row>
    <row r="968" spans="1:13" x14ac:dyDescent="0.3">
      <c r="A968" s="34" t="s">
        <v>662</v>
      </c>
      <c r="B968">
        <v>-1</v>
      </c>
      <c r="C968">
        <v>2050</v>
      </c>
      <c r="D968" s="34" t="s">
        <v>336</v>
      </c>
      <c r="E968" s="34" t="s">
        <v>337</v>
      </c>
      <c r="F968" s="34" t="s">
        <v>553</v>
      </c>
      <c r="G968" s="34" t="s">
        <v>559</v>
      </c>
      <c r="H968" s="34" t="s">
        <v>39</v>
      </c>
      <c r="I968" s="34" t="s">
        <v>19</v>
      </c>
      <c r="J968" s="34" t="s">
        <v>27</v>
      </c>
      <c r="K968" s="34" t="s">
        <v>46</v>
      </c>
      <c r="L968" s="34" t="s">
        <v>47</v>
      </c>
      <c r="M968">
        <v>0.42699999999999999</v>
      </c>
    </row>
    <row r="969" spans="1:13" x14ac:dyDescent="0.3">
      <c r="A969" s="34" t="s">
        <v>662</v>
      </c>
      <c r="B969">
        <v>-1</v>
      </c>
      <c r="C969">
        <v>2050</v>
      </c>
      <c r="D969" s="34" t="s">
        <v>336</v>
      </c>
      <c r="E969" s="34" t="s">
        <v>337</v>
      </c>
      <c r="F969" s="34" t="s">
        <v>553</v>
      </c>
      <c r="G969" s="34" t="s">
        <v>559</v>
      </c>
      <c r="H969" s="34" t="s">
        <v>39</v>
      </c>
      <c r="I969" s="34" t="s">
        <v>19</v>
      </c>
      <c r="J969" s="34" t="s">
        <v>27</v>
      </c>
      <c r="K969" s="34" t="s">
        <v>48</v>
      </c>
      <c r="L969" s="34" t="s">
        <v>47</v>
      </c>
      <c r="M969">
        <v>-0.42699999999999999</v>
      </c>
    </row>
    <row r="970" spans="1:13" x14ac:dyDescent="0.3">
      <c r="A970" s="34" t="s">
        <v>662</v>
      </c>
      <c r="B970">
        <v>-1</v>
      </c>
      <c r="C970">
        <v>2050</v>
      </c>
      <c r="D970" s="34" t="s">
        <v>336</v>
      </c>
      <c r="E970" s="34" t="s">
        <v>337</v>
      </c>
      <c r="F970" s="34" t="s">
        <v>553</v>
      </c>
      <c r="G970" s="34" t="s">
        <v>560</v>
      </c>
      <c r="H970" s="34" t="s">
        <v>39</v>
      </c>
      <c r="I970" s="34" t="s">
        <v>19</v>
      </c>
      <c r="J970" s="34" t="s">
        <v>27</v>
      </c>
      <c r="K970" s="34" t="s">
        <v>46</v>
      </c>
      <c r="L970" s="34" t="s">
        <v>47</v>
      </c>
      <c r="M970">
        <v>1.42</v>
      </c>
    </row>
    <row r="971" spans="1:13" x14ac:dyDescent="0.3">
      <c r="A971" s="34" t="s">
        <v>662</v>
      </c>
      <c r="B971">
        <v>-1</v>
      </c>
      <c r="C971">
        <v>2050</v>
      </c>
      <c r="D971" s="34" t="s">
        <v>336</v>
      </c>
      <c r="E971" s="34" t="s">
        <v>337</v>
      </c>
      <c r="F971" s="34" t="s">
        <v>553</v>
      </c>
      <c r="G971" s="34" t="s">
        <v>560</v>
      </c>
      <c r="H971" s="34" t="s">
        <v>39</v>
      </c>
      <c r="I971" s="34" t="s">
        <v>19</v>
      </c>
      <c r="J971" s="34" t="s">
        <v>27</v>
      </c>
      <c r="K971" s="34" t="s">
        <v>48</v>
      </c>
      <c r="L971" s="34" t="s">
        <v>47</v>
      </c>
      <c r="M971">
        <v>-1.42</v>
      </c>
    </row>
    <row r="972" spans="1:13" x14ac:dyDescent="0.3">
      <c r="A972" s="34" t="s">
        <v>662</v>
      </c>
      <c r="B972">
        <v>-1</v>
      </c>
      <c r="C972">
        <v>2050</v>
      </c>
      <c r="D972" s="34" t="s">
        <v>336</v>
      </c>
      <c r="E972" s="34" t="s">
        <v>337</v>
      </c>
      <c r="F972" s="34" t="s">
        <v>553</v>
      </c>
      <c r="G972" s="34" t="s">
        <v>561</v>
      </c>
      <c r="H972" s="34" t="s">
        <v>39</v>
      </c>
      <c r="I972" s="34" t="s">
        <v>19</v>
      </c>
      <c r="J972" s="34" t="s">
        <v>27</v>
      </c>
      <c r="K972" s="34" t="s">
        <v>46</v>
      </c>
      <c r="L972" s="34" t="s">
        <v>47</v>
      </c>
      <c r="M972">
        <v>0.68800000000000006</v>
      </c>
    </row>
    <row r="973" spans="1:13" x14ac:dyDescent="0.3">
      <c r="A973" s="34" t="s">
        <v>662</v>
      </c>
      <c r="B973">
        <v>-1</v>
      </c>
      <c r="C973">
        <v>2050</v>
      </c>
      <c r="D973" s="34" t="s">
        <v>336</v>
      </c>
      <c r="E973" s="34" t="s">
        <v>337</v>
      </c>
      <c r="F973" s="34" t="s">
        <v>553</v>
      </c>
      <c r="G973" s="34" t="s">
        <v>561</v>
      </c>
      <c r="H973" s="34" t="s">
        <v>39</v>
      </c>
      <c r="I973" s="34" t="s">
        <v>19</v>
      </c>
      <c r="J973" s="34" t="s">
        <v>27</v>
      </c>
      <c r="K973" s="34" t="s">
        <v>48</v>
      </c>
      <c r="L973" s="34" t="s">
        <v>47</v>
      </c>
      <c r="M973">
        <v>-0.68800000000000006</v>
      </c>
    </row>
    <row r="974" spans="1:13" x14ac:dyDescent="0.3">
      <c r="A974" s="34" t="s">
        <v>662</v>
      </c>
      <c r="B974">
        <v>-1</v>
      </c>
      <c r="C974">
        <v>2050</v>
      </c>
      <c r="D974" s="34" t="s">
        <v>336</v>
      </c>
      <c r="E974" s="34" t="s">
        <v>337</v>
      </c>
      <c r="F974" s="34" t="s">
        <v>553</v>
      </c>
      <c r="G974" s="34" t="s">
        <v>562</v>
      </c>
      <c r="H974" s="34" t="s">
        <v>268</v>
      </c>
      <c r="I974" s="34" t="s">
        <v>19</v>
      </c>
      <c r="J974" s="34" t="s">
        <v>27</v>
      </c>
      <c r="K974" s="34" t="s">
        <v>46</v>
      </c>
      <c r="L974" s="34" t="s">
        <v>47</v>
      </c>
      <c r="M974">
        <v>0.441</v>
      </c>
    </row>
    <row r="975" spans="1:13" x14ac:dyDescent="0.3">
      <c r="A975" s="34" t="s">
        <v>662</v>
      </c>
      <c r="B975">
        <v>-1</v>
      </c>
      <c r="C975">
        <v>2050</v>
      </c>
      <c r="D975" s="34" t="s">
        <v>336</v>
      </c>
      <c r="E975" s="34" t="s">
        <v>337</v>
      </c>
      <c r="F975" s="34" t="s">
        <v>553</v>
      </c>
      <c r="G975" s="34" t="s">
        <v>562</v>
      </c>
      <c r="H975" s="34" t="s">
        <v>268</v>
      </c>
      <c r="I975" s="34" t="s">
        <v>19</v>
      </c>
      <c r="J975" s="34" t="s">
        <v>27</v>
      </c>
      <c r="K975" s="34" t="s">
        <v>48</v>
      </c>
      <c r="L975" s="34" t="s">
        <v>47</v>
      </c>
      <c r="M975">
        <v>-0.441</v>
      </c>
    </row>
    <row r="976" spans="1:13" x14ac:dyDescent="0.3">
      <c r="A976" s="34" t="s">
        <v>662</v>
      </c>
      <c r="B976">
        <v>-1</v>
      </c>
      <c r="C976">
        <v>2050</v>
      </c>
      <c r="D976" s="34" t="s">
        <v>336</v>
      </c>
      <c r="E976" s="34" t="s">
        <v>337</v>
      </c>
      <c r="F976" s="34" t="s">
        <v>553</v>
      </c>
      <c r="G976" s="34" t="s">
        <v>563</v>
      </c>
      <c r="H976" s="34" t="s">
        <v>39</v>
      </c>
      <c r="I976" s="34" t="s">
        <v>19</v>
      </c>
      <c r="J976" s="34" t="s">
        <v>27</v>
      </c>
      <c r="K976" s="34" t="s">
        <v>46</v>
      </c>
      <c r="L976" s="34" t="s">
        <v>47</v>
      </c>
      <c r="M976">
        <v>1.6560000000000001</v>
      </c>
    </row>
    <row r="977" spans="1:13" x14ac:dyDescent="0.3">
      <c r="A977" s="34" t="s">
        <v>662</v>
      </c>
      <c r="B977">
        <v>-1</v>
      </c>
      <c r="C977">
        <v>2050</v>
      </c>
      <c r="D977" s="34" t="s">
        <v>336</v>
      </c>
      <c r="E977" s="34" t="s">
        <v>337</v>
      </c>
      <c r="F977" s="34" t="s">
        <v>553</v>
      </c>
      <c r="G977" s="34" t="s">
        <v>563</v>
      </c>
      <c r="H977" s="34" t="s">
        <v>39</v>
      </c>
      <c r="I977" s="34" t="s">
        <v>19</v>
      </c>
      <c r="J977" s="34" t="s">
        <v>27</v>
      </c>
      <c r="K977" s="34" t="s">
        <v>48</v>
      </c>
      <c r="L977" s="34" t="s">
        <v>47</v>
      </c>
      <c r="M977">
        <v>-1.6560000000000001</v>
      </c>
    </row>
    <row r="978" spans="1:13" x14ac:dyDescent="0.3">
      <c r="A978" s="34" t="s">
        <v>662</v>
      </c>
      <c r="B978">
        <v>-1</v>
      </c>
      <c r="C978">
        <v>2050</v>
      </c>
      <c r="D978" s="34" t="s">
        <v>336</v>
      </c>
      <c r="E978" s="34" t="s">
        <v>337</v>
      </c>
      <c r="F978" s="34" t="s">
        <v>553</v>
      </c>
      <c r="G978" s="34" t="s">
        <v>564</v>
      </c>
      <c r="H978" s="34" t="s">
        <v>39</v>
      </c>
      <c r="I978" s="34" t="s">
        <v>19</v>
      </c>
      <c r="J978" s="34" t="s">
        <v>27</v>
      </c>
      <c r="K978" s="34" t="s">
        <v>46</v>
      </c>
      <c r="L978" s="34" t="s">
        <v>47</v>
      </c>
      <c r="M978">
        <v>2.6510000000000002</v>
      </c>
    </row>
    <row r="979" spans="1:13" x14ac:dyDescent="0.3">
      <c r="A979" s="34" t="s">
        <v>662</v>
      </c>
      <c r="B979">
        <v>-1</v>
      </c>
      <c r="C979">
        <v>2050</v>
      </c>
      <c r="D979" s="34" t="s">
        <v>336</v>
      </c>
      <c r="E979" s="34" t="s">
        <v>337</v>
      </c>
      <c r="F979" s="34" t="s">
        <v>553</v>
      </c>
      <c r="G979" s="34" t="s">
        <v>564</v>
      </c>
      <c r="H979" s="34" t="s">
        <v>39</v>
      </c>
      <c r="I979" s="34" t="s">
        <v>19</v>
      </c>
      <c r="J979" s="34" t="s">
        <v>27</v>
      </c>
      <c r="K979" s="34" t="s">
        <v>48</v>
      </c>
      <c r="L979" s="34" t="s">
        <v>47</v>
      </c>
      <c r="M979">
        <v>-2.6510000000000002</v>
      </c>
    </row>
    <row r="980" spans="1:13" x14ac:dyDescent="0.3">
      <c r="A980" s="34" t="s">
        <v>662</v>
      </c>
      <c r="B980">
        <v>-1</v>
      </c>
      <c r="C980">
        <v>2050</v>
      </c>
      <c r="D980" s="34" t="s">
        <v>336</v>
      </c>
      <c r="E980" s="34" t="s">
        <v>337</v>
      </c>
      <c r="F980" s="34" t="s">
        <v>610</v>
      </c>
      <c r="G980" s="34" t="s">
        <v>28</v>
      </c>
      <c r="H980" s="34" t="s">
        <v>23</v>
      </c>
      <c r="I980" s="34" t="s">
        <v>19</v>
      </c>
      <c r="J980" s="34" t="s">
        <v>24</v>
      </c>
      <c r="K980" s="34" t="s">
        <v>46</v>
      </c>
      <c r="L980" s="34" t="s">
        <v>47</v>
      </c>
      <c r="M980">
        <v>2.04</v>
      </c>
    </row>
    <row r="981" spans="1:13" x14ac:dyDescent="0.3">
      <c r="A981" s="34" t="s">
        <v>662</v>
      </c>
      <c r="B981">
        <v>-1</v>
      </c>
      <c r="C981">
        <v>2050</v>
      </c>
      <c r="D981" s="34" t="s">
        <v>336</v>
      </c>
      <c r="E981" s="34" t="s">
        <v>337</v>
      </c>
      <c r="F981" s="34" t="s">
        <v>610</v>
      </c>
      <c r="G981" s="34" t="s">
        <v>222</v>
      </c>
      <c r="H981" s="34" t="s">
        <v>21</v>
      </c>
      <c r="I981" s="34" t="s">
        <v>19</v>
      </c>
      <c r="J981" s="34" t="s">
        <v>223</v>
      </c>
      <c r="K981" s="34" t="s">
        <v>46</v>
      </c>
      <c r="L981" s="34" t="s">
        <v>47</v>
      </c>
      <c r="M981">
        <v>1.2</v>
      </c>
    </row>
    <row r="982" spans="1:13" x14ac:dyDescent="0.3">
      <c r="A982" s="34" t="s">
        <v>662</v>
      </c>
      <c r="B982">
        <v>-1</v>
      </c>
      <c r="C982">
        <v>2050</v>
      </c>
      <c r="D982" s="34" t="s">
        <v>336</v>
      </c>
      <c r="E982" s="34" t="s">
        <v>337</v>
      </c>
      <c r="F982" s="34" t="s">
        <v>610</v>
      </c>
      <c r="G982" s="34" t="s">
        <v>29</v>
      </c>
      <c r="H982" s="34" t="s">
        <v>21</v>
      </c>
      <c r="I982" s="34" t="s">
        <v>19</v>
      </c>
      <c r="J982" s="34" t="s">
        <v>22</v>
      </c>
      <c r="K982" s="34" t="s">
        <v>46</v>
      </c>
      <c r="L982" s="34" t="s">
        <v>47</v>
      </c>
      <c r="M982">
        <v>2.9651543999999999</v>
      </c>
    </row>
    <row r="983" spans="1:13" x14ac:dyDescent="0.3">
      <c r="A983" s="34" t="s">
        <v>662</v>
      </c>
      <c r="B983">
        <v>-1</v>
      </c>
      <c r="C983">
        <v>2050</v>
      </c>
      <c r="D983" s="34" t="s">
        <v>336</v>
      </c>
      <c r="E983" s="34" t="s">
        <v>337</v>
      </c>
      <c r="F983" s="34" t="s">
        <v>610</v>
      </c>
      <c r="G983" s="34" t="s">
        <v>29</v>
      </c>
      <c r="H983" s="34" t="s">
        <v>21</v>
      </c>
      <c r="I983" s="34" t="s">
        <v>19</v>
      </c>
      <c r="J983" s="34" t="s">
        <v>22</v>
      </c>
      <c r="K983" s="34" t="s">
        <v>48</v>
      </c>
      <c r="L983" s="34" t="s">
        <v>47</v>
      </c>
      <c r="M983">
        <v>-2.9651543999999999</v>
      </c>
    </row>
    <row r="984" spans="1:13" x14ac:dyDescent="0.3">
      <c r="A984" s="34" t="s">
        <v>662</v>
      </c>
      <c r="B984">
        <v>-1</v>
      </c>
      <c r="C984">
        <v>2050</v>
      </c>
      <c r="D984" s="34" t="s">
        <v>336</v>
      </c>
      <c r="E984" s="34" t="s">
        <v>337</v>
      </c>
      <c r="F984" s="34" t="s">
        <v>610</v>
      </c>
      <c r="G984" s="34" t="s">
        <v>20</v>
      </c>
      <c r="H984" s="34" t="s">
        <v>21</v>
      </c>
      <c r="I984" s="34" t="s">
        <v>19</v>
      </c>
      <c r="J984" s="34" t="s">
        <v>22</v>
      </c>
      <c r="K984" s="34" t="s">
        <v>46</v>
      </c>
      <c r="L984" s="34" t="s">
        <v>47</v>
      </c>
      <c r="M984">
        <v>6.2107682000000004</v>
      </c>
    </row>
    <row r="985" spans="1:13" x14ac:dyDescent="0.3">
      <c r="A985" s="34" t="s">
        <v>662</v>
      </c>
      <c r="B985">
        <v>-1</v>
      </c>
      <c r="C985">
        <v>2050</v>
      </c>
      <c r="D985" s="34" t="s">
        <v>336</v>
      </c>
      <c r="E985" s="34" t="s">
        <v>337</v>
      </c>
      <c r="F985" s="34" t="s">
        <v>610</v>
      </c>
      <c r="G985" s="34" t="s">
        <v>20</v>
      </c>
      <c r="H985" s="34" t="s">
        <v>21</v>
      </c>
      <c r="I985" s="34" t="s">
        <v>19</v>
      </c>
      <c r="J985" s="34" t="s">
        <v>22</v>
      </c>
      <c r="K985" s="34" t="s">
        <v>48</v>
      </c>
      <c r="L985" s="34" t="s">
        <v>47</v>
      </c>
      <c r="M985">
        <v>-6.2107682000000004</v>
      </c>
    </row>
    <row r="986" spans="1:13" x14ac:dyDescent="0.3">
      <c r="A986" s="34" t="s">
        <v>662</v>
      </c>
      <c r="B986">
        <v>-1</v>
      </c>
      <c r="C986">
        <v>2050</v>
      </c>
      <c r="D986" s="34" t="s">
        <v>336</v>
      </c>
      <c r="E986" s="34" t="s">
        <v>337</v>
      </c>
      <c r="F986" s="34" t="s">
        <v>610</v>
      </c>
      <c r="G986" s="34" t="s">
        <v>30</v>
      </c>
      <c r="H986" s="34" t="s">
        <v>21</v>
      </c>
      <c r="I986" s="34" t="s">
        <v>19</v>
      </c>
      <c r="J986" s="34" t="s">
        <v>22</v>
      </c>
      <c r="K986" s="34" t="s">
        <v>46</v>
      </c>
      <c r="L986" s="34" t="s">
        <v>47</v>
      </c>
      <c r="M986">
        <v>1.2500773999999999</v>
      </c>
    </row>
    <row r="987" spans="1:13" x14ac:dyDescent="0.3">
      <c r="A987" s="34" t="s">
        <v>662</v>
      </c>
      <c r="B987">
        <v>-1</v>
      </c>
      <c r="C987">
        <v>2050</v>
      </c>
      <c r="D987" s="34" t="s">
        <v>336</v>
      </c>
      <c r="E987" s="34" t="s">
        <v>337</v>
      </c>
      <c r="F987" s="34" t="s">
        <v>610</v>
      </c>
      <c r="G987" s="34" t="s">
        <v>30</v>
      </c>
      <c r="H987" s="34" t="s">
        <v>21</v>
      </c>
      <c r="I987" s="34" t="s">
        <v>19</v>
      </c>
      <c r="J987" s="34" t="s">
        <v>22</v>
      </c>
      <c r="K987" s="34" t="s">
        <v>48</v>
      </c>
      <c r="L987" s="34" t="s">
        <v>47</v>
      </c>
      <c r="M987">
        <v>-1.2500773999999999</v>
      </c>
    </row>
    <row r="988" spans="1:13" x14ac:dyDescent="0.3">
      <c r="A988" s="34" t="s">
        <v>662</v>
      </c>
      <c r="B988">
        <v>-1</v>
      </c>
      <c r="C988">
        <v>2050</v>
      </c>
      <c r="D988" s="34" t="s">
        <v>336</v>
      </c>
      <c r="E988" s="34" t="s">
        <v>337</v>
      </c>
      <c r="F988" s="34" t="s">
        <v>610</v>
      </c>
      <c r="G988" s="34" t="s">
        <v>644</v>
      </c>
      <c r="H988" s="34" t="s">
        <v>21</v>
      </c>
      <c r="I988" s="34" t="s">
        <v>19</v>
      </c>
      <c r="J988" s="34" t="s">
        <v>22</v>
      </c>
      <c r="K988" s="34" t="s">
        <v>49</v>
      </c>
      <c r="L988" s="34" t="s">
        <v>47</v>
      </c>
      <c r="M988">
        <v>150</v>
      </c>
    </row>
    <row r="989" spans="1:13" x14ac:dyDescent="0.3">
      <c r="A989" s="34" t="s">
        <v>662</v>
      </c>
      <c r="B989">
        <v>-1</v>
      </c>
      <c r="C989">
        <v>2050</v>
      </c>
      <c r="D989" s="34" t="s">
        <v>338</v>
      </c>
      <c r="E989" s="34" t="s">
        <v>339</v>
      </c>
      <c r="F989" s="34" t="s">
        <v>565</v>
      </c>
      <c r="G989" s="34" t="s">
        <v>43</v>
      </c>
      <c r="H989" s="34" t="s">
        <v>40</v>
      </c>
      <c r="I989" s="34" t="s">
        <v>19</v>
      </c>
      <c r="J989" s="34" t="s">
        <v>27</v>
      </c>
      <c r="K989" s="34" t="s">
        <v>46</v>
      </c>
      <c r="L989" s="34" t="s">
        <v>47</v>
      </c>
      <c r="M989">
        <v>4.4119999999999999</v>
      </c>
    </row>
    <row r="990" spans="1:13" x14ac:dyDescent="0.3">
      <c r="A990" s="34" t="s">
        <v>662</v>
      </c>
      <c r="B990">
        <v>-1</v>
      </c>
      <c r="C990">
        <v>2050</v>
      </c>
      <c r="D990" s="34" t="s">
        <v>338</v>
      </c>
      <c r="E990" s="34" t="s">
        <v>339</v>
      </c>
      <c r="F990" s="34" t="s">
        <v>565</v>
      </c>
      <c r="G990" s="34" t="s">
        <v>43</v>
      </c>
      <c r="H990" s="34" t="s">
        <v>40</v>
      </c>
      <c r="I990" s="34" t="s">
        <v>19</v>
      </c>
      <c r="J990" s="34" t="s">
        <v>27</v>
      </c>
      <c r="K990" s="34" t="s">
        <v>48</v>
      </c>
      <c r="L990" s="34" t="s">
        <v>47</v>
      </c>
      <c r="M990">
        <v>-4.4119999999999999</v>
      </c>
    </row>
    <row r="991" spans="1:13" x14ac:dyDescent="0.3">
      <c r="A991" s="34" t="s">
        <v>662</v>
      </c>
      <c r="B991">
        <v>-1</v>
      </c>
      <c r="C991">
        <v>2050</v>
      </c>
      <c r="D991" s="34" t="s">
        <v>338</v>
      </c>
      <c r="E991" s="34" t="s">
        <v>339</v>
      </c>
      <c r="F991" s="34" t="s">
        <v>565</v>
      </c>
      <c r="G991" s="34" t="s">
        <v>180</v>
      </c>
      <c r="H991" s="34" t="s">
        <v>18</v>
      </c>
      <c r="I991" s="34" t="s">
        <v>19</v>
      </c>
      <c r="J991" s="34" t="s">
        <v>181</v>
      </c>
      <c r="K991" s="34" t="s">
        <v>46</v>
      </c>
      <c r="L991" s="34" t="s">
        <v>47</v>
      </c>
      <c r="M991">
        <v>0.18099999999999999</v>
      </c>
    </row>
    <row r="992" spans="1:13" x14ac:dyDescent="0.3">
      <c r="A992" s="34" t="s">
        <v>662</v>
      </c>
      <c r="B992">
        <v>-1</v>
      </c>
      <c r="C992">
        <v>2050</v>
      </c>
      <c r="D992" s="34" t="s">
        <v>338</v>
      </c>
      <c r="E992" s="34" t="s">
        <v>339</v>
      </c>
      <c r="F992" s="34" t="s">
        <v>565</v>
      </c>
      <c r="G992" s="34" t="s">
        <v>446</v>
      </c>
      <c r="H992" s="34" t="s">
        <v>39</v>
      </c>
      <c r="I992" s="34" t="s">
        <v>19</v>
      </c>
      <c r="J992" s="34" t="s">
        <v>27</v>
      </c>
      <c r="K992" s="34" t="s">
        <v>46</v>
      </c>
      <c r="L992" s="34" t="s">
        <v>47</v>
      </c>
      <c r="M992">
        <v>0.47000000000000003</v>
      </c>
    </row>
    <row r="993" spans="1:13" x14ac:dyDescent="0.3">
      <c r="A993" s="34" t="s">
        <v>662</v>
      </c>
      <c r="B993">
        <v>-1</v>
      </c>
      <c r="C993">
        <v>2050</v>
      </c>
      <c r="D993" s="34" t="s">
        <v>338</v>
      </c>
      <c r="E993" s="34" t="s">
        <v>339</v>
      </c>
      <c r="F993" s="34" t="s">
        <v>565</v>
      </c>
      <c r="G993" s="34" t="s">
        <v>446</v>
      </c>
      <c r="H993" s="34" t="s">
        <v>39</v>
      </c>
      <c r="I993" s="34" t="s">
        <v>19</v>
      </c>
      <c r="J993" s="34" t="s">
        <v>27</v>
      </c>
      <c r="K993" s="34" t="s">
        <v>48</v>
      </c>
      <c r="L993" s="34" t="s">
        <v>47</v>
      </c>
      <c r="M993">
        <v>-0.47000000000000003</v>
      </c>
    </row>
    <row r="994" spans="1:13" x14ac:dyDescent="0.3">
      <c r="A994" s="34" t="s">
        <v>662</v>
      </c>
      <c r="B994">
        <v>-1</v>
      </c>
      <c r="C994">
        <v>2050</v>
      </c>
      <c r="D994" s="34" t="s">
        <v>338</v>
      </c>
      <c r="E994" s="34" t="s">
        <v>339</v>
      </c>
      <c r="F994" s="34" t="s">
        <v>565</v>
      </c>
      <c r="G994" s="34" t="s">
        <v>566</v>
      </c>
      <c r="H994" s="34" t="s">
        <v>237</v>
      </c>
      <c r="I994" s="34" t="s">
        <v>19</v>
      </c>
      <c r="J994" s="34" t="s">
        <v>27</v>
      </c>
      <c r="K994" s="34" t="s">
        <v>46</v>
      </c>
      <c r="L994" s="34" t="s">
        <v>47</v>
      </c>
      <c r="M994">
        <v>0.375</v>
      </c>
    </row>
    <row r="995" spans="1:13" x14ac:dyDescent="0.3">
      <c r="A995" s="34" t="s">
        <v>662</v>
      </c>
      <c r="B995">
        <v>-1</v>
      </c>
      <c r="C995">
        <v>2050</v>
      </c>
      <c r="D995" s="34" t="s">
        <v>338</v>
      </c>
      <c r="E995" s="34" t="s">
        <v>339</v>
      </c>
      <c r="F995" s="34" t="s">
        <v>565</v>
      </c>
      <c r="G995" s="34" t="s">
        <v>566</v>
      </c>
      <c r="H995" s="34" t="s">
        <v>237</v>
      </c>
      <c r="I995" s="34" t="s">
        <v>19</v>
      </c>
      <c r="J995" s="34" t="s">
        <v>27</v>
      </c>
      <c r="K995" s="34" t="s">
        <v>48</v>
      </c>
      <c r="L995" s="34" t="s">
        <v>47</v>
      </c>
      <c r="M995">
        <v>-0.375</v>
      </c>
    </row>
    <row r="996" spans="1:13" x14ac:dyDescent="0.3">
      <c r="A996" s="34" t="s">
        <v>662</v>
      </c>
      <c r="B996">
        <v>-1</v>
      </c>
      <c r="C996">
        <v>2050</v>
      </c>
      <c r="D996" s="34" t="s">
        <v>338</v>
      </c>
      <c r="E996" s="34" t="s">
        <v>339</v>
      </c>
      <c r="F996" s="34" t="s">
        <v>565</v>
      </c>
      <c r="G996" s="34" t="s">
        <v>307</v>
      </c>
      <c r="H996" s="34" t="s">
        <v>26</v>
      </c>
      <c r="I996" s="34" t="s">
        <v>19</v>
      </c>
      <c r="J996" s="34" t="s">
        <v>27</v>
      </c>
      <c r="K996" s="34" t="s">
        <v>46</v>
      </c>
      <c r="L996" s="34" t="s">
        <v>47</v>
      </c>
      <c r="M996">
        <v>0.36799999999999999</v>
      </c>
    </row>
    <row r="997" spans="1:13" x14ac:dyDescent="0.3">
      <c r="A997" s="34" t="s">
        <v>662</v>
      </c>
      <c r="B997">
        <v>-1</v>
      </c>
      <c r="C997">
        <v>2050</v>
      </c>
      <c r="D997" s="34" t="s">
        <v>338</v>
      </c>
      <c r="E997" s="34" t="s">
        <v>339</v>
      </c>
      <c r="F997" s="34" t="s">
        <v>565</v>
      </c>
      <c r="G997" s="34" t="s">
        <v>307</v>
      </c>
      <c r="H997" s="34" t="s">
        <v>26</v>
      </c>
      <c r="I997" s="34" t="s">
        <v>19</v>
      </c>
      <c r="J997" s="34" t="s">
        <v>27</v>
      </c>
      <c r="K997" s="34" t="s">
        <v>48</v>
      </c>
      <c r="L997" s="34" t="s">
        <v>47</v>
      </c>
      <c r="M997">
        <v>-0.36799999999999999</v>
      </c>
    </row>
    <row r="998" spans="1:13" x14ac:dyDescent="0.3">
      <c r="A998" s="34" t="s">
        <v>662</v>
      </c>
      <c r="B998">
        <v>-1</v>
      </c>
      <c r="C998">
        <v>2050</v>
      </c>
      <c r="D998" s="34" t="s">
        <v>338</v>
      </c>
      <c r="E998" s="34" t="s">
        <v>339</v>
      </c>
      <c r="F998" s="34" t="s">
        <v>565</v>
      </c>
      <c r="G998" s="34" t="s">
        <v>253</v>
      </c>
      <c r="H998" s="34" t="s">
        <v>254</v>
      </c>
      <c r="I998" s="34" t="s">
        <v>19</v>
      </c>
      <c r="J998" s="34" t="s">
        <v>27</v>
      </c>
      <c r="K998" s="34" t="s">
        <v>46</v>
      </c>
      <c r="L998" s="34" t="s">
        <v>47</v>
      </c>
      <c r="M998">
        <v>5.93</v>
      </c>
    </row>
    <row r="999" spans="1:13" x14ac:dyDescent="0.3">
      <c r="A999" s="34" t="s">
        <v>662</v>
      </c>
      <c r="B999">
        <v>-1</v>
      </c>
      <c r="C999">
        <v>2050</v>
      </c>
      <c r="D999" s="34" t="s">
        <v>338</v>
      </c>
      <c r="E999" s="34" t="s">
        <v>339</v>
      </c>
      <c r="F999" s="34" t="s">
        <v>565</v>
      </c>
      <c r="G999" s="34" t="s">
        <v>253</v>
      </c>
      <c r="H999" s="34" t="s">
        <v>254</v>
      </c>
      <c r="I999" s="34" t="s">
        <v>19</v>
      </c>
      <c r="J999" s="34" t="s">
        <v>27</v>
      </c>
      <c r="K999" s="34" t="s">
        <v>48</v>
      </c>
      <c r="L999" s="34" t="s">
        <v>47</v>
      </c>
      <c r="M999">
        <v>-5.93</v>
      </c>
    </row>
    <row r="1000" spans="1:13" x14ac:dyDescent="0.3">
      <c r="A1000" s="34" t="s">
        <v>662</v>
      </c>
      <c r="B1000">
        <v>-1</v>
      </c>
      <c r="C1000">
        <v>2050</v>
      </c>
      <c r="D1000" s="34" t="s">
        <v>338</v>
      </c>
      <c r="E1000" s="34" t="s">
        <v>339</v>
      </c>
      <c r="F1000" s="34" t="s">
        <v>565</v>
      </c>
      <c r="G1000" s="34" t="s">
        <v>567</v>
      </c>
      <c r="H1000" s="34" t="s">
        <v>53</v>
      </c>
      <c r="I1000" s="34" t="s">
        <v>19</v>
      </c>
      <c r="J1000" s="34" t="s">
        <v>27</v>
      </c>
      <c r="K1000" s="34" t="s">
        <v>46</v>
      </c>
      <c r="L1000" s="34" t="s">
        <v>47</v>
      </c>
      <c r="M1000">
        <v>0.72</v>
      </c>
    </row>
    <row r="1001" spans="1:13" x14ac:dyDescent="0.3">
      <c r="A1001" s="34" t="s">
        <v>662</v>
      </c>
      <c r="B1001">
        <v>-1</v>
      </c>
      <c r="C1001">
        <v>2050</v>
      </c>
      <c r="D1001" s="34" t="s">
        <v>338</v>
      </c>
      <c r="E1001" s="34" t="s">
        <v>339</v>
      </c>
      <c r="F1001" s="34" t="s">
        <v>565</v>
      </c>
      <c r="G1001" s="34" t="s">
        <v>567</v>
      </c>
      <c r="H1001" s="34" t="s">
        <v>53</v>
      </c>
      <c r="I1001" s="34" t="s">
        <v>19</v>
      </c>
      <c r="J1001" s="34" t="s">
        <v>27</v>
      </c>
      <c r="K1001" s="34" t="s">
        <v>48</v>
      </c>
      <c r="L1001" s="34" t="s">
        <v>47</v>
      </c>
      <c r="M1001">
        <v>-0.72</v>
      </c>
    </row>
    <row r="1002" spans="1:13" x14ac:dyDescent="0.3">
      <c r="A1002" s="34" t="s">
        <v>662</v>
      </c>
      <c r="B1002">
        <v>-1</v>
      </c>
      <c r="C1002">
        <v>2050</v>
      </c>
      <c r="D1002" s="34" t="s">
        <v>338</v>
      </c>
      <c r="E1002" s="34" t="s">
        <v>339</v>
      </c>
      <c r="F1002" s="34" t="s">
        <v>565</v>
      </c>
      <c r="G1002" s="34" t="s">
        <v>41</v>
      </c>
      <c r="H1002" s="34" t="s">
        <v>40</v>
      </c>
      <c r="I1002" s="34" t="s">
        <v>13</v>
      </c>
      <c r="J1002" s="34" t="s">
        <v>42</v>
      </c>
      <c r="K1002" s="34" t="s">
        <v>46</v>
      </c>
      <c r="L1002" s="34" t="s">
        <v>47</v>
      </c>
      <c r="M1002">
        <v>0.64897976583323169</v>
      </c>
    </row>
    <row r="1003" spans="1:13" x14ac:dyDescent="0.3">
      <c r="A1003" s="34" t="s">
        <v>662</v>
      </c>
      <c r="B1003">
        <v>-1</v>
      </c>
      <c r="C1003">
        <v>2050</v>
      </c>
      <c r="D1003" s="34" t="s">
        <v>338</v>
      </c>
      <c r="E1003" s="34" t="s">
        <v>339</v>
      </c>
      <c r="F1003" s="34" t="s">
        <v>565</v>
      </c>
      <c r="G1003" s="34" t="s">
        <v>41</v>
      </c>
      <c r="H1003" s="34" t="s">
        <v>40</v>
      </c>
      <c r="I1003" s="34" t="s">
        <v>13</v>
      </c>
      <c r="J1003" s="34" t="s">
        <v>42</v>
      </c>
      <c r="K1003" s="34" t="s">
        <v>49</v>
      </c>
      <c r="L1003" s="34" t="s">
        <v>47</v>
      </c>
      <c r="M1003">
        <v>-7.958078640513122E-17</v>
      </c>
    </row>
    <row r="1004" spans="1:13" x14ac:dyDescent="0.3">
      <c r="A1004" s="34" t="s">
        <v>662</v>
      </c>
      <c r="B1004">
        <v>-1</v>
      </c>
      <c r="C1004">
        <v>2050</v>
      </c>
      <c r="D1004" s="34" t="s">
        <v>338</v>
      </c>
      <c r="E1004" s="34" t="s">
        <v>339</v>
      </c>
      <c r="F1004" s="34" t="s">
        <v>565</v>
      </c>
      <c r="G1004" s="34" t="s">
        <v>41</v>
      </c>
      <c r="H1004" s="34" t="s">
        <v>40</v>
      </c>
      <c r="I1004" s="34" t="s">
        <v>13</v>
      </c>
      <c r="J1004" s="34" t="s">
        <v>42</v>
      </c>
      <c r="K1004" s="34" t="s">
        <v>48</v>
      </c>
      <c r="L1004" s="34" t="s">
        <v>47</v>
      </c>
      <c r="M1004">
        <v>-0.64897976583323158</v>
      </c>
    </row>
    <row r="1005" spans="1:13" x14ac:dyDescent="0.3">
      <c r="A1005" s="34" t="s">
        <v>662</v>
      </c>
      <c r="B1005">
        <v>-1</v>
      </c>
      <c r="C1005">
        <v>2050</v>
      </c>
      <c r="D1005" s="34" t="s">
        <v>338</v>
      </c>
      <c r="E1005" s="34" t="s">
        <v>339</v>
      </c>
      <c r="F1005" s="34" t="s">
        <v>568</v>
      </c>
      <c r="G1005" s="34" t="s">
        <v>308</v>
      </c>
      <c r="H1005" s="34" t="s">
        <v>40</v>
      </c>
      <c r="I1005" s="34" t="s">
        <v>203</v>
      </c>
      <c r="J1005" s="34" t="s">
        <v>204</v>
      </c>
      <c r="K1005" s="34" t="s">
        <v>46</v>
      </c>
      <c r="L1005" s="34" t="s">
        <v>47</v>
      </c>
      <c r="M1005">
        <v>1.2307692307692308</v>
      </c>
    </row>
    <row r="1006" spans="1:13" x14ac:dyDescent="0.3">
      <c r="A1006" s="34" t="s">
        <v>662</v>
      </c>
      <c r="B1006">
        <v>-1</v>
      </c>
      <c r="C1006">
        <v>2050</v>
      </c>
      <c r="D1006" s="34" t="s">
        <v>338</v>
      </c>
      <c r="E1006" s="34" t="s">
        <v>339</v>
      </c>
      <c r="F1006" s="34" t="s">
        <v>568</v>
      </c>
      <c r="G1006" s="34" t="s">
        <v>308</v>
      </c>
      <c r="H1006" s="34" t="s">
        <v>40</v>
      </c>
      <c r="I1006" s="34" t="s">
        <v>203</v>
      </c>
      <c r="J1006" s="34" t="s">
        <v>204</v>
      </c>
      <c r="K1006" s="34" t="s">
        <v>48</v>
      </c>
      <c r="L1006" s="34" t="s">
        <v>47</v>
      </c>
      <c r="M1006">
        <v>-1.2307692307692308</v>
      </c>
    </row>
    <row r="1007" spans="1:13" x14ac:dyDescent="0.3">
      <c r="A1007" s="34" t="s">
        <v>662</v>
      </c>
      <c r="B1007">
        <v>-1</v>
      </c>
      <c r="C1007">
        <v>2050</v>
      </c>
      <c r="D1007" s="34" t="s">
        <v>338</v>
      </c>
      <c r="E1007" s="34" t="s">
        <v>339</v>
      </c>
      <c r="F1007" s="34" t="s">
        <v>568</v>
      </c>
      <c r="G1007" s="34" t="s">
        <v>308</v>
      </c>
      <c r="H1007" s="34" t="s">
        <v>40</v>
      </c>
      <c r="I1007" s="34" t="s">
        <v>19</v>
      </c>
      <c r="J1007" s="34" t="s">
        <v>204</v>
      </c>
      <c r="K1007" s="34" t="s">
        <v>46</v>
      </c>
      <c r="L1007" s="34" t="s">
        <v>47</v>
      </c>
      <c r="M1007">
        <v>2.4</v>
      </c>
    </row>
    <row r="1008" spans="1:13" x14ac:dyDescent="0.3">
      <c r="A1008" s="34" t="s">
        <v>662</v>
      </c>
      <c r="B1008">
        <v>-1</v>
      </c>
      <c r="C1008">
        <v>2050</v>
      </c>
      <c r="D1008" s="34" t="s">
        <v>338</v>
      </c>
      <c r="E1008" s="34" t="s">
        <v>339</v>
      </c>
      <c r="F1008" s="34" t="s">
        <v>568</v>
      </c>
      <c r="G1008" s="34" t="s">
        <v>308</v>
      </c>
      <c r="H1008" s="34" t="s">
        <v>40</v>
      </c>
      <c r="I1008" s="34" t="s">
        <v>19</v>
      </c>
      <c r="J1008" s="34" t="s">
        <v>204</v>
      </c>
      <c r="K1008" s="34" t="s">
        <v>48</v>
      </c>
      <c r="L1008" s="34" t="s">
        <v>47</v>
      </c>
      <c r="M1008">
        <v>-2.4</v>
      </c>
    </row>
    <row r="1009" spans="1:13" x14ac:dyDescent="0.3">
      <c r="A1009" s="34" t="s">
        <v>662</v>
      </c>
      <c r="B1009">
        <v>-1</v>
      </c>
      <c r="C1009">
        <v>2050</v>
      </c>
      <c r="D1009" s="34" t="s">
        <v>338</v>
      </c>
      <c r="E1009" s="34" t="s">
        <v>339</v>
      </c>
      <c r="F1009" s="34" t="s">
        <v>611</v>
      </c>
      <c r="G1009" s="34" t="s">
        <v>28</v>
      </c>
      <c r="H1009" s="34" t="s">
        <v>23</v>
      </c>
      <c r="I1009" s="34" t="s">
        <v>19</v>
      </c>
      <c r="J1009" s="34" t="s">
        <v>24</v>
      </c>
      <c r="K1009" s="34" t="s">
        <v>46</v>
      </c>
      <c r="L1009" s="34" t="s">
        <v>47</v>
      </c>
      <c r="M1009">
        <v>3.4250000000000003</v>
      </c>
    </row>
    <row r="1010" spans="1:13" x14ac:dyDescent="0.3">
      <c r="A1010" s="34" t="s">
        <v>662</v>
      </c>
      <c r="B1010">
        <v>-1</v>
      </c>
      <c r="C1010">
        <v>2050</v>
      </c>
      <c r="D1010" s="34" t="s">
        <v>338</v>
      </c>
      <c r="E1010" s="34" t="s">
        <v>339</v>
      </c>
      <c r="F1010" s="34" t="s">
        <v>611</v>
      </c>
      <c r="G1010" s="34" t="s">
        <v>28</v>
      </c>
      <c r="H1010" s="34" t="s">
        <v>23</v>
      </c>
      <c r="I1010" s="34" t="s">
        <v>19</v>
      </c>
      <c r="J1010" s="34" t="s">
        <v>24</v>
      </c>
      <c r="K1010" s="34" t="s">
        <v>48</v>
      </c>
      <c r="L1010" s="34" t="s">
        <v>47</v>
      </c>
      <c r="M1010">
        <v>-3.4250000000000003</v>
      </c>
    </row>
    <row r="1011" spans="1:13" x14ac:dyDescent="0.3">
      <c r="A1011" s="34" t="s">
        <v>662</v>
      </c>
      <c r="B1011">
        <v>-1</v>
      </c>
      <c r="C1011">
        <v>2050</v>
      </c>
      <c r="D1011" s="34" t="s">
        <v>338</v>
      </c>
      <c r="E1011" s="34" t="s">
        <v>339</v>
      </c>
      <c r="F1011" s="34" t="s">
        <v>611</v>
      </c>
      <c r="G1011" s="34" t="s">
        <v>222</v>
      </c>
      <c r="H1011" s="34" t="s">
        <v>21</v>
      </c>
      <c r="I1011" s="34" t="s">
        <v>19</v>
      </c>
      <c r="J1011" s="34" t="s">
        <v>223</v>
      </c>
      <c r="K1011" s="34" t="s">
        <v>46</v>
      </c>
      <c r="L1011" s="34" t="s">
        <v>47</v>
      </c>
      <c r="M1011">
        <v>2.262</v>
      </c>
    </row>
    <row r="1012" spans="1:13" x14ac:dyDescent="0.3">
      <c r="A1012" s="34" t="s">
        <v>662</v>
      </c>
      <c r="B1012">
        <v>-1</v>
      </c>
      <c r="C1012">
        <v>2050</v>
      </c>
      <c r="D1012" s="34" t="s">
        <v>338</v>
      </c>
      <c r="E1012" s="34" t="s">
        <v>339</v>
      </c>
      <c r="F1012" s="34" t="s">
        <v>611</v>
      </c>
      <c r="G1012" s="34" t="s">
        <v>222</v>
      </c>
      <c r="H1012" s="34" t="s">
        <v>21</v>
      </c>
      <c r="I1012" s="34" t="s">
        <v>19</v>
      </c>
      <c r="J1012" s="34" t="s">
        <v>223</v>
      </c>
      <c r="K1012" s="34" t="s">
        <v>48</v>
      </c>
      <c r="L1012" s="34" t="s">
        <v>47</v>
      </c>
      <c r="M1012">
        <v>-2.262</v>
      </c>
    </row>
    <row r="1013" spans="1:13" x14ac:dyDescent="0.3">
      <c r="A1013" s="34" t="s">
        <v>662</v>
      </c>
      <c r="B1013">
        <v>-1</v>
      </c>
      <c r="C1013">
        <v>2050</v>
      </c>
      <c r="D1013" s="34" t="s">
        <v>338</v>
      </c>
      <c r="E1013" s="34" t="s">
        <v>339</v>
      </c>
      <c r="F1013" s="34" t="s">
        <v>611</v>
      </c>
      <c r="G1013" s="34" t="s">
        <v>29</v>
      </c>
      <c r="H1013" s="34" t="s">
        <v>21</v>
      </c>
      <c r="I1013" s="34" t="s">
        <v>19</v>
      </c>
      <c r="J1013" s="34" t="s">
        <v>22</v>
      </c>
      <c r="K1013" s="34" t="s">
        <v>46</v>
      </c>
      <c r="L1013" s="34" t="s">
        <v>47</v>
      </c>
      <c r="M1013">
        <v>0.41983920000000002</v>
      </c>
    </row>
    <row r="1014" spans="1:13" x14ac:dyDescent="0.3">
      <c r="A1014" s="34" t="s">
        <v>662</v>
      </c>
      <c r="B1014">
        <v>-1</v>
      </c>
      <c r="C1014">
        <v>2050</v>
      </c>
      <c r="D1014" s="34" t="s">
        <v>338</v>
      </c>
      <c r="E1014" s="34" t="s">
        <v>339</v>
      </c>
      <c r="F1014" s="34" t="s">
        <v>611</v>
      </c>
      <c r="G1014" s="34" t="s">
        <v>29</v>
      </c>
      <c r="H1014" s="34" t="s">
        <v>21</v>
      </c>
      <c r="I1014" s="34" t="s">
        <v>19</v>
      </c>
      <c r="J1014" s="34" t="s">
        <v>22</v>
      </c>
      <c r="K1014" s="34" t="s">
        <v>48</v>
      </c>
      <c r="L1014" s="34" t="s">
        <v>47</v>
      </c>
      <c r="M1014">
        <v>-0.41983920000000002</v>
      </c>
    </row>
    <row r="1015" spans="1:13" x14ac:dyDescent="0.3">
      <c r="A1015" s="34" t="s">
        <v>662</v>
      </c>
      <c r="B1015">
        <v>-1</v>
      </c>
      <c r="C1015">
        <v>2050</v>
      </c>
      <c r="D1015" s="34" t="s">
        <v>338</v>
      </c>
      <c r="E1015" s="34" t="s">
        <v>339</v>
      </c>
      <c r="F1015" s="34" t="s">
        <v>611</v>
      </c>
      <c r="G1015" s="34" t="s">
        <v>20</v>
      </c>
      <c r="H1015" s="34" t="s">
        <v>21</v>
      </c>
      <c r="I1015" s="34" t="s">
        <v>19</v>
      </c>
      <c r="J1015" s="34" t="s">
        <v>22</v>
      </c>
      <c r="K1015" s="34" t="s">
        <v>46</v>
      </c>
      <c r="L1015" s="34" t="s">
        <v>47</v>
      </c>
      <c r="M1015">
        <v>0.77552639999999995</v>
      </c>
    </row>
    <row r="1016" spans="1:13" x14ac:dyDescent="0.3">
      <c r="A1016" s="34" t="s">
        <v>662</v>
      </c>
      <c r="B1016">
        <v>-1</v>
      </c>
      <c r="C1016">
        <v>2050</v>
      </c>
      <c r="D1016" s="34" t="s">
        <v>338</v>
      </c>
      <c r="E1016" s="34" t="s">
        <v>339</v>
      </c>
      <c r="F1016" s="34" t="s">
        <v>611</v>
      </c>
      <c r="G1016" s="34" t="s">
        <v>20</v>
      </c>
      <c r="H1016" s="34" t="s">
        <v>21</v>
      </c>
      <c r="I1016" s="34" t="s">
        <v>19</v>
      </c>
      <c r="J1016" s="34" t="s">
        <v>22</v>
      </c>
      <c r="K1016" s="34" t="s">
        <v>48</v>
      </c>
      <c r="L1016" s="34" t="s">
        <v>47</v>
      </c>
      <c r="M1016">
        <v>-0.77552639999999995</v>
      </c>
    </row>
    <row r="1017" spans="1:13" x14ac:dyDescent="0.3">
      <c r="A1017" s="34" t="s">
        <v>662</v>
      </c>
      <c r="B1017">
        <v>-1</v>
      </c>
      <c r="C1017">
        <v>2050</v>
      </c>
      <c r="D1017" s="34" t="s">
        <v>338</v>
      </c>
      <c r="E1017" s="34" t="s">
        <v>339</v>
      </c>
      <c r="F1017" s="34" t="s">
        <v>611</v>
      </c>
      <c r="G1017" s="34" t="s">
        <v>30</v>
      </c>
      <c r="H1017" s="34" t="s">
        <v>21</v>
      </c>
      <c r="I1017" s="34" t="s">
        <v>19</v>
      </c>
      <c r="J1017" s="34" t="s">
        <v>22</v>
      </c>
      <c r="K1017" s="34" t="s">
        <v>46</v>
      </c>
      <c r="L1017" s="34" t="s">
        <v>47</v>
      </c>
      <c r="M1017">
        <v>0.58681260000000002</v>
      </c>
    </row>
    <row r="1018" spans="1:13" x14ac:dyDescent="0.3">
      <c r="A1018" s="34" t="s">
        <v>662</v>
      </c>
      <c r="B1018">
        <v>-1</v>
      </c>
      <c r="C1018">
        <v>2050</v>
      </c>
      <c r="D1018" s="34" t="s">
        <v>338</v>
      </c>
      <c r="E1018" s="34" t="s">
        <v>339</v>
      </c>
      <c r="F1018" s="34" t="s">
        <v>611</v>
      </c>
      <c r="G1018" s="34" t="s">
        <v>30</v>
      </c>
      <c r="H1018" s="34" t="s">
        <v>21</v>
      </c>
      <c r="I1018" s="34" t="s">
        <v>19</v>
      </c>
      <c r="J1018" s="34" t="s">
        <v>22</v>
      </c>
      <c r="K1018" s="34" t="s">
        <v>48</v>
      </c>
      <c r="L1018" s="34" t="s">
        <v>47</v>
      </c>
      <c r="M1018">
        <v>-0.58681260000000002</v>
      </c>
    </row>
    <row r="1019" spans="1:13" x14ac:dyDescent="0.3">
      <c r="A1019" s="34" t="s">
        <v>662</v>
      </c>
      <c r="B1019">
        <v>-1</v>
      </c>
      <c r="C1019">
        <v>2050</v>
      </c>
      <c r="D1019" s="34" t="s">
        <v>338</v>
      </c>
      <c r="E1019" s="34" t="s">
        <v>339</v>
      </c>
      <c r="F1019" s="34" t="s">
        <v>611</v>
      </c>
      <c r="G1019" s="34" t="s">
        <v>644</v>
      </c>
      <c r="H1019" s="34" t="s">
        <v>21</v>
      </c>
      <c r="I1019" s="34" t="s">
        <v>19</v>
      </c>
      <c r="J1019" s="34" t="s">
        <v>22</v>
      </c>
      <c r="K1019" s="34" t="s">
        <v>49</v>
      </c>
      <c r="L1019" s="34" t="s">
        <v>47</v>
      </c>
      <c r="M1019">
        <v>8.9</v>
      </c>
    </row>
    <row r="1020" spans="1:13" x14ac:dyDescent="0.3">
      <c r="A1020" s="34" t="s">
        <v>662</v>
      </c>
      <c r="B1020">
        <v>-1</v>
      </c>
      <c r="C1020">
        <v>2050</v>
      </c>
      <c r="D1020" s="34" t="s">
        <v>338</v>
      </c>
      <c r="E1020" s="34" t="s">
        <v>339</v>
      </c>
      <c r="F1020" s="34" t="s">
        <v>611</v>
      </c>
      <c r="G1020" s="34" t="s">
        <v>645</v>
      </c>
      <c r="H1020" s="34" t="s">
        <v>23</v>
      </c>
      <c r="I1020" s="34" t="s">
        <v>19</v>
      </c>
      <c r="J1020" s="34" t="s">
        <v>24</v>
      </c>
      <c r="K1020" s="34" t="s">
        <v>49</v>
      </c>
      <c r="L1020" s="34" t="s">
        <v>47</v>
      </c>
      <c r="M1020">
        <v>11.966965310488915</v>
      </c>
    </row>
    <row r="1021" spans="1:13" x14ac:dyDescent="0.3">
      <c r="A1021" s="34" t="s">
        <v>662</v>
      </c>
      <c r="B1021">
        <v>-1</v>
      </c>
      <c r="C1021">
        <v>2050</v>
      </c>
      <c r="D1021" s="34" t="s">
        <v>340</v>
      </c>
      <c r="E1021" s="34" t="s">
        <v>399</v>
      </c>
      <c r="F1021" s="34" t="s">
        <v>342</v>
      </c>
      <c r="G1021" s="34" t="s">
        <v>43</v>
      </c>
      <c r="H1021" s="34" t="s">
        <v>40</v>
      </c>
      <c r="I1021" s="34" t="s">
        <v>19</v>
      </c>
      <c r="J1021" s="34" t="s">
        <v>27</v>
      </c>
      <c r="K1021" s="34" t="s">
        <v>46</v>
      </c>
      <c r="L1021" s="34" t="s">
        <v>47</v>
      </c>
      <c r="M1021">
        <v>6.258</v>
      </c>
    </row>
    <row r="1022" spans="1:13" x14ac:dyDescent="0.3">
      <c r="A1022" s="34" t="s">
        <v>662</v>
      </c>
      <c r="B1022">
        <v>-1</v>
      </c>
      <c r="C1022">
        <v>2050</v>
      </c>
      <c r="D1022" s="34" t="s">
        <v>340</v>
      </c>
      <c r="E1022" s="34" t="s">
        <v>399</v>
      </c>
      <c r="F1022" s="34" t="s">
        <v>342</v>
      </c>
      <c r="G1022" s="34" t="s">
        <v>43</v>
      </c>
      <c r="H1022" s="34" t="s">
        <v>40</v>
      </c>
      <c r="I1022" s="34" t="s">
        <v>19</v>
      </c>
      <c r="J1022" s="34" t="s">
        <v>27</v>
      </c>
      <c r="K1022" s="34" t="s">
        <v>48</v>
      </c>
      <c r="L1022" s="34" t="s">
        <v>47</v>
      </c>
      <c r="M1022">
        <v>-6.258</v>
      </c>
    </row>
    <row r="1023" spans="1:13" x14ac:dyDescent="0.3">
      <c r="A1023" s="34" t="s">
        <v>662</v>
      </c>
      <c r="B1023">
        <v>-1</v>
      </c>
      <c r="C1023">
        <v>2050</v>
      </c>
      <c r="D1023" s="34" t="s">
        <v>340</v>
      </c>
      <c r="E1023" s="34" t="s">
        <v>399</v>
      </c>
      <c r="F1023" s="34" t="s">
        <v>342</v>
      </c>
      <c r="G1023" s="34" t="s">
        <v>247</v>
      </c>
      <c r="H1023" s="34" t="s">
        <v>209</v>
      </c>
      <c r="I1023" s="34" t="s">
        <v>19</v>
      </c>
      <c r="J1023" s="34" t="s">
        <v>27</v>
      </c>
      <c r="K1023" s="34" t="s">
        <v>46</v>
      </c>
      <c r="L1023" s="34" t="s">
        <v>47</v>
      </c>
      <c r="M1023">
        <v>0.45200000000000001</v>
      </c>
    </row>
    <row r="1024" spans="1:13" x14ac:dyDescent="0.3">
      <c r="A1024" s="34" t="s">
        <v>662</v>
      </c>
      <c r="B1024">
        <v>-1</v>
      </c>
      <c r="C1024">
        <v>2050</v>
      </c>
      <c r="D1024" s="34" t="s">
        <v>340</v>
      </c>
      <c r="E1024" s="34" t="s">
        <v>399</v>
      </c>
      <c r="F1024" s="34" t="s">
        <v>342</v>
      </c>
      <c r="G1024" s="34" t="s">
        <v>247</v>
      </c>
      <c r="H1024" s="34" t="s">
        <v>209</v>
      </c>
      <c r="I1024" s="34" t="s">
        <v>19</v>
      </c>
      <c r="J1024" s="34" t="s">
        <v>27</v>
      </c>
      <c r="K1024" s="34" t="s">
        <v>48</v>
      </c>
      <c r="L1024" s="34" t="s">
        <v>47</v>
      </c>
      <c r="M1024">
        <v>-0.45200000000000001</v>
      </c>
    </row>
    <row r="1025" spans="1:13" x14ac:dyDescent="0.3">
      <c r="A1025" s="34" t="s">
        <v>662</v>
      </c>
      <c r="B1025">
        <v>-1</v>
      </c>
      <c r="C1025">
        <v>2050</v>
      </c>
      <c r="D1025" s="34" t="s">
        <v>340</v>
      </c>
      <c r="E1025" s="34" t="s">
        <v>399</v>
      </c>
      <c r="F1025" s="34" t="s">
        <v>342</v>
      </c>
      <c r="G1025" s="34" t="s">
        <v>282</v>
      </c>
      <c r="H1025" s="34" t="s">
        <v>237</v>
      </c>
      <c r="I1025" s="34" t="s">
        <v>19</v>
      </c>
      <c r="J1025" s="34" t="s">
        <v>27</v>
      </c>
      <c r="K1025" s="34" t="s">
        <v>46</v>
      </c>
      <c r="L1025" s="34" t="s">
        <v>47</v>
      </c>
      <c r="M1025">
        <v>2.0489999999999999</v>
      </c>
    </row>
    <row r="1026" spans="1:13" x14ac:dyDescent="0.3">
      <c r="A1026" s="34" t="s">
        <v>662</v>
      </c>
      <c r="B1026">
        <v>-1</v>
      </c>
      <c r="C1026">
        <v>2050</v>
      </c>
      <c r="D1026" s="34" t="s">
        <v>340</v>
      </c>
      <c r="E1026" s="34" t="s">
        <v>399</v>
      </c>
      <c r="F1026" s="34" t="s">
        <v>342</v>
      </c>
      <c r="G1026" s="34" t="s">
        <v>282</v>
      </c>
      <c r="H1026" s="34" t="s">
        <v>237</v>
      </c>
      <c r="I1026" s="34" t="s">
        <v>19</v>
      </c>
      <c r="J1026" s="34" t="s">
        <v>27</v>
      </c>
      <c r="K1026" s="34" t="s">
        <v>48</v>
      </c>
      <c r="L1026" s="34" t="s">
        <v>47</v>
      </c>
      <c r="M1026">
        <v>-2.0489999999999999</v>
      </c>
    </row>
    <row r="1027" spans="1:13" x14ac:dyDescent="0.3">
      <c r="A1027" s="34" t="s">
        <v>662</v>
      </c>
      <c r="B1027">
        <v>-1</v>
      </c>
      <c r="C1027">
        <v>2050</v>
      </c>
      <c r="D1027" s="34" t="s">
        <v>340</v>
      </c>
      <c r="E1027" s="34" t="s">
        <v>399</v>
      </c>
      <c r="F1027" s="34" t="s">
        <v>342</v>
      </c>
      <c r="G1027" s="34" t="s">
        <v>343</v>
      </c>
      <c r="H1027" s="34" t="s">
        <v>40</v>
      </c>
      <c r="I1027" s="34" t="s">
        <v>19</v>
      </c>
      <c r="J1027" s="34" t="s">
        <v>27</v>
      </c>
      <c r="K1027" s="34" t="s">
        <v>46</v>
      </c>
      <c r="L1027" s="34" t="s">
        <v>47</v>
      </c>
      <c r="M1027">
        <v>0.70300000000000007</v>
      </c>
    </row>
    <row r="1028" spans="1:13" x14ac:dyDescent="0.3">
      <c r="A1028" s="34" t="s">
        <v>662</v>
      </c>
      <c r="B1028">
        <v>-1</v>
      </c>
      <c r="C1028">
        <v>2050</v>
      </c>
      <c r="D1028" s="34" t="s">
        <v>340</v>
      </c>
      <c r="E1028" s="34" t="s">
        <v>399</v>
      </c>
      <c r="F1028" s="34" t="s">
        <v>342</v>
      </c>
      <c r="G1028" s="34" t="s">
        <v>343</v>
      </c>
      <c r="H1028" s="34" t="s">
        <v>40</v>
      </c>
      <c r="I1028" s="34" t="s">
        <v>19</v>
      </c>
      <c r="J1028" s="34" t="s">
        <v>27</v>
      </c>
      <c r="K1028" s="34" t="s">
        <v>48</v>
      </c>
      <c r="L1028" s="34" t="s">
        <v>47</v>
      </c>
      <c r="M1028">
        <v>-0.70300000000000007</v>
      </c>
    </row>
    <row r="1029" spans="1:13" x14ac:dyDescent="0.3">
      <c r="A1029" s="34" t="s">
        <v>662</v>
      </c>
      <c r="B1029">
        <v>-1</v>
      </c>
      <c r="C1029">
        <v>2050</v>
      </c>
      <c r="D1029" s="34" t="s">
        <v>340</v>
      </c>
      <c r="E1029" s="34" t="s">
        <v>399</v>
      </c>
      <c r="F1029" s="34" t="s">
        <v>342</v>
      </c>
      <c r="G1029" s="34" t="s">
        <v>28</v>
      </c>
      <c r="H1029" s="34" t="s">
        <v>23</v>
      </c>
      <c r="I1029" s="34" t="s">
        <v>19</v>
      </c>
      <c r="J1029" s="34" t="s">
        <v>24</v>
      </c>
      <c r="K1029" s="34" t="s">
        <v>46</v>
      </c>
      <c r="L1029" s="34" t="s">
        <v>47</v>
      </c>
      <c r="M1029">
        <v>8.527000000000001</v>
      </c>
    </row>
    <row r="1030" spans="1:13" x14ac:dyDescent="0.3">
      <c r="A1030" s="34" t="s">
        <v>662</v>
      </c>
      <c r="B1030">
        <v>-1</v>
      </c>
      <c r="C1030">
        <v>2050</v>
      </c>
      <c r="D1030" s="34" t="s">
        <v>340</v>
      </c>
      <c r="E1030" s="34" t="s">
        <v>399</v>
      </c>
      <c r="F1030" s="34" t="s">
        <v>342</v>
      </c>
      <c r="G1030" s="34" t="s">
        <v>28</v>
      </c>
      <c r="H1030" s="34" t="s">
        <v>23</v>
      </c>
      <c r="I1030" s="34" t="s">
        <v>19</v>
      </c>
      <c r="J1030" s="34" t="s">
        <v>24</v>
      </c>
      <c r="K1030" s="34" t="s">
        <v>48</v>
      </c>
      <c r="L1030" s="34" t="s">
        <v>47</v>
      </c>
      <c r="M1030">
        <v>-8.527000000000001</v>
      </c>
    </row>
    <row r="1031" spans="1:13" x14ac:dyDescent="0.3">
      <c r="A1031" s="34" t="s">
        <v>662</v>
      </c>
      <c r="B1031">
        <v>-1</v>
      </c>
      <c r="C1031">
        <v>2050</v>
      </c>
      <c r="D1031" s="34" t="s">
        <v>340</v>
      </c>
      <c r="E1031" s="34" t="s">
        <v>399</v>
      </c>
      <c r="F1031" s="34" t="s">
        <v>342</v>
      </c>
      <c r="G1031" s="34" t="s">
        <v>31</v>
      </c>
      <c r="H1031" s="34" t="s">
        <v>18</v>
      </c>
      <c r="I1031" s="34" t="s">
        <v>19</v>
      </c>
      <c r="J1031" s="34" t="s">
        <v>32</v>
      </c>
      <c r="K1031" s="34" t="s">
        <v>46</v>
      </c>
      <c r="L1031" s="34" t="s">
        <v>47</v>
      </c>
      <c r="M1031">
        <v>12</v>
      </c>
    </row>
    <row r="1032" spans="1:13" x14ac:dyDescent="0.3">
      <c r="A1032" s="34" t="s">
        <v>662</v>
      </c>
      <c r="B1032">
        <v>-1</v>
      </c>
      <c r="C1032">
        <v>2050</v>
      </c>
      <c r="D1032" s="34" t="s">
        <v>340</v>
      </c>
      <c r="E1032" s="34" t="s">
        <v>399</v>
      </c>
      <c r="F1032" s="34" t="s">
        <v>342</v>
      </c>
      <c r="G1032" s="34" t="s">
        <v>180</v>
      </c>
      <c r="H1032" s="34" t="s">
        <v>18</v>
      </c>
      <c r="I1032" s="34" t="s">
        <v>19</v>
      </c>
      <c r="J1032" s="34" t="s">
        <v>181</v>
      </c>
      <c r="K1032" s="34" t="s">
        <v>46</v>
      </c>
      <c r="L1032" s="34" t="s">
        <v>47</v>
      </c>
      <c r="M1032">
        <v>9</v>
      </c>
    </row>
    <row r="1033" spans="1:13" x14ac:dyDescent="0.3">
      <c r="A1033" s="34" t="s">
        <v>662</v>
      </c>
      <c r="B1033">
        <v>-1</v>
      </c>
      <c r="C1033">
        <v>2050</v>
      </c>
      <c r="D1033" s="34" t="s">
        <v>340</v>
      </c>
      <c r="E1033" s="34" t="s">
        <v>399</v>
      </c>
      <c r="F1033" s="34" t="s">
        <v>342</v>
      </c>
      <c r="G1033" s="34" t="s">
        <v>54</v>
      </c>
      <c r="H1033" s="34" t="s">
        <v>39</v>
      </c>
      <c r="I1033" s="34" t="s">
        <v>19</v>
      </c>
      <c r="J1033" s="34" t="s">
        <v>27</v>
      </c>
      <c r="K1033" s="34" t="s">
        <v>46</v>
      </c>
      <c r="L1033" s="34" t="s">
        <v>47</v>
      </c>
      <c r="M1033">
        <v>2.9969999999999999</v>
      </c>
    </row>
    <row r="1034" spans="1:13" x14ac:dyDescent="0.3">
      <c r="A1034" s="34" t="s">
        <v>662</v>
      </c>
      <c r="B1034">
        <v>-1</v>
      </c>
      <c r="C1034">
        <v>2050</v>
      </c>
      <c r="D1034" s="34" t="s">
        <v>340</v>
      </c>
      <c r="E1034" s="34" t="s">
        <v>399</v>
      </c>
      <c r="F1034" s="34" t="s">
        <v>342</v>
      </c>
      <c r="G1034" s="34" t="s">
        <v>54</v>
      </c>
      <c r="H1034" s="34" t="s">
        <v>39</v>
      </c>
      <c r="I1034" s="34" t="s">
        <v>19</v>
      </c>
      <c r="J1034" s="34" t="s">
        <v>27</v>
      </c>
      <c r="K1034" s="34" t="s">
        <v>48</v>
      </c>
      <c r="L1034" s="34" t="s">
        <v>47</v>
      </c>
      <c r="M1034">
        <v>-2.9969999999999999</v>
      </c>
    </row>
    <row r="1035" spans="1:13" x14ac:dyDescent="0.3">
      <c r="A1035" s="34" t="s">
        <v>662</v>
      </c>
      <c r="B1035">
        <v>-1</v>
      </c>
      <c r="C1035">
        <v>2050</v>
      </c>
      <c r="D1035" s="34" t="s">
        <v>340</v>
      </c>
      <c r="E1035" s="34" t="s">
        <v>399</v>
      </c>
      <c r="F1035" s="34" t="s">
        <v>342</v>
      </c>
      <c r="G1035" s="34" t="s">
        <v>276</v>
      </c>
      <c r="H1035" s="34" t="s">
        <v>237</v>
      </c>
      <c r="I1035" s="34" t="s">
        <v>19</v>
      </c>
      <c r="J1035" s="34" t="s">
        <v>27</v>
      </c>
      <c r="K1035" s="34" t="s">
        <v>46</v>
      </c>
      <c r="L1035" s="34" t="s">
        <v>47</v>
      </c>
      <c r="M1035">
        <v>2.0489999999999999</v>
      </c>
    </row>
    <row r="1036" spans="1:13" x14ac:dyDescent="0.3">
      <c r="A1036" s="34" t="s">
        <v>662</v>
      </c>
      <c r="B1036">
        <v>-1</v>
      </c>
      <c r="C1036">
        <v>2050</v>
      </c>
      <c r="D1036" s="34" t="s">
        <v>340</v>
      </c>
      <c r="E1036" s="34" t="s">
        <v>399</v>
      </c>
      <c r="F1036" s="34" t="s">
        <v>342</v>
      </c>
      <c r="G1036" s="34" t="s">
        <v>276</v>
      </c>
      <c r="H1036" s="34" t="s">
        <v>237</v>
      </c>
      <c r="I1036" s="34" t="s">
        <v>19</v>
      </c>
      <c r="J1036" s="34" t="s">
        <v>27</v>
      </c>
      <c r="K1036" s="34" t="s">
        <v>48</v>
      </c>
      <c r="L1036" s="34" t="s">
        <v>47</v>
      </c>
      <c r="M1036">
        <v>-2.0489999999999999</v>
      </c>
    </row>
    <row r="1037" spans="1:13" x14ac:dyDescent="0.3">
      <c r="A1037" s="34" t="s">
        <v>662</v>
      </c>
      <c r="B1037">
        <v>-1</v>
      </c>
      <c r="C1037">
        <v>2050</v>
      </c>
      <c r="D1037" s="34" t="s">
        <v>340</v>
      </c>
      <c r="E1037" s="34" t="s">
        <v>399</v>
      </c>
      <c r="F1037" s="34" t="s">
        <v>342</v>
      </c>
      <c r="G1037" s="34" t="s">
        <v>307</v>
      </c>
      <c r="H1037" s="34" t="s">
        <v>26</v>
      </c>
      <c r="I1037" s="34" t="s">
        <v>19</v>
      </c>
      <c r="J1037" s="34" t="s">
        <v>27</v>
      </c>
      <c r="K1037" s="34" t="s">
        <v>46</v>
      </c>
      <c r="L1037" s="34" t="s">
        <v>47</v>
      </c>
      <c r="M1037">
        <v>0.94000000000000006</v>
      </c>
    </row>
    <row r="1038" spans="1:13" x14ac:dyDescent="0.3">
      <c r="A1038" s="34" t="s">
        <v>662</v>
      </c>
      <c r="B1038">
        <v>-1</v>
      </c>
      <c r="C1038">
        <v>2050</v>
      </c>
      <c r="D1038" s="34" t="s">
        <v>340</v>
      </c>
      <c r="E1038" s="34" t="s">
        <v>399</v>
      </c>
      <c r="F1038" s="34" t="s">
        <v>342</v>
      </c>
      <c r="G1038" s="34" t="s">
        <v>307</v>
      </c>
      <c r="H1038" s="34" t="s">
        <v>26</v>
      </c>
      <c r="I1038" s="34" t="s">
        <v>19</v>
      </c>
      <c r="J1038" s="34" t="s">
        <v>27</v>
      </c>
      <c r="K1038" s="34" t="s">
        <v>48</v>
      </c>
      <c r="L1038" s="34" t="s">
        <v>47</v>
      </c>
      <c r="M1038">
        <v>-0.94000000000000006</v>
      </c>
    </row>
    <row r="1039" spans="1:13" x14ac:dyDescent="0.3">
      <c r="A1039" s="34" t="s">
        <v>662</v>
      </c>
      <c r="B1039">
        <v>-1</v>
      </c>
      <c r="C1039">
        <v>2050</v>
      </c>
      <c r="D1039" s="34" t="s">
        <v>340</v>
      </c>
      <c r="E1039" s="34" t="s">
        <v>399</v>
      </c>
      <c r="F1039" s="34" t="s">
        <v>342</v>
      </c>
      <c r="G1039" s="34" t="s">
        <v>301</v>
      </c>
      <c r="H1039" s="34" t="s">
        <v>40</v>
      </c>
      <c r="I1039" s="34" t="s">
        <v>19</v>
      </c>
      <c r="J1039" s="34" t="s">
        <v>27</v>
      </c>
      <c r="K1039" s="34" t="s">
        <v>46</v>
      </c>
      <c r="L1039" s="34" t="s">
        <v>47</v>
      </c>
      <c r="M1039">
        <v>0.30599999999999999</v>
      </c>
    </row>
    <row r="1040" spans="1:13" x14ac:dyDescent="0.3">
      <c r="A1040" s="34" t="s">
        <v>662</v>
      </c>
      <c r="B1040">
        <v>-1</v>
      </c>
      <c r="C1040">
        <v>2050</v>
      </c>
      <c r="D1040" s="34" t="s">
        <v>340</v>
      </c>
      <c r="E1040" s="34" t="s">
        <v>399</v>
      </c>
      <c r="F1040" s="34" t="s">
        <v>342</v>
      </c>
      <c r="G1040" s="34" t="s">
        <v>301</v>
      </c>
      <c r="H1040" s="34" t="s">
        <v>40</v>
      </c>
      <c r="I1040" s="34" t="s">
        <v>19</v>
      </c>
      <c r="J1040" s="34" t="s">
        <v>27</v>
      </c>
      <c r="K1040" s="34" t="s">
        <v>48</v>
      </c>
      <c r="L1040" s="34" t="s">
        <v>47</v>
      </c>
      <c r="M1040">
        <v>-0.30599999999999999</v>
      </c>
    </row>
    <row r="1041" spans="1:13" x14ac:dyDescent="0.3">
      <c r="A1041" s="34" t="s">
        <v>662</v>
      </c>
      <c r="B1041">
        <v>-1</v>
      </c>
      <c r="C1041">
        <v>2050</v>
      </c>
      <c r="D1041" s="34" t="s">
        <v>340</v>
      </c>
      <c r="E1041" s="34" t="s">
        <v>399</v>
      </c>
      <c r="F1041" s="34" t="s">
        <v>342</v>
      </c>
      <c r="G1041" s="34" t="s">
        <v>253</v>
      </c>
      <c r="H1041" s="34" t="s">
        <v>254</v>
      </c>
      <c r="I1041" s="34" t="s">
        <v>19</v>
      </c>
      <c r="J1041" s="34" t="s">
        <v>27</v>
      </c>
      <c r="K1041" s="34" t="s">
        <v>46</v>
      </c>
      <c r="L1041" s="34" t="s">
        <v>47</v>
      </c>
      <c r="M1041">
        <v>63.13</v>
      </c>
    </row>
    <row r="1042" spans="1:13" x14ac:dyDescent="0.3">
      <c r="A1042" s="34" t="s">
        <v>662</v>
      </c>
      <c r="B1042">
        <v>-1</v>
      </c>
      <c r="C1042">
        <v>2050</v>
      </c>
      <c r="D1042" s="34" t="s">
        <v>340</v>
      </c>
      <c r="E1042" s="34" t="s">
        <v>399</v>
      </c>
      <c r="F1042" s="34" t="s">
        <v>342</v>
      </c>
      <c r="G1042" s="34" t="s">
        <v>253</v>
      </c>
      <c r="H1042" s="34" t="s">
        <v>254</v>
      </c>
      <c r="I1042" s="34" t="s">
        <v>19</v>
      </c>
      <c r="J1042" s="34" t="s">
        <v>27</v>
      </c>
      <c r="K1042" s="34" t="s">
        <v>48</v>
      </c>
      <c r="L1042" s="34" t="s">
        <v>47</v>
      </c>
      <c r="M1042">
        <v>-41.81143159416569</v>
      </c>
    </row>
    <row r="1043" spans="1:13" x14ac:dyDescent="0.3">
      <c r="A1043" s="34" t="s">
        <v>662</v>
      </c>
      <c r="B1043">
        <v>-1</v>
      </c>
      <c r="C1043">
        <v>2050</v>
      </c>
      <c r="D1043" s="34" t="s">
        <v>340</v>
      </c>
      <c r="E1043" s="34" t="s">
        <v>399</v>
      </c>
      <c r="F1043" s="34" t="s">
        <v>342</v>
      </c>
      <c r="G1043" s="34" t="s">
        <v>52</v>
      </c>
      <c r="H1043" s="34" t="s">
        <v>53</v>
      </c>
      <c r="I1043" s="34" t="s">
        <v>19</v>
      </c>
      <c r="J1043" s="34" t="s">
        <v>27</v>
      </c>
      <c r="K1043" s="34" t="s">
        <v>46</v>
      </c>
      <c r="L1043" s="34" t="s">
        <v>47</v>
      </c>
      <c r="M1043">
        <v>1.004</v>
      </c>
    </row>
    <row r="1044" spans="1:13" x14ac:dyDescent="0.3">
      <c r="A1044" s="34" t="s">
        <v>662</v>
      </c>
      <c r="B1044">
        <v>-1</v>
      </c>
      <c r="C1044">
        <v>2050</v>
      </c>
      <c r="D1044" s="34" t="s">
        <v>340</v>
      </c>
      <c r="E1044" s="34" t="s">
        <v>399</v>
      </c>
      <c r="F1044" s="34" t="s">
        <v>342</v>
      </c>
      <c r="G1044" s="34" t="s">
        <v>52</v>
      </c>
      <c r="H1044" s="34" t="s">
        <v>53</v>
      </c>
      <c r="I1044" s="34" t="s">
        <v>19</v>
      </c>
      <c r="J1044" s="34" t="s">
        <v>27</v>
      </c>
      <c r="K1044" s="34" t="s">
        <v>48</v>
      </c>
      <c r="L1044" s="34" t="s">
        <v>47</v>
      </c>
      <c r="M1044">
        <v>-1.004</v>
      </c>
    </row>
    <row r="1045" spans="1:13" x14ac:dyDescent="0.3">
      <c r="A1045" s="34" t="s">
        <v>662</v>
      </c>
      <c r="B1045">
        <v>-1</v>
      </c>
      <c r="C1045">
        <v>2050</v>
      </c>
      <c r="D1045" s="34" t="s">
        <v>340</v>
      </c>
      <c r="E1045" s="34" t="s">
        <v>399</v>
      </c>
      <c r="F1045" s="34" t="s">
        <v>342</v>
      </c>
      <c r="G1045" s="34" t="s">
        <v>29</v>
      </c>
      <c r="H1045" s="34" t="s">
        <v>21</v>
      </c>
      <c r="I1045" s="34" t="s">
        <v>19</v>
      </c>
      <c r="J1045" s="34" t="s">
        <v>22</v>
      </c>
      <c r="K1045" s="34" t="s">
        <v>46</v>
      </c>
      <c r="L1045" s="34" t="s">
        <v>47</v>
      </c>
      <c r="M1045">
        <v>3.8126188999999999</v>
      </c>
    </row>
    <row r="1046" spans="1:13" x14ac:dyDescent="0.3">
      <c r="A1046" s="34" t="s">
        <v>662</v>
      </c>
      <c r="B1046">
        <v>-1</v>
      </c>
      <c r="C1046">
        <v>2050</v>
      </c>
      <c r="D1046" s="34" t="s">
        <v>340</v>
      </c>
      <c r="E1046" s="34" t="s">
        <v>399</v>
      </c>
      <c r="F1046" s="34" t="s">
        <v>342</v>
      </c>
      <c r="G1046" s="34" t="s">
        <v>29</v>
      </c>
      <c r="H1046" s="34" t="s">
        <v>21</v>
      </c>
      <c r="I1046" s="34" t="s">
        <v>19</v>
      </c>
      <c r="J1046" s="34" t="s">
        <v>22</v>
      </c>
      <c r="K1046" s="34" t="s">
        <v>48</v>
      </c>
      <c r="L1046" s="34" t="s">
        <v>47</v>
      </c>
      <c r="M1046">
        <v>-3.8126188999999995</v>
      </c>
    </row>
    <row r="1047" spans="1:13" x14ac:dyDescent="0.3">
      <c r="A1047" s="34" t="s">
        <v>662</v>
      </c>
      <c r="B1047">
        <v>-1</v>
      </c>
      <c r="C1047">
        <v>2050</v>
      </c>
      <c r="D1047" s="34" t="s">
        <v>340</v>
      </c>
      <c r="E1047" s="34" t="s">
        <v>399</v>
      </c>
      <c r="F1047" s="34" t="s">
        <v>342</v>
      </c>
      <c r="G1047" s="34" t="s">
        <v>20</v>
      </c>
      <c r="H1047" s="34" t="s">
        <v>21</v>
      </c>
      <c r="I1047" s="34" t="s">
        <v>19</v>
      </c>
      <c r="J1047" s="34" t="s">
        <v>22</v>
      </c>
      <c r="K1047" s="34" t="s">
        <v>46</v>
      </c>
      <c r="L1047" s="34" t="s">
        <v>47</v>
      </c>
      <c r="M1047">
        <v>9.3396092000000017</v>
      </c>
    </row>
    <row r="1048" spans="1:13" x14ac:dyDescent="0.3">
      <c r="A1048" s="34" t="s">
        <v>662</v>
      </c>
      <c r="B1048">
        <v>-1</v>
      </c>
      <c r="C1048">
        <v>2050</v>
      </c>
      <c r="D1048" s="34" t="s">
        <v>340</v>
      </c>
      <c r="E1048" s="34" t="s">
        <v>399</v>
      </c>
      <c r="F1048" s="34" t="s">
        <v>342</v>
      </c>
      <c r="G1048" s="34" t="s">
        <v>20</v>
      </c>
      <c r="H1048" s="34" t="s">
        <v>21</v>
      </c>
      <c r="I1048" s="34" t="s">
        <v>19</v>
      </c>
      <c r="J1048" s="34" t="s">
        <v>22</v>
      </c>
      <c r="K1048" s="34" t="s">
        <v>48</v>
      </c>
      <c r="L1048" s="34" t="s">
        <v>47</v>
      </c>
      <c r="M1048">
        <v>-9.3396092000000017</v>
      </c>
    </row>
    <row r="1049" spans="1:13" x14ac:dyDescent="0.3">
      <c r="A1049" s="34" t="s">
        <v>662</v>
      </c>
      <c r="B1049">
        <v>-1</v>
      </c>
      <c r="C1049">
        <v>2050</v>
      </c>
      <c r="D1049" s="34" t="s">
        <v>340</v>
      </c>
      <c r="E1049" s="34" t="s">
        <v>399</v>
      </c>
      <c r="F1049" s="34" t="s">
        <v>342</v>
      </c>
      <c r="G1049" s="34" t="s">
        <v>30</v>
      </c>
      <c r="H1049" s="34" t="s">
        <v>21</v>
      </c>
      <c r="I1049" s="34" t="s">
        <v>19</v>
      </c>
      <c r="J1049" s="34" t="s">
        <v>22</v>
      </c>
      <c r="K1049" s="34" t="s">
        <v>46</v>
      </c>
      <c r="L1049" s="34" t="s">
        <v>47</v>
      </c>
      <c r="M1049">
        <v>0.67556690000000008</v>
      </c>
    </row>
    <row r="1050" spans="1:13" x14ac:dyDescent="0.3">
      <c r="A1050" s="34" t="s">
        <v>662</v>
      </c>
      <c r="B1050">
        <v>-1</v>
      </c>
      <c r="C1050">
        <v>2050</v>
      </c>
      <c r="D1050" s="34" t="s">
        <v>340</v>
      </c>
      <c r="E1050" s="34" t="s">
        <v>399</v>
      </c>
      <c r="F1050" s="34" t="s">
        <v>342</v>
      </c>
      <c r="G1050" s="34" t="s">
        <v>30</v>
      </c>
      <c r="H1050" s="34" t="s">
        <v>21</v>
      </c>
      <c r="I1050" s="34" t="s">
        <v>19</v>
      </c>
      <c r="J1050" s="34" t="s">
        <v>22</v>
      </c>
      <c r="K1050" s="34" t="s">
        <v>48</v>
      </c>
      <c r="L1050" s="34" t="s">
        <v>47</v>
      </c>
      <c r="M1050">
        <v>-0.67556690000000008</v>
      </c>
    </row>
    <row r="1051" spans="1:13" x14ac:dyDescent="0.3">
      <c r="A1051" s="34" t="s">
        <v>662</v>
      </c>
      <c r="B1051">
        <v>-1</v>
      </c>
      <c r="C1051">
        <v>2050</v>
      </c>
      <c r="D1051" s="34" t="s">
        <v>340</v>
      </c>
      <c r="E1051" s="34" t="s">
        <v>399</v>
      </c>
      <c r="F1051" s="34" t="s">
        <v>342</v>
      </c>
      <c r="G1051" s="34" t="s">
        <v>11</v>
      </c>
      <c r="H1051" s="34" t="s">
        <v>12</v>
      </c>
      <c r="I1051" s="34" t="s">
        <v>13</v>
      </c>
      <c r="J1051" s="34" t="s">
        <v>14</v>
      </c>
      <c r="K1051" s="34" t="s">
        <v>46</v>
      </c>
      <c r="L1051" s="34" t="s">
        <v>47</v>
      </c>
      <c r="M1051">
        <v>8.6659999999999968</v>
      </c>
    </row>
    <row r="1052" spans="1:13" x14ac:dyDescent="0.3">
      <c r="A1052" s="34" t="s">
        <v>662</v>
      </c>
      <c r="B1052">
        <v>-1</v>
      </c>
      <c r="C1052">
        <v>2050</v>
      </c>
      <c r="D1052" s="34" t="s">
        <v>340</v>
      </c>
      <c r="E1052" s="34" t="s">
        <v>399</v>
      </c>
      <c r="F1052" s="34" t="s">
        <v>342</v>
      </c>
      <c r="G1052" s="34" t="s">
        <v>11</v>
      </c>
      <c r="H1052" s="34" t="s">
        <v>12</v>
      </c>
      <c r="I1052" s="34" t="s">
        <v>13</v>
      </c>
      <c r="J1052" s="34" t="s">
        <v>14</v>
      </c>
      <c r="K1052" s="34" t="s">
        <v>48</v>
      </c>
      <c r="L1052" s="34" t="s">
        <v>47</v>
      </c>
      <c r="M1052">
        <v>-2.165999999999999</v>
      </c>
    </row>
    <row r="1053" spans="1:13" x14ac:dyDescent="0.3">
      <c r="A1053" s="34" t="s">
        <v>662</v>
      </c>
      <c r="B1053">
        <v>-1</v>
      </c>
      <c r="C1053">
        <v>2050</v>
      </c>
      <c r="D1053" s="34" t="s">
        <v>340</v>
      </c>
      <c r="E1053" s="34" t="s">
        <v>399</v>
      </c>
      <c r="F1053" s="34" t="s">
        <v>342</v>
      </c>
      <c r="G1053" s="34" t="s">
        <v>16</v>
      </c>
      <c r="H1053" s="34" t="s">
        <v>12</v>
      </c>
      <c r="I1053" s="34" t="s">
        <v>13</v>
      </c>
      <c r="J1053" s="34" t="s">
        <v>14</v>
      </c>
      <c r="K1053" s="34" t="s">
        <v>49</v>
      </c>
      <c r="L1053" s="34" t="s">
        <v>47</v>
      </c>
      <c r="M1053">
        <v>32.333799668184305</v>
      </c>
    </row>
    <row r="1054" spans="1:13" x14ac:dyDescent="0.3">
      <c r="A1054" s="34" t="s">
        <v>662</v>
      </c>
      <c r="B1054">
        <v>-1</v>
      </c>
      <c r="C1054">
        <v>2050</v>
      </c>
      <c r="D1054" s="34" t="s">
        <v>340</v>
      </c>
      <c r="E1054" s="34" t="s">
        <v>399</v>
      </c>
      <c r="F1054" s="34" t="s">
        <v>342</v>
      </c>
      <c r="G1054" s="34" t="s">
        <v>392</v>
      </c>
      <c r="H1054" s="34" t="s">
        <v>13</v>
      </c>
      <c r="I1054" s="34" t="s">
        <v>13</v>
      </c>
      <c r="J1054" s="34" t="s">
        <v>17</v>
      </c>
      <c r="K1054" s="34" t="s">
        <v>49</v>
      </c>
      <c r="L1054" s="34" t="s">
        <v>47</v>
      </c>
      <c r="M1054">
        <v>63.241074664763104</v>
      </c>
    </row>
    <row r="1055" spans="1:13" x14ac:dyDescent="0.3">
      <c r="A1055" s="34" t="s">
        <v>662</v>
      </c>
      <c r="B1055">
        <v>-1</v>
      </c>
      <c r="C1055">
        <v>2050</v>
      </c>
      <c r="D1055" s="34" t="s">
        <v>340</v>
      </c>
      <c r="E1055" s="34" t="s">
        <v>399</v>
      </c>
      <c r="F1055" s="34" t="s">
        <v>342</v>
      </c>
      <c r="G1055" s="34" t="s">
        <v>41</v>
      </c>
      <c r="H1055" s="34" t="s">
        <v>40</v>
      </c>
      <c r="I1055" s="34" t="s">
        <v>13</v>
      </c>
      <c r="J1055" s="34" t="s">
        <v>42</v>
      </c>
      <c r="K1055" s="34" t="s">
        <v>46</v>
      </c>
      <c r="L1055" s="34" t="s">
        <v>47</v>
      </c>
      <c r="M1055">
        <v>5.2216921144784267</v>
      </c>
    </row>
    <row r="1056" spans="1:13" x14ac:dyDescent="0.3">
      <c r="A1056" s="34" t="s">
        <v>662</v>
      </c>
      <c r="B1056">
        <v>-1</v>
      </c>
      <c r="C1056">
        <v>2050</v>
      </c>
      <c r="D1056" s="34" t="s">
        <v>340</v>
      </c>
      <c r="E1056" s="34" t="s">
        <v>399</v>
      </c>
      <c r="F1056" s="34" t="s">
        <v>342</v>
      </c>
      <c r="G1056" s="34" t="s">
        <v>41</v>
      </c>
      <c r="H1056" s="34" t="s">
        <v>40</v>
      </c>
      <c r="I1056" s="34" t="s">
        <v>13</v>
      </c>
      <c r="J1056" s="34" t="s">
        <v>42</v>
      </c>
      <c r="K1056" s="34" t="s">
        <v>49</v>
      </c>
      <c r="L1056" s="34" t="s">
        <v>47</v>
      </c>
      <c r="M1056">
        <v>-6.3664629124104976E-16</v>
      </c>
    </row>
    <row r="1057" spans="1:13" x14ac:dyDescent="0.3">
      <c r="A1057" s="34" t="s">
        <v>662</v>
      </c>
      <c r="B1057">
        <v>-1</v>
      </c>
      <c r="C1057">
        <v>2050</v>
      </c>
      <c r="D1057" s="34" t="s">
        <v>340</v>
      </c>
      <c r="E1057" s="34" t="s">
        <v>399</v>
      </c>
      <c r="F1057" s="34" t="s">
        <v>342</v>
      </c>
      <c r="G1057" s="34" t="s">
        <v>41</v>
      </c>
      <c r="H1057" s="34" t="s">
        <v>40</v>
      </c>
      <c r="I1057" s="34" t="s">
        <v>13</v>
      </c>
      <c r="J1057" s="34" t="s">
        <v>42</v>
      </c>
      <c r="K1057" s="34" t="s">
        <v>48</v>
      </c>
      <c r="L1057" s="34" t="s">
        <v>47</v>
      </c>
      <c r="M1057">
        <v>-5.2216921144784259</v>
      </c>
    </row>
    <row r="1058" spans="1:13" x14ac:dyDescent="0.3">
      <c r="A1058" s="34" t="s">
        <v>662</v>
      </c>
      <c r="B1058">
        <v>-1</v>
      </c>
      <c r="C1058">
        <v>2050</v>
      </c>
      <c r="D1058" s="34" t="s">
        <v>340</v>
      </c>
      <c r="E1058" s="34" t="s">
        <v>399</v>
      </c>
      <c r="F1058" s="34" t="s">
        <v>344</v>
      </c>
      <c r="G1058" s="34" t="s">
        <v>222</v>
      </c>
      <c r="H1058" s="34" t="s">
        <v>21</v>
      </c>
      <c r="I1058" s="34" t="s">
        <v>19</v>
      </c>
      <c r="J1058" s="34" t="s">
        <v>223</v>
      </c>
      <c r="K1058" s="34" t="s">
        <v>46</v>
      </c>
      <c r="L1058" s="34" t="s">
        <v>47</v>
      </c>
      <c r="M1058">
        <v>3</v>
      </c>
    </row>
    <row r="1059" spans="1:13" x14ac:dyDescent="0.3">
      <c r="A1059" s="34" t="s">
        <v>662</v>
      </c>
      <c r="B1059">
        <v>-1</v>
      </c>
      <c r="C1059">
        <v>2050</v>
      </c>
      <c r="D1059" s="34" t="s">
        <v>340</v>
      </c>
      <c r="E1059" s="34" t="s">
        <v>399</v>
      </c>
      <c r="F1059" s="34" t="s">
        <v>344</v>
      </c>
      <c r="G1059" s="34" t="s">
        <v>222</v>
      </c>
      <c r="H1059" s="34" t="s">
        <v>21</v>
      </c>
      <c r="I1059" s="34" t="s">
        <v>19</v>
      </c>
      <c r="J1059" s="34" t="s">
        <v>223</v>
      </c>
      <c r="K1059" s="34" t="s">
        <v>48</v>
      </c>
      <c r="L1059" s="34" t="s">
        <v>47</v>
      </c>
      <c r="M1059">
        <v>-0.5</v>
      </c>
    </row>
    <row r="1060" spans="1:13" x14ac:dyDescent="0.3">
      <c r="A1060" s="34" t="s">
        <v>662</v>
      </c>
      <c r="B1060">
        <v>-1</v>
      </c>
      <c r="C1060">
        <v>2050</v>
      </c>
      <c r="D1060" s="34" t="s">
        <v>340</v>
      </c>
      <c r="E1060" s="34" t="s">
        <v>399</v>
      </c>
      <c r="F1060" s="34" t="s">
        <v>345</v>
      </c>
      <c r="G1060" s="34" t="s">
        <v>335</v>
      </c>
      <c r="H1060" s="34" t="s">
        <v>237</v>
      </c>
      <c r="I1060" s="34" t="s">
        <v>203</v>
      </c>
      <c r="J1060" s="34" t="s">
        <v>204</v>
      </c>
      <c r="K1060" s="34" t="s">
        <v>46</v>
      </c>
      <c r="L1060" s="34" t="s">
        <v>47</v>
      </c>
      <c r="M1060">
        <v>0.40687455243799231</v>
      </c>
    </row>
    <row r="1061" spans="1:13" x14ac:dyDescent="0.3">
      <c r="A1061" s="34" t="s">
        <v>662</v>
      </c>
      <c r="B1061">
        <v>-1</v>
      </c>
      <c r="C1061">
        <v>2050</v>
      </c>
      <c r="D1061" s="34" t="s">
        <v>340</v>
      </c>
      <c r="E1061" s="34" t="s">
        <v>399</v>
      </c>
      <c r="F1061" s="34" t="s">
        <v>345</v>
      </c>
      <c r="G1061" s="34" t="s">
        <v>335</v>
      </c>
      <c r="H1061" s="34" t="s">
        <v>237</v>
      </c>
      <c r="I1061" s="34" t="s">
        <v>203</v>
      </c>
      <c r="J1061" s="34" t="s">
        <v>204</v>
      </c>
      <c r="K1061" s="34" t="s">
        <v>48</v>
      </c>
      <c r="L1061" s="34" t="s">
        <v>47</v>
      </c>
      <c r="M1061">
        <v>-0.40687455243799231</v>
      </c>
    </row>
    <row r="1062" spans="1:13" x14ac:dyDescent="0.3">
      <c r="A1062" s="34" t="s">
        <v>662</v>
      </c>
      <c r="B1062">
        <v>-1</v>
      </c>
      <c r="C1062">
        <v>2050</v>
      </c>
      <c r="D1062" s="34" t="s">
        <v>340</v>
      </c>
      <c r="E1062" s="34" t="s">
        <v>399</v>
      </c>
      <c r="F1062" s="34" t="s">
        <v>345</v>
      </c>
      <c r="G1062" s="34" t="s">
        <v>335</v>
      </c>
      <c r="H1062" s="34" t="s">
        <v>237</v>
      </c>
      <c r="I1062" s="34" t="s">
        <v>19</v>
      </c>
      <c r="J1062" s="34" t="s">
        <v>204</v>
      </c>
      <c r="K1062" s="34" t="s">
        <v>46</v>
      </c>
      <c r="L1062" s="34" t="s">
        <v>47</v>
      </c>
      <c r="M1062">
        <v>0.15</v>
      </c>
    </row>
    <row r="1063" spans="1:13" x14ac:dyDescent="0.3">
      <c r="A1063" s="34" t="s">
        <v>662</v>
      </c>
      <c r="B1063">
        <v>-1</v>
      </c>
      <c r="C1063">
        <v>2050</v>
      </c>
      <c r="D1063" s="34" t="s">
        <v>340</v>
      </c>
      <c r="E1063" s="34" t="s">
        <v>399</v>
      </c>
      <c r="F1063" s="34" t="s">
        <v>345</v>
      </c>
      <c r="G1063" s="34" t="s">
        <v>335</v>
      </c>
      <c r="H1063" s="34" t="s">
        <v>237</v>
      </c>
      <c r="I1063" s="34" t="s">
        <v>19</v>
      </c>
      <c r="J1063" s="34" t="s">
        <v>204</v>
      </c>
      <c r="K1063" s="34" t="s">
        <v>48</v>
      </c>
      <c r="L1063" s="34" t="s">
        <v>47</v>
      </c>
      <c r="M1063">
        <v>-0.15</v>
      </c>
    </row>
    <row r="1064" spans="1:13" x14ac:dyDescent="0.3">
      <c r="A1064" s="34" t="s">
        <v>662</v>
      </c>
      <c r="B1064">
        <v>-1</v>
      </c>
      <c r="C1064">
        <v>2050</v>
      </c>
      <c r="D1064" s="34" t="s">
        <v>340</v>
      </c>
      <c r="E1064" s="34" t="s">
        <v>399</v>
      </c>
      <c r="F1064" s="34" t="s">
        <v>345</v>
      </c>
      <c r="G1064" s="34" t="s">
        <v>334</v>
      </c>
      <c r="H1064" s="34" t="s">
        <v>40</v>
      </c>
      <c r="I1064" s="34" t="s">
        <v>203</v>
      </c>
      <c r="J1064" s="34" t="s">
        <v>204</v>
      </c>
      <c r="K1064" s="34" t="s">
        <v>46</v>
      </c>
      <c r="L1064" s="34" t="s">
        <v>47</v>
      </c>
      <c r="M1064">
        <v>5.0064944928560573</v>
      </c>
    </row>
    <row r="1065" spans="1:13" x14ac:dyDescent="0.3">
      <c r="A1065" s="34" t="s">
        <v>662</v>
      </c>
      <c r="B1065">
        <v>-1</v>
      </c>
      <c r="C1065">
        <v>2050</v>
      </c>
      <c r="D1065" s="34" t="s">
        <v>340</v>
      </c>
      <c r="E1065" s="34" t="s">
        <v>399</v>
      </c>
      <c r="F1065" s="34" t="s">
        <v>345</v>
      </c>
      <c r="G1065" s="34" t="s">
        <v>334</v>
      </c>
      <c r="H1065" s="34" t="s">
        <v>40</v>
      </c>
      <c r="I1065" s="34" t="s">
        <v>203</v>
      </c>
      <c r="J1065" s="34" t="s">
        <v>204</v>
      </c>
      <c r="K1065" s="34" t="s">
        <v>48</v>
      </c>
      <c r="L1065" s="34" t="s">
        <v>47</v>
      </c>
      <c r="M1065">
        <v>-5.0064944928560573</v>
      </c>
    </row>
    <row r="1066" spans="1:13" x14ac:dyDescent="0.3">
      <c r="A1066" s="34" t="s">
        <v>662</v>
      </c>
      <c r="B1066">
        <v>-1</v>
      </c>
      <c r="C1066">
        <v>2050</v>
      </c>
      <c r="D1066" s="34" t="s">
        <v>340</v>
      </c>
      <c r="E1066" s="34" t="s">
        <v>399</v>
      </c>
      <c r="F1066" s="34" t="s">
        <v>345</v>
      </c>
      <c r="G1066" s="34" t="s">
        <v>334</v>
      </c>
      <c r="H1066" s="34" t="s">
        <v>40</v>
      </c>
      <c r="I1066" s="34" t="s">
        <v>19</v>
      </c>
      <c r="J1066" s="34" t="s">
        <v>204</v>
      </c>
      <c r="K1066" s="34" t="s">
        <v>46</v>
      </c>
      <c r="L1066" s="34" t="s">
        <v>47</v>
      </c>
      <c r="M1066">
        <v>1.615</v>
      </c>
    </row>
    <row r="1067" spans="1:13" x14ac:dyDescent="0.3">
      <c r="A1067" s="34" t="s">
        <v>662</v>
      </c>
      <c r="B1067">
        <v>-1</v>
      </c>
      <c r="C1067">
        <v>2050</v>
      </c>
      <c r="D1067" s="34" t="s">
        <v>340</v>
      </c>
      <c r="E1067" s="34" t="s">
        <v>399</v>
      </c>
      <c r="F1067" s="34" t="s">
        <v>345</v>
      </c>
      <c r="G1067" s="34" t="s">
        <v>334</v>
      </c>
      <c r="H1067" s="34" t="s">
        <v>40</v>
      </c>
      <c r="I1067" s="34" t="s">
        <v>19</v>
      </c>
      <c r="J1067" s="34" t="s">
        <v>204</v>
      </c>
      <c r="K1067" s="34" t="s">
        <v>48</v>
      </c>
      <c r="L1067" s="34" t="s">
        <v>47</v>
      </c>
      <c r="M1067">
        <v>-1.615</v>
      </c>
    </row>
    <row r="1068" spans="1:13" x14ac:dyDescent="0.3">
      <c r="A1068" s="34" t="s">
        <v>662</v>
      </c>
      <c r="B1068">
        <v>-1</v>
      </c>
      <c r="C1068">
        <v>2050</v>
      </c>
      <c r="D1068" s="34" t="s">
        <v>340</v>
      </c>
      <c r="E1068" s="34" t="s">
        <v>399</v>
      </c>
      <c r="F1068" s="34" t="s">
        <v>612</v>
      </c>
      <c r="G1068" s="34" t="s">
        <v>644</v>
      </c>
      <c r="H1068" s="34" t="s">
        <v>21</v>
      </c>
      <c r="I1068" s="34" t="s">
        <v>19</v>
      </c>
      <c r="J1068" s="34" t="s">
        <v>22</v>
      </c>
      <c r="K1068" s="34" t="s">
        <v>49</v>
      </c>
      <c r="L1068" s="34" t="s">
        <v>47</v>
      </c>
      <c r="M1068">
        <v>100.48380727511231</v>
      </c>
    </row>
    <row r="1069" spans="1:13" x14ac:dyDescent="0.3">
      <c r="A1069" s="34" t="s">
        <v>662</v>
      </c>
      <c r="B1069">
        <v>-1</v>
      </c>
      <c r="C1069">
        <v>2050</v>
      </c>
      <c r="D1069" s="34" t="s">
        <v>340</v>
      </c>
      <c r="E1069" s="34" t="s">
        <v>399</v>
      </c>
      <c r="F1069" s="34" t="s">
        <v>612</v>
      </c>
      <c r="G1069" s="34" t="s">
        <v>645</v>
      </c>
      <c r="H1069" s="34" t="s">
        <v>23</v>
      </c>
      <c r="I1069" s="34" t="s">
        <v>19</v>
      </c>
      <c r="J1069" s="34" t="s">
        <v>24</v>
      </c>
      <c r="K1069" s="34" t="s">
        <v>49</v>
      </c>
      <c r="L1069" s="34" t="s">
        <v>47</v>
      </c>
      <c r="M1069">
        <v>119.84192653646213</v>
      </c>
    </row>
    <row r="1070" spans="1:13" x14ac:dyDescent="0.3">
      <c r="A1070" s="34" t="s">
        <v>662</v>
      </c>
      <c r="B1070">
        <v>-1</v>
      </c>
      <c r="C1070">
        <v>2050</v>
      </c>
      <c r="D1070" s="34" t="s">
        <v>340</v>
      </c>
      <c r="E1070" s="34" t="s">
        <v>400</v>
      </c>
      <c r="F1070" s="34" t="s">
        <v>613</v>
      </c>
      <c r="G1070" s="34" t="s">
        <v>25</v>
      </c>
      <c r="H1070" s="34" t="s">
        <v>26</v>
      </c>
      <c r="I1070" s="34" t="s">
        <v>19</v>
      </c>
      <c r="J1070" s="34" t="s">
        <v>27</v>
      </c>
      <c r="K1070" s="34" t="s">
        <v>49</v>
      </c>
      <c r="L1070" s="34" t="s">
        <v>47</v>
      </c>
      <c r="M1070">
        <v>8.3550744777541736E-3</v>
      </c>
    </row>
    <row r="1071" spans="1:13" x14ac:dyDescent="0.3">
      <c r="A1071" s="34" t="s">
        <v>662</v>
      </c>
      <c r="B1071">
        <v>-1</v>
      </c>
      <c r="C1071">
        <v>2050</v>
      </c>
      <c r="D1071" s="34" t="s">
        <v>340</v>
      </c>
      <c r="E1071" s="34" t="s">
        <v>400</v>
      </c>
      <c r="F1071" s="34" t="s">
        <v>613</v>
      </c>
      <c r="G1071" s="34" t="s">
        <v>16</v>
      </c>
      <c r="H1071" s="34" t="s">
        <v>12</v>
      </c>
      <c r="I1071" s="34" t="s">
        <v>13</v>
      </c>
      <c r="J1071" s="34" t="s">
        <v>14</v>
      </c>
      <c r="K1071" s="34" t="s">
        <v>49</v>
      </c>
      <c r="L1071" s="34" t="s">
        <v>47</v>
      </c>
      <c r="M1071">
        <v>0.64991582712197893</v>
      </c>
    </row>
    <row r="1072" spans="1:13" x14ac:dyDescent="0.3">
      <c r="A1072" s="34" t="s">
        <v>662</v>
      </c>
      <c r="B1072">
        <v>-1</v>
      </c>
      <c r="C1072">
        <v>2050</v>
      </c>
      <c r="D1072" s="34" t="s">
        <v>340</v>
      </c>
      <c r="E1072" s="34" t="s">
        <v>400</v>
      </c>
      <c r="F1072" s="34" t="s">
        <v>613</v>
      </c>
      <c r="G1072" s="34" t="s">
        <v>393</v>
      </c>
      <c r="H1072" s="34" t="s">
        <v>13</v>
      </c>
      <c r="I1072" s="34" t="s">
        <v>19</v>
      </c>
      <c r="J1072" s="34" t="s">
        <v>391</v>
      </c>
      <c r="K1072" s="34" t="s">
        <v>49</v>
      </c>
      <c r="L1072" s="34" t="s">
        <v>47</v>
      </c>
      <c r="M1072">
        <v>0.60989234674221737</v>
      </c>
    </row>
    <row r="1073" spans="1:13" x14ac:dyDescent="0.3">
      <c r="A1073" s="34" t="s">
        <v>662</v>
      </c>
      <c r="B1073">
        <v>-1</v>
      </c>
      <c r="C1073">
        <v>2050</v>
      </c>
      <c r="D1073" s="34" t="s">
        <v>340</v>
      </c>
      <c r="E1073" s="34" t="s">
        <v>400</v>
      </c>
      <c r="F1073" s="34" t="s">
        <v>613</v>
      </c>
      <c r="G1073" s="34" t="s">
        <v>392</v>
      </c>
      <c r="H1073" s="34" t="s">
        <v>13</v>
      </c>
      <c r="I1073" s="34" t="s">
        <v>13</v>
      </c>
      <c r="J1073" s="34" t="s">
        <v>17</v>
      </c>
      <c r="K1073" s="34" t="s">
        <v>49</v>
      </c>
      <c r="L1073" s="34" t="s">
        <v>47</v>
      </c>
      <c r="M1073">
        <v>1.7722925409182113</v>
      </c>
    </row>
    <row r="1074" spans="1:13" x14ac:dyDescent="0.3">
      <c r="A1074" s="34" t="s">
        <v>662</v>
      </c>
      <c r="B1074">
        <v>-1</v>
      </c>
      <c r="C1074">
        <v>2050</v>
      </c>
      <c r="D1074" s="34" t="s">
        <v>340</v>
      </c>
      <c r="E1074" s="34" t="s">
        <v>400</v>
      </c>
      <c r="F1074" s="34" t="s">
        <v>613</v>
      </c>
      <c r="G1074" s="34" t="s">
        <v>644</v>
      </c>
      <c r="H1074" s="34" t="s">
        <v>21</v>
      </c>
      <c r="I1074" s="34" t="s">
        <v>19</v>
      </c>
      <c r="J1074" s="34" t="s">
        <v>22</v>
      </c>
      <c r="K1074" s="34" t="s">
        <v>49</v>
      </c>
      <c r="L1074" s="34" t="s">
        <v>47</v>
      </c>
      <c r="M1074">
        <v>0.71619272488770025</v>
      </c>
    </row>
    <row r="1075" spans="1:13" x14ac:dyDescent="0.3">
      <c r="A1075" s="34" t="s">
        <v>662</v>
      </c>
      <c r="B1075">
        <v>-1</v>
      </c>
      <c r="C1075">
        <v>2050</v>
      </c>
      <c r="D1075" s="34" t="s">
        <v>340</v>
      </c>
      <c r="E1075" s="34" t="s">
        <v>400</v>
      </c>
      <c r="F1075" s="34" t="s">
        <v>613</v>
      </c>
      <c r="G1075" s="34" t="s">
        <v>645</v>
      </c>
      <c r="H1075" s="34" t="s">
        <v>23</v>
      </c>
      <c r="I1075" s="34" t="s">
        <v>19</v>
      </c>
      <c r="J1075" s="34" t="s">
        <v>24</v>
      </c>
      <c r="K1075" s="34" t="s">
        <v>49</v>
      </c>
      <c r="L1075" s="34" t="s">
        <v>47</v>
      </c>
      <c r="M1075">
        <v>2.0878176324044353</v>
      </c>
    </row>
    <row r="1076" spans="1:13" x14ac:dyDescent="0.3">
      <c r="A1076" s="34" t="s">
        <v>662</v>
      </c>
      <c r="B1076">
        <v>-1</v>
      </c>
      <c r="C1076">
        <v>2050</v>
      </c>
      <c r="D1076" s="34" t="s">
        <v>346</v>
      </c>
      <c r="E1076" s="34" t="s">
        <v>401</v>
      </c>
      <c r="F1076" s="34" t="s">
        <v>614</v>
      </c>
      <c r="G1076" s="34" t="s">
        <v>43</v>
      </c>
      <c r="H1076" s="34" t="s">
        <v>40</v>
      </c>
      <c r="I1076" s="34" t="s">
        <v>19</v>
      </c>
      <c r="J1076" s="34" t="s">
        <v>27</v>
      </c>
      <c r="K1076" s="34" t="s">
        <v>46</v>
      </c>
      <c r="L1076" s="34" t="s">
        <v>47</v>
      </c>
      <c r="M1076">
        <v>4.422879148152</v>
      </c>
    </row>
    <row r="1077" spans="1:13" x14ac:dyDescent="0.3">
      <c r="A1077" s="34" t="s">
        <v>662</v>
      </c>
      <c r="B1077">
        <v>-1</v>
      </c>
      <c r="C1077">
        <v>2050</v>
      </c>
      <c r="D1077" s="34" t="s">
        <v>346</v>
      </c>
      <c r="E1077" s="34" t="s">
        <v>401</v>
      </c>
      <c r="F1077" s="34" t="s">
        <v>614</v>
      </c>
      <c r="G1077" s="34" t="s">
        <v>43</v>
      </c>
      <c r="H1077" s="34" t="s">
        <v>40</v>
      </c>
      <c r="I1077" s="34" t="s">
        <v>19</v>
      </c>
      <c r="J1077" s="34" t="s">
        <v>27</v>
      </c>
      <c r="K1077" s="34" t="s">
        <v>48</v>
      </c>
      <c r="L1077" s="34" t="s">
        <v>47</v>
      </c>
      <c r="M1077">
        <v>-4.4228791481520009</v>
      </c>
    </row>
    <row r="1078" spans="1:13" x14ac:dyDescent="0.3">
      <c r="A1078" s="34" t="s">
        <v>662</v>
      </c>
      <c r="B1078">
        <v>-1</v>
      </c>
      <c r="C1078">
        <v>2050</v>
      </c>
      <c r="D1078" s="34" t="s">
        <v>346</v>
      </c>
      <c r="E1078" s="34" t="s">
        <v>401</v>
      </c>
      <c r="F1078" s="34" t="s">
        <v>614</v>
      </c>
      <c r="G1078" s="34" t="s">
        <v>247</v>
      </c>
      <c r="H1078" s="34" t="s">
        <v>209</v>
      </c>
      <c r="I1078" s="34" t="s">
        <v>19</v>
      </c>
      <c r="J1078" s="34" t="s">
        <v>27</v>
      </c>
      <c r="K1078" s="34" t="s">
        <v>46</v>
      </c>
      <c r="L1078" s="34" t="s">
        <v>47</v>
      </c>
      <c r="M1078">
        <v>0.1167580315</v>
      </c>
    </row>
    <row r="1079" spans="1:13" x14ac:dyDescent="0.3">
      <c r="A1079" s="34" t="s">
        <v>662</v>
      </c>
      <c r="B1079">
        <v>-1</v>
      </c>
      <c r="C1079">
        <v>2050</v>
      </c>
      <c r="D1079" s="34" t="s">
        <v>346</v>
      </c>
      <c r="E1079" s="34" t="s">
        <v>401</v>
      </c>
      <c r="F1079" s="34" t="s">
        <v>614</v>
      </c>
      <c r="G1079" s="34" t="s">
        <v>247</v>
      </c>
      <c r="H1079" s="34" t="s">
        <v>209</v>
      </c>
      <c r="I1079" s="34" t="s">
        <v>19</v>
      </c>
      <c r="J1079" s="34" t="s">
        <v>27</v>
      </c>
      <c r="K1079" s="34" t="s">
        <v>48</v>
      </c>
      <c r="L1079" s="34" t="s">
        <v>47</v>
      </c>
      <c r="M1079">
        <v>-0.1167580315</v>
      </c>
    </row>
    <row r="1080" spans="1:13" x14ac:dyDescent="0.3">
      <c r="A1080" s="34" t="s">
        <v>662</v>
      </c>
      <c r="B1080">
        <v>-1</v>
      </c>
      <c r="C1080">
        <v>2050</v>
      </c>
      <c r="D1080" s="34" t="s">
        <v>346</v>
      </c>
      <c r="E1080" s="34" t="s">
        <v>401</v>
      </c>
      <c r="F1080" s="34" t="s">
        <v>614</v>
      </c>
      <c r="G1080" s="34" t="s">
        <v>282</v>
      </c>
      <c r="H1080" s="34" t="s">
        <v>237</v>
      </c>
      <c r="I1080" s="34" t="s">
        <v>19</v>
      </c>
      <c r="J1080" s="34" t="s">
        <v>27</v>
      </c>
      <c r="K1080" s="34" t="s">
        <v>46</v>
      </c>
      <c r="L1080" s="34" t="s">
        <v>47</v>
      </c>
      <c r="M1080">
        <v>0.36509175013400003</v>
      </c>
    </row>
    <row r="1081" spans="1:13" x14ac:dyDescent="0.3">
      <c r="A1081" s="34" t="s">
        <v>662</v>
      </c>
      <c r="B1081">
        <v>-1</v>
      </c>
      <c r="C1081">
        <v>2050</v>
      </c>
      <c r="D1081" s="34" t="s">
        <v>346</v>
      </c>
      <c r="E1081" s="34" t="s">
        <v>401</v>
      </c>
      <c r="F1081" s="34" t="s">
        <v>614</v>
      </c>
      <c r="G1081" s="34" t="s">
        <v>282</v>
      </c>
      <c r="H1081" s="34" t="s">
        <v>237</v>
      </c>
      <c r="I1081" s="34" t="s">
        <v>19</v>
      </c>
      <c r="J1081" s="34" t="s">
        <v>27</v>
      </c>
      <c r="K1081" s="34" t="s">
        <v>48</v>
      </c>
      <c r="L1081" s="34" t="s">
        <v>47</v>
      </c>
      <c r="M1081">
        <v>-0.36509175013399991</v>
      </c>
    </row>
    <row r="1082" spans="1:13" x14ac:dyDescent="0.3">
      <c r="A1082" s="34" t="s">
        <v>662</v>
      </c>
      <c r="B1082">
        <v>-1</v>
      </c>
      <c r="C1082">
        <v>2050</v>
      </c>
      <c r="D1082" s="34" t="s">
        <v>346</v>
      </c>
      <c r="E1082" s="34" t="s">
        <v>401</v>
      </c>
      <c r="F1082" s="34" t="s">
        <v>614</v>
      </c>
      <c r="G1082" s="34" t="s">
        <v>28</v>
      </c>
      <c r="H1082" s="34" t="s">
        <v>23</v>
      </c>
      <c r="I1082" s="34" t="s">
        <v>19</v>
      </c>
      <c r="J1082" s="34" t="s">
        <v>24</v>
      </c>
      <c r="K1082" s="34" t="s">
        <v>46</v>
      </c>
      <c r="L1082" s="34" t="s">
        <v>47</v>
      </c>
      <c r="M1082">
        <v>1.8411812000000001</v>
      </c>
    </row>
    <row r="1083" spans="1:13" x14ac:dyDescent="0.3">
      <c r="A1083" s="34" t="s">
        <v>662</v>
      </c>
      <c r="B1083">
        <v>-1</v>
      </c>
      <c r="C1083">
        <v>2050</v>
      </c>
      <c r="D1083" s="34" t="s">
        <v>346</v>
      </c>
      <c r="E1083" s="34" t="s">
        <v>401</v>
      </c>
      <c r="F1083" s="34" t="s">
        <v>614</v>
      </c>
      <c r="G1083" s="34" t="s">
        <v>28</v>
      </c>
      <c r="H1083" s="34" t="s">
        <v>23</v>
      </c>
      <c r="I1083" s="34" t="s">
        <v>19</v>
      </c>
      <c r="J1083" s="34" t="s">
        <v>24</v>
      </c>
      <c r="K1083" s="34" t="s">
        <v>48</v>
      </c>
      <c r="L1083" s="34" t="s">
        <v>47</v>
      </c>
      <c r="M1083">
        <v>-1.8411812000000005</v>
      </c>
    </row>
    <row r="1084" spans="1:13" x14ac:dyDescent="0.3">
      <c r="A1084" s="34" t="s">
        <v>662</v>
      </c>
      <c r="B1084">
        <v>-1</v>
      </c>
      <c r="C1084">
        <v>2050</v>
      </c>
      <c r="D1084" s="34" t="s">
        <v>346</v>
      </c>
      <c r="E1084" s="34" t="s">
        <v>401</v>
      </c>
      <c r="F1084" s="34" t="s">
        <v>614</v>
      </c>
      <c r="G1084" s="34" t="s">
        <v>31</v>
      </c>
      <c r="H1084" s="34" t="s">
        <v>18</v>
      </c>
      <c r="I1084" s="34" t="s">
        <v>19</v>
      </c>
      <c r="J1084" s="34" t="s">
        <v>32</v>
      </c>
      <c r="K1084" s="34" t="s">
        <v>46</v>
      </c>
      <c r="L1084" s="34" t="s">
        <v>47</v>
      </c>
      <c r="M1084">
        <v>0.233973839238</v>
      </c>
    </row>
    <row r="1085" spans="1:13" x14ac:dyDescent="0.3">
      <c r="A1085" s="34" t="s">
        <v>662</v>
      </c>
      <c r="B1085">
        <v>-1</v>
      </c>
      <c r="C1085">
        <v>2050</v>
      </c>
      <c r="D1085" s="34" t="s">
        <v>346</v>
      </c>
      <c r="E1085" s="34" t="s">
        <v>401</v>
      </c>
      <c r="F1085" s="34" t="s">
        <v>614</v>
      </c>
      <c r="G1085" s="34" t="s">
        <v>185</v>
      </c>
      <c r="H1085" s="34" t="s">
        <v>18</v>
      </c>
      <c r="I1085" s="34" t="s">
        <v>19</v>
      </c>
      <c r="J1085" s="34" t="s">
        <v>32</v>
      </c>
      <c r="K1085" s="34" t="s">
        <v>46</v>
      </c>
      <c r="L1085" s="34" t="s">
        <v>47</v>
      </c>
      <c r="M1085">
        <v>0.181984688985</v>
      </c>
    </row>
    <row r="1086" spans="1:13" x14ac:dyDescent="0.3">
      <c r="A1086" s="34" t="s">
        <v>662</v>
      </c>
      <c r="B1086">
        <v>-1</v>
      </c>
      <c r="C1086">
        <v>2050</v>
      </c>
      <c r="D1086" s="34" t="s">
        <v>346</v>
      </c>
      <c r="E1086" s="34" t="s">
        <v>401</v>
      </c>
      <c r="F1086" s="34" t="s">
        <v>614</v>
      </c>
      <c r="G1086" s="34" t="s">
        <v>180</v>
      </c>
      <c r="H1086" s="34" t="s">
        <v>18</v>
      </c>
      <c r="I1086" s="34" t="s">
        <v>19</v>
      </c>
      <c r="J1086" s="34" t="s">
        <v>181</v>
      </c>
      <c r="K1086" s="34" t="s">
        <v>46</v>
      </c>
      <c r="L1086" s="34" t="s">
        <v>47</v>
      </c>
      <c r="M1086">
        <v>0.57872490883200001</v>
      </c>
    </row>
    <row r="1087" spans="1:13" x14ac:dyDescent="0.3">
      <c r="A1087" s="34" t="s">
        <v>662</v>
      </c>
      <c r="B1087">
        <v>-1</v>
      </c>
      <c r="C1087">
        <v>2050</v>
      </c>
      <c r="D1087" s="34" t="s">
        <v>346</v>
      </c>
      <c r="E1087" s="34" t="s">
        <v>401</v>
      </c>
      <c r="F1087" s="34" t="s">
        <v>614</v>
      </c>
      <c r="G1087" s="34" t="s">
        <v>54</v>
      </c>
      <c r="H1087" s="34" t="s">
        <v>39</v>
      </c>
      <c r="I1087" s="34" t="s">
        <v>19</v>
      </c>
      <c r="J1087" s="34" t="s">
        <v>27</v>
      </c>
      <c r="K1087" s="34" t="s">
        <v>46</v>
      </c>
      <c r="L1087" s="34" t="s">
        <v>47</v>
      </c>
      <c r="M1087">
        <v>0.54719182180799997</v>
      </c>
    </row>
    <row r="1088" spans="1:13" x14ac:dyDescent="0.3">
      <c r="A1088" s="34" t="s">
        <v>662</v>
      </c>
      <c r="B1088">
        <v>-1</v>
      </c>
      <c r="C1088">
        <v>2050</v>
      </c>
      <c r="D1088" s="34" t="s">
        <v>346</v>
      </c>
      <c r="E1088" s="34" t="s">
        <v>401</v>
      </c>
      <c r="F1088" s="34" t="s">
        <v>614</v>
      </c>
      <c r="G1088" s="34" t="s">
        <v>54</v>
      </c>
      <c r="H1088" s="34" t="s">
        <v>39</v>
      </c>
      <c r="I1088" s="34" t="s">
        <v>19</v>
      </c>
      <c r="J1088" s="34" t="s">
        <v>27</v>
      </c>
      <c r="K1088" s="34" t="s">
        <v>48</v>
      </c>
      <c r="L1088" s="34" t="s">
        <v>47</v>
      </c>
      <c r="M1088">
        <v>-0.54719182180800008</v>
      </c>
    </row>
    <row r="1089" spans="1:13" x14ac:dyDescent="0.3">
      <c r="A1089" s="34" t="s">
        <v>662</v>
      </c>
      <c r="B1089">
        <v>-1</v>
      </c>
      <c r="C1089">
        <v>2050</v>
      </c>
      <c r="D1089" s="34" t="s">
        <v>346</v>
      </c>
      <c r="E1089" s="34" t="s">
        <v>401</v>
      </c>
      <c r="F1089" s="34" t="s">
        <v>614</v>
      </c>
      <c r="G1089" s="34" t="s">
        <v>276</v>
      </c>
      <c r="H1089" s="34" t="s">
        <v>237</v>
      </c>
      <c r="I1089" s="34" t="s">
        <v>19</v>
      </c>
      <c r="J1089" s="34" t="s">
        <v>27</v>
      </c>
      <c r="K1089" s="34" t="s">
        <v>46</v>
      </c>
      <c r="L1089" s="34" t="s">
        <v>47</v>
      </c>
      <c r="M1089">
        <v>0.36509175013400003</v>
      </c>
    </row>
    <row r="1090" spans="1:13" x14ac:dyDescent="0.3">
      <c r="A1090" s="34" t="s">
        <v>662</v>
      </c>
      <c r="B1090">
        <v>-1</v>
      </c>
      <c r="C1090">
        <v>2050</v>
      </c>
      <c r="D1090" s="34" t="s">
        <v>346</v>
      </c>
      <c r="E1090" s="34" t="s">
        <v>401</v>
      </c>
      <c r="F1090" s="34" t="s">
        <v>614</v>
      </c>
      <c r="G1090" s="34" t="s">
        <v>276</v>
      </c>
      <c r="H1090" s="34" t="s">
        <v>237</v>
      </c>
      <c r="I1090" s="34" t="s">
        <v>19</v>
      </c>
      <c r="J1090" s="34" t="s">
        <v>27</v>
      </c>
      <c r="K1090" s="34" t="s">
        <v>48</v>
      </c>
      <c r="L1090" s="34" t="s">
        <v>47</v>
      </c>
      <c r="M1090">
        <v>-0.36509175013399991</v>
      </c>
    </row>
    <row r="1091" spans="1:13" x14ac:dyDescent="0.3">
      <c r="A1091" s="34" t="s">
        <v>662</v>
      </c>
      <c r="B1091">
        <v>-1</v>
      </c>
      <c r="C1091">
        <v>2050</v>
      </c>
      <c r="D1091" s="34" t="s">
        <v>346</v>
      </c>
      <c r="E1091" s="34" t="s">
        <v>401</v>
      </c>
      <c r="F1091" s="34" t="s">
        <v>614</v>
      </c>
      <c r="G1091" s="34" t="s">
        <v>307</v>
      </c>
      <c r="H1091" s="34" t="s">
        <v>26</v>
      </c>
      <c r="I1091" s="34" t="s">
        <v>19</v>
      </c>
      <c r="J1091" s="34" t="s">
        <v>27</v>
      </c>
      <c r="K1091" s="34" t="s">
        <v>46</v>
      </c>
      <c r="L1091" s="34" t="s">
        <v>47</v>
      </c>
      <c r="M1091">
        <v>3.6003931167999999E-2</v>
      </c>
    </row>
    <row r="1092" spans="1:13" x14ac:dyDescent="0.3">
      <c r="A1092" s="34" t="s">
        <v>662</v>
      </c>
      <c r="B1092">
        <v>-1</v>
      </c>
      <c r="C1092">
        <v>2050</v>
      </c>
      <c r="D1092" s="34" t="s">
        <v>346</v>
      </c>
      <c r="E1092" s="34" t="s">
        <v>401</v>
      </c>
      <c r="F1092" s="34" t="s">
        <v>614</v>
      </c>
      <c r="G1092" s="34" t="s">
        <v>307</v>
      </c>
      <c r="H1092" s="34" t="s">
        <v>26</v>
      </c>
      <c r="I1092" s="34" t="s">
        <v>19</v>
      </c>
      <c r="J1092" s="34" t="s">
        <v>27</v>
      </c>
      <c r="K1092" s="34" t="s">
        <v>48</v>
      </c>
      <c r="L1092" s="34" t="s">
        <v>47</v>
      </c>
      <c r="M1092">
        <v>-3.6003931168000006E-2</v>
      </c>
    </row>
    <row r="1093" spans="1:13" x14ac:dyDescent="0.3">
      <c r="A1093" s="34" t="s">
        <v>662</v>
      </c>
      <c r="B1093">
        <v>-1</v>
      </c>
      <c r="C1093">
        <v>2050</v>
      </c>
      <c r="D1093" s="34" t="s">
        <v>346</v>
      </c>
      <c r="E1093" s="34" t="s">
        <v>401</v>
      </c>
      <c r="F1093" s="34" t="s">
        <v>614</v>
      </c>
      <c r="G1093" s="34" t="s">
        <v>52</v>
      </c>
      <c r="H1093" s="34" t="s">
        <v>53</v>
      </c>
      <c r="I1093" s="34" t="s">
        <v>19</v>
      </c>
      <c r="J1093" s="34" t="s">
        <v>27</v>
      </c>
      <c r="K1093" s="34" t="s">
        <v>46</v>
      </c>
      <c r="L1093" s="34" t="s">
        <v>47</v>
      </c>
      <c r="M1093">
        <v>0.13238237898800001</v>
      </c>
    </row>
    <row r="1094" spans="1:13" x14ac:dyDescent="0.3">
      <c r="A1094" s="34" t="s">
        <v>662</v>
      </c>
      <c r="B1094">
        <v>-1</v>
      </c>
      <c r="C1094">
        <v>2050</v>
      </c>
      <c r="D1094" s="34" t="s">
        <v>346</v>
      </c>
      <c r="E1094" s="34" t="s">
        <v>401</v>
      </c>
      <c r="F1094" s="34" t="s">
        <v>614</v>
      </c>
      <c r="G1094" s="34" t="s">
        <v>52</v>
      </c>
      <c r="H1094" s="34" t="s">
        <v>53</v>
      </c>
      <c r="I1094" s="34" t="s">
        <v>19</v>
      </c>
      <c r="J1094" s="34" t="s">
        <v>27</v>
      </c>
      <c r="K1094" s="34" t="s">
        <v>48</v>
      </c>
      <c r="L1094" s="34" t="s">
        <v>47</v>
      </c>
      <c r="M1094">
        <v>-0.13238237898800001</v>
      </c>
    </row>
    <row r="1095" spans="1:13" x14ac:dyDescent="0.3">
      <c r="A1095" s="34" t="s">
        <v>662</v>
      </c>
      <c r="B1095">
        <v>-1</v>
      </c>
      <c r="C1095">
        <v>2050</v>
      </c>
      <c r="D1095" s="34" t="s">
        <v>346</v>
      </c>
      <c r="E1095" s="34" t="s">
        <v>401</v>
      </c>
      <c r="F1095" s="34" t="s">
        <v>614</v>
      </c>
      <c r="G1095" s="34" t="s">
        <v>29</v>
      </c>
      <c r="H1095" s="34" t="s">
        <v>21</v>
      </c>
      <c r="I1095" s="34" t="s">
        <v>19</v>
      </c>
      <c r="J1095" s="34" t="s">
        <v>22</v>
      </c>
      <c r="K1095" s="34" t="s">
        <v>46</v>
      </c>
      <c r="L1095" s="34" t="s">
        <v>47</v>
      </c>
      <c r="M1095">
        <v>0.78495545850000015</v>
      </c>
    </row>
    <row r="1096" spans="1:13" x14ac:dyDescent="0.3">
      <c r="A1096" s="34" t="s">
        <v>662</v>
      </c>
      <c r="B1096">
        <v>-1</v>
      </c>
      <c r="C1096">
        <v>2050</v>
      </c>
      <c r="D1096" s="34" t="s">
        <v>346</v>
      </c>
      <c r="E1096" s="34" t="s">
        <v>401</v>
      </c>
      <c r="F1096" s="34" t="s">
        <v>614</v>
      </c>
      <c r="G1096" s="34" t="s">
        <v>29</v>
      </c>
      <c r="H1096" s="34" t="s">
        <v>21</v>
      </c>
      <c r="I1096" s="34" t="s">
        <v>19</v>
      </c>
      <c r="J1096" s="34" t="s">
        <v>22</v>
      </c>
      <c r="K1096" s="34" t="s">
        <v>48</v>
      </c>
      <c r="L1096" s="34" t="s">
        <v>47</v>
      </c>
      <c r="M1096">
        <v>-0.78495545850000015</v>
      </c>
    </row>
    <row r="1097" spans="1:13" x14ac:dyDescent="0.3">
      <c r="A1097" s="34" t="s">
        <v>662</v>
      </c>
      <c r="B1097">
        <v>-1</v>
      </c>
      <c r="C1097">
        <v>2050</v>
      </c>
      <c r="D1097" s="34" t="s">
        <v>346</v>
      </c>
      <c r="E1097" s="34" t="s">
        <v>401</v>
      </c>
      <c r="F1097" s="34" t="s">
        <v>614</v>
      </c>
      <c r="G1097" s="34" t="s">
        <v>20</v>
      </c>
      <c r="H1097" s="34" t="s">
        <v>21</v>
      </c>
      <c r="I1097" s="34" t="s">
        <v>19</v>
      </c>
      <c r="J1097" s="34" t="s">
        <v>22</v>
      </c>
      <c r="K1097" s="34" t="s">
        <v>46</v>
      </c>
      <c r="L1097" s="34" t="s">
        <v>47</v>
      </c>
      <c r="M1097">
        <v>1.70073682675</v>
      </c>
    </row>
    <row r="1098" spans="1:13" x14ac:dyDescent="0.3">
      <c r="A1098" s="34" t="s">
        <v>662</v>
      </c>
      <c r="B1098">
        <v>-1</v>
      </c>
      <c r="C1098">
        <v>2050</v>
      </c>
      <c r="D1098" s="34" t="s">
        <v>346</v>
      </c>
      <c r="E1098" s="34" t="s">
        <v>401</v>
      </c>
      <c r="F1098" s="34" t="s">
        <v>614</v>
      </c>
      <c r="G1098" s="34" t="s">
        <v>20</v>
      </c>
      <c r="H1098" s="34" t="s">
        <v>21</v>
      </c>
      <c r="I1098" s="34" t="s">
        <v>19</v>
      </c>
      <c r="J1098" s="34" t="s">
        <v>22</v>
      </c>
      <c r="K1098" s="34" t="s">
        <v>48</v>
      </c>
      <c r="L1098" s="34" t="s">
        <v>47</v>
      </c>
      <c r="M1098">
        <v>-1.7007368267499996</v>
      </c>
    </row>
    <row r="1099" spans="1:13" x14ac:dyDescent="0.3">
      <c r="A1099" s="34" t="s">
        <v>662</v>
      </c>
      <c r="B1099">
        <v>-1</v>
      </c>
      <c r="C1099">
        <v>2050</v>
      </c>
      <c r="D1099" s="34" t="s">
        <v>346</v>
      </c>
      <c r="E1099" s="34" t="s">
        <v>401</v>
      </c>
      <c r="F1099" s="34" t="s">
        <v>614</v>
      </c>
      <c r="G1099" s="34" t="s">
        <v>30</v>
      </c>
      <c r="H1099" s="34" t="s">
        <v>21</v>
      </c>
      <c r="I1099" s="34" t="s">
        <v>19</v>
      </c>
      <c r="J1099" s="34" t="s">
        <v>22</v>
      </c>
      <c r="K1099" s="34" t="s">
        <v>46</v>
      </c>
      <c r="L1099" s="34" t="s">
        <v>47</v>
      </c>
      <c r="M1099">
        <v>0.13082590975000002</v>
      </c>
    </row>
    <row r="1100" spans="1:13" x14ac:dyDescent="0.3">
      <c r="A1100" s="34" t="s">
        <v>662</v>
      </c>
      <c r="B1100">
        <v>-1</v>
      </c>
      <c r="C1100">
        <v>2050</v>
      </c>
      <c r="D1100" s="34" t="s">
        <v>346</v>
      </c>
      <c r="E1100" s="34" t="s">
        <v>401</v>
      </c>
      <c r="F1100" s="34" t="s">
        <v>614</v>
      </c>
      <c r="G1100" s="34" t="s">
        <v>30</v>
      </c>
      <c r="H1100" s="34" t="s">
        <v>21</v>
      </c>
      <c r="I1100" s="34" t="s">
        <v>19</v>
      </c>
      <c r="J1100" s="34" t="s">
        <v>22</v>
      </c>
      <c r="K1100" s="34" t="s">
        <v>48</v>
      </c>
      <c r="L1100" s="34" t="s">
        <v>47</v>
      </c>
      <c r="M1100">
        <v>-0.13082590975000002</v>
      </c>
    </row>
    <row r="1101" spans="1:13" x14ac:dyDescent="0.3">
      <c r="A1101" s="34" t="s">
        <v>662</v>
      </c>
      <c r="B1101">
        <v>-1</v>
      </c>
      <c r="C1101">
        <v>2050</v>
      </c>
      <c r="D1101" s="34" t="s">
        <v>346</v>
      </c>
      <c r="E1101" s="34" t="s">
        <v>401</v>
      </c>
      <c r="F1101" s="34" t="s">
        <v>614</v>
      </c>
      <c r="G1101" s="34" t="s">
        <v>11</v>
      </c>
      <c r="H1101" s="34" t="s">
        <v>12</v>
      </c>
      <c r="I1101" s="34" t="s">
        <v>13</v>
      </c>
      <c r="J1101" s="34" t="s">
        <v>14</v>
      </c>
      <c r="K1101" s="34" t="s">
        <v>46</v>
      </c>
      <c r="L1101" s="34" t="s">
        <v>47</v>
      </c>
      <c r="M1101">
        <v>0.5660429367119999</v>
      </c>
    </row>
    <row r="1102" spans="1:13" x14ac:dyDescent="0.3">
      <c r="A1102" s="34" t="s">
        <v>662</v>
      </c>
      <c r="B1102">
        <v>-1</v>
      </c>
      <c r="C1102">
        <v>2050</v>
      </c>
      <c r="D1102" s="34" t="s">
        <v>346</v>
      </c>
      <c r="E1102" s="34" t="s">
        <v>401</v>
      </c>
      <c r="F1102" s="34" t="s">
        <v>614</v>
      </c>
      <c r="G1102" s="34" t="s">
        <v>11</v>
      </c>
      <c r="H1102" s="34" t="s">
        <v>12</v>
      </c>
      <c r="I1102" s="34" t="s">
        <v>13</v>
      </c>
      <c r="J1102" s="34" t="s">
        <v>14</v>
      </c>
      <c r="K1102" s="34" t="s">
        <v>48</v>
      </c>
      <c r="L1102" s="34" t="s">
        <v>47</v>
      </c>
      <c r="M1102">
        <v>-0.14146827671199982</v>
      </c>
    </row>
    <row r="1103" spans="1:13" x14ac:dyDescent="0.3">
      <c r="A1103" s="34" t="s">
        <v>662</v>
      </c>
      <c r="B1103">
        <v>-1</v>
      </c>
      <c r="C1103">
        <v>2050</v>
      </c>
      <c r="D1103" s="34" t="s">
        <v>346</v>
      </c>
      <c r="E1103" s="34" t="s">
        <v>401</v>
      </c>
      <c r="F1103" s="34" t="s">
        <v>614</v>
      </c>
      <c r="G1103" s="34" t="s">
        <v>41</v>
      </c>
      <c r="H1103" s="34" t="s">
        <v>40</v>
      </c>
      <c r="I1103" s="34" t="s">
        <v>13</v>
      </c>
      <c r="J1103" s="34" t="s">
        <v>42</v>
      </c>
      <c r="K1103" s="34" t="s">
        <v>46</v>
      </c>
      <c r="L1103" s="34" t="s">
        <v>47</v>
      </c>
      <c r="M1103">
        <v>0.22073649666182321</v>
      </c>
    </row>
    <row r="1104" spans="1:13" x14ac:dyDescent="0.3">
      <c r="A1104" s="34" t="s">
        <v>662</v>
      </c>
      <c r="B1104">
        <v>-1</v>
      </c>
      <c r="C1104">
        <v>2050</v>
      </c>
      <c r="D1104" s="34" t="s">
        <v>346</v>
      </c>
      <c r="E1104" s="34" t="s">
        <v>401</v>
      </c>
      <c r="F1104" s="34" t="s">
        <v>614</v>
      </c>
      <c r="G1104" s="34" t="s">
        <v>41</v>
      </c>
      <c r="H1104" s="34" t="s">
        <v>40</v>
      </c>
      <c r="I1104" s="34" t="s">
        <v>13</v>
      </c>
      <c r="J1104" s="34" t="s">
        <v>42</v>
      </c>
      <c r="K1104" s="34" t="s">
        <v>48</v>
      </c>
      <c r="L1104" s="34" t="s">
        <v>47</v>
      </c>
      <c r="M1104">
        <v>-0.22073649666182321</v>
      </c>
    </row>
    <row r="1105" spans="1:13" x14ac:dyDescent="0.3">
      <c r="A1105" s="34" t="s">
        <v>662</v>
      </c>
      <c r="B1105">
        <v>-1</v>
      </c>
      <c r="C1105">
        <v>2050</v>
      </c>
      <c r="D1105" s="34" t="s">
        <v>346</v>
      </c>
      <c r="E1105" s="34" t="s">
        <v>401</v>
      </c>
      <c r="F1105" s="34" t="s">
        <v>614</v>
      </c>
      <c r="G1105" s="34" t="s">
        <v>644</v>
      </c>
      <c r="H1105" s="34" t="s">
        <v>21</v>
      </c>
      <c r="I1105" s="34" t="s">
        <v>19</v>
      </c>
      <c r="J1105" s="34" t="s">
        <v>22</v>
      </c>
      <c r="K1105" s="34" t="s">
        <v>49</v>
      </c>
      <c r="L1105" s="34" t="s">
        <v>47</v>
      </c>
      <c r="M1105">
        <v>1.5159158490560659E-2</v>
      </c>
    </row>
    <row r="1106" spans="1:13" x14ac:dyDescent="0.3">
      <c r="A1106" s="34" t="s">
        <v>662</v>
      </c>
      <c r="B1106">
        <v>-1</v>
      </c>
      <c r="C1106">
        <v>2050</v>
      </c>
      <c r="D1106" s="34" t="s">
        <v>346</v>
      </c>
      <c r="E1106" s="34" t="s">
        <v>401</v>
      </c>
      <c r="F1106" s="34" t="s">
        <v>614</v>
      </c>
      <c r="G1106" s="34" t="s">
        <v>645</v>
      </c>
      <c r="H1106" s="34" t="s">
        <v>23</v>
      </c>
      <c r="I1106" s="34" t="s">
        <v>19</v>
      </c>
      <c r="J1106" s="34" t="s">
        <v>24</v>
      </c>
      <c r="K1106" s="34" t="s">
        <v>49</v>
      </c>
      <c r="L1106" s="34" t="s">
        <v>47</v>
      </c>
      <c r="M1106">
        <v>3.5007204069540396</v>
      </c>
    </row>
    <row r="1107" spans="1:13" x14ac:dyDescent="0.3">
      <c r="A1107" s="34" t="s">
        <v>662</v>
      </c>
      <c r="B1107">
        <v>-1</v>
      </c>
      <c r="C1107">
        <v>2050</v>
      </c>
      <c r="D1107" s="34" t="s">
        <v>346</v>
      </c>
      <c r="E1107" s="34" t="s">
        <v>402</v>
      </c>
      <c r="F1107" s="34" t="s">
        <v>615</v>
      </c>
      <c r="G1107" s="34" t="s">
        <v>43</v>
      </c>
      <c r="H1107" s="34" t="s">
        <v>40</v>
      </c>
      <c r="I1107" s="34" t="s">
        <v>19</v>
      </c>
      <c r="J1107" s="34" t="s">
        <v>27</v>
      </c>
      <c r="K1107" s="34" t="s">
        <v>46</v>
      </c>
      <c r="L1107" s="34" t="s">
        <v>47</v>
      </c>
      <c r="M1107">
        <v>3.2151851819699999</v>
      </c>
    </row>
    <row r="1108" spans="1:13" x14ac:dyDescent="0.3">
      <c r="A1108" s="34" t="s">
        <v>662</v>
      </c>
      <c r="B1108">
        <v>-1</v>
      </c>
      <c r="C1108">
        <v>2050</v>
      </c>
      <c r="D1108" s="34" t="s">
        <v>346</v>
      </c>
      <c r="E1108" s="34" t="s">
        <v>402</v>
      </c>
      <c r="F1108" s="34" t="s">
        <v>615</v>
      </c>
      <c r="G1108" s="34" t="s">
        <v>43</v>
      </c>
      <c r="H1108" s="34" t="s">
        <v>40</v>
      </c>
      <c r="I1108" s="34" t="s">
        <v>19</v>
      </c>
      <c r="J1108" s="34" t="s">
        <v>27</v>
      </c>
      <c r="K1108" s="34" t="s">
        <v>48</v>
      </c>
      <c r="L1108" s="34" t="s">
        <v>47</v>
      </c>
      <c r="M1108">
        <v>-3.2151851819699999</v>
      </c>
    </row>
    <row r="1109" spans="1:13" x14ac:dyDescent="0.3">
      <c r="A1109" s="34" t="s">
        <v>662</v>
      </c>
      <c r="B1109">
        <v>-1</v>
      </c>
      <c r="C1109">
        <v>2050</v>
      </c>
      <c r="D1109" s="34" t="s">
        <v>346</v>
      </c>
      <c r="E1109" s="34" t="s">
        <v>402</v>
      </c>
      <c r="F1109" s="34" t="s">
        <v>615</v>
      </c>
      <c r="G1109" s="34" t="s">
        <v>247</v>
      </c>
      <c r="H1109" s="34" t="s">
        <v>209</v>
      </c>
      <c r="I1109" s="34" t="s">
        <v>19</v>
      </c>
      <c r="J1109" s="34" t="s">
        <v>27</v>
      </c>
      <c r="K1109" s="34" t="s">
        <v>46</v>
      </c>
      <c r="L1109" s="34" t="s">
        <v>47</v>
      </c>
      <c r="M1109">
        <v>8.4876543124999995E-2</v>
      </c>
    </row>
    <row r="1110" spans="1:13" x14ac:dyDescent="0.3">
      <c r="A1110" s="34" t="s">
        <v>662</v>
      </c>
      <c r="B1110">
        <v>-1</v>
      </c>
      <c r="C1110">
        <v>2050</v>
      </c>
      <c r="D1110" s="34" t="s">
        <v>346</v>
      </c>
      <c r="E1110" s="34" t="s">
        <v>402</v>
      </c>
      <c r="F1110" s="34" t="s">
        <v>615</v>
      </c>
      <c r="G1110" s="34" t="s">
        <v>247</v>
      </c>
      <c r="H1110" s="34" t="s">
        <v>209</v>
      </c>
      <c r="I1110" s="34" t="s">
        <v>19</v>
      </c>
      <c r="J1110" s="34" t="s">
        <v>27</v>
      </c>
      <c r="K1110" s="34" t="s">
        <v>48</v>
      </c>
      <c r="L1110" s="34" t="s">
        <v>47</v>
      </c>
      <c r="M1110">
        <v>-8.4876543124999995E-2</v>
      </c>
    </row>
    <row r="1111" spans="1:13" x14ac:dyDescent="0.3">
      <c r="A1111" s="34" t="s">
        <v>662</v>
      </c>
      <c r="B1111">
        <v>-1</v>
      </c>
      <c r="C1111">
        <v>2050</v>
      </c>
      <c r="D1111" s="34" t="s">
        <v>346</v>
      </c>
      <c r="E1111" s="34" t="s">
        <v>402</v>
      </c>
      <c r="F1111" s="34" t="s">
        <v>615</v>
      </c>
      <c r="G1111" s="34" t="s">
        <v>44</v>
      </c>
      <c r="H1111" s="34" t="s">
        <v>45</v>
      </c>
      <c r="I1111" s="34" t="s">
        <v>19</v>
      </c>
      <c r="J1111" s="34" t="s">
        <v>27</v>
      </c>
      <c r="K1111" s="34" t="s">
        <v>46</v>
      </c>
      <c r="L1111" s="34" t="s">
        <v>47</v>
      </c>
      <c r="M1111">
        <v>0.96199999999999997</v>
      </c>
    </row>
    <row r="1112" spans="1:13" x14ac:dyDescent="0.3">
      <c r="A1112" s="34" t="s">
        <v>662</v>
      </c>
      <c r="B1112">
        <v>-1</v>
      </c>
      <c r="C1112">
        <v>2050</v>
      </c>
      <c r="D1112" s="34" t="s">
        <v>346</v>
      </c>
      <c r="E1112" s="34" t="s">
        <v>402</v>
      </c>
      <c r="F1112" s="34" t="s">
        <v>615</v>
      </c>
      <c r="G1112" s="34" t="s">
        <v>44</v>
      </c>
      <c r="H1112" s="34" t="s">
        <v>45</v>
      </c>
      <c r="I1112" s="34" t="s">
        <v>19</v>
      </c>
      <c r="J1112" s="34" t="s">
        <v>27</v>
      </c>
      <c r="K1112" s="34" t="s">
        <v>48</v>
      </c>
      <c r="L1112" s="34" t="s">
        <v>47</v>
      </c>
      <c r="M1112">
        <v>-0.9620000000000003</v>
      </c>
    </row>
    <row r="1113" spans="1:13" x14ac:dyDescent="0.3">
      <c r="A1113" s="34" t="s">
        <v>662</v>
      </c>
      <c r="B1113">
        <v>-1</v>
      </c>
      <c r="C1113">
        <v>2050</v>
      </c>
      <c r="D1113" s="34" t="s">
        <v>346</v>
      </c>
      <c r="E1113" s="34" t="s">
        <v>402</v>
      </c>
      <c r="F1113" s="34" t="s">
        <v>615</v>
      </c>
      <c r="G1113" s="34" t="s">
        <v>282</v>
      </c>
      <c r="H1113" s="34" t="s">
        <v>237</v>
      </c>
      <c r="I1113" s="34" t="s">
        <v>19</v>
      </c>
      <c r="J1113" s="34" t="s">
        <v>27</v>
      </c>
      <c r="K1113" s="34" t="s">
        <v>46</v>
      </c>
      <c r="L1113" s="34" t="s">
        <v>47</v>
      </c>
      <c r="M1113">
        <v>0.26540123430249996</v>
      </c>
    </row>
    <row r="1114" spans="1:13" x14ac:dyDescent="0.3">
      <c r="A1114" s="34" t="s">
        <v>662</v>
      </c>
      <c r="B1114">
        <v>-1</v>
      </c>
      <c r="C1114">
        <v>2050</v>
      </c>
      <c r="D1114" s="34" t="s">
        <v>346</v>
      </c>
      <c r="E1114" s="34" t="s">
        <v>402</v>
      </c>
      <c r="F1114" s="34" t="s">
        <v>615</v>
      </c>
      <c r="G1114" s="34" t="s">
        <v>282</v>
      </c>
      <c r="H1114" s="34" t="s">
        <v>237</v>
      </c>
      <c r="I1114" s="34" t="s">
        <v>19</v>
      </c>
      <c r="J1114" s="34" t="s">
        <v>27</v>
      </c>
      <c r="K1114" s="34" t="s">
        <v>48</v>
      </c>
      <c r="L1114" s="34" t="s">
        <v>47</v>
      </c>
      <c r="M1114">
        <v>-0.2654012343024999</v>
      </c>
    </row>
    <row r="1115" spans="1:13" x14ac:dyDescent="0.3">
      <c r="A1115" s="34" t="s">
        <v>662</v>
      </c>
      <c r="B1115">
        <v>-1</v>
      </c>
      <c r="C1115">
        <v>2050</v>
      </c>
      <c r="D1115" s="34" t="s">
        <v>346</v>
      </c>
      <c r="E1115" s="34" t="s">
        <v>402</v>
      </c>
      <c r="F1115" s="34" t="s">
        <v>615</v>
      </c>
      <c r="G1115" s="34" t="s">
        <v>28</v>
      </c>
      <c r="H1115" s="34" t="s">
        <v>23</v>
      </c>
      <c r="I1115" s="34" t="s">
        <v>19</v>
      </c>
      <c r="J1115" s="34" t="s">
        <v>24</v>
      </c>
      <c r="K1115" s="34" t="s">
        <v>46</v>
      </c>
      <c r="L1115" s="34" t="s">
        <v>47</v>
      </c>
      <c r="M1115">
        <v>1.88625</v>
      </c>
    </row>
    <row r="1116" spans="1:13" x14ac:dyDescent="0.3">
      <c r="A1116" s="34" t="s">
        <v>662</v>
      </c>
      <c r="B1116">
        <v>-1</v>
      </c>
      <c r="C1116">
        <v>2050</v>
      </c>
      <c r="D1116" s="34" t="s">
        <v>346</v>
      </c>
      <c r="E1116" s="34" t="s">
        <v>402</v>
      </c>
      <c r="F1116" s="34" t="s">
        <v>615</v>
      </c>
      <c r="G1116" s="34" t="s">
        <v>28</v>
      </c>
      <c r="H1116" s="34" t="s">
        <v>23</v>
      </c>
      <c r="I1116" s="34" t="s">
        <v>19</v>
      </c>
      <c r="J1116" s="34" t="s">
        <v>24</v>
      </c>
      <c r="K1116" s="34" t="s">
        <v>48</v>
      </c>
      <c r="L1116" s="34" t="s">
        <v>47</v>
      </c>
      <c r="M1116">
        <v>-1.88625</v>
      </c>
    </row>
    <row r="1117" spans="1:13" x14ac:dyDescent="0.3">
      <c r="A1117" s="34" t="s">
        <v>662</v>
      </c>
      <c r="B1117">
        <v>-1</v>
      </c>
      <c r="C1117">
        <v>2050</v>
      </c>
      <c r="D1117" s="34" t="s">
        <v>346</v>
      </c>
      <c r="E1117" s="34" t="s">
        <v>402</v>
      </c>
      <c r="F1117" s="34" t="s">
        <v>615</v>
      </c>
      <c r="G1117" s="34" t="s">
        <v>31</v>
      </c>
      <c r="H1117" s="34" t="s">
        <v>18</v>
      </c>
      <c r="I1117" s="34" t="s">
        <v>19</v>
      </c>
      <c r="J1117" s="34" t="s">
        <v>32</v>
      </c>
      <c r="K1117" s="34" t="s">
        <v>46</v>
      </c>
      <c r="L1117" s="34" t="s">
        <v>47</v>
      </c>
      <c r="M1117">
        <v>0.13749900157800002</v>
      </c>
    </row>
    <row r="1118" spans="1:13" x14ac:dyDescent="0.3">
      <c r="A1118" s="34" t="s">
        <v>662</v>
      </c>
      <c r="B1118">
        <v>-1</v>
      </c>
      <c r="C1118">
        <v>2050</v>
      </c>
      <c r="D1118" s="34" t="s">
        <v>346</v>
      </c>
      <c r="E1118" s="34" t="s">
        <v>402</v>
      </c>
      <c r="F1118" s="34" t="s">
        <v>615</v>
      </c>
      <c r="G1118" s="34" t="s">
        <v>185</v>
      </c>
      <c r="H1118" s="34" t="s">
        <v>18</v>
      </c>
      <c r="I1118" s="34" t="s">
        <v>19</v>
      </c>
      <c r="J1118" s="34" t="s">
        <v>32</v>
      </c>
      <c r="K1118" s="34" t="s">
        <v>46</v>
      </c>
      <c r="L1118" s="34" t="s">
        <v>47</v>
      </c>
      <c r="M1118">
        <v>0.10694662753500001</v>
      </c>
    </row>
    <row r="1119" spans="1:13" x14ac:dyDescent="0.3">
      <c r="A1119" s="34" t="s">
        <v>662</v>
      </c>
      <c r="B1119">
        <v>-1</v>
      </c>
      <c r="C1119">
        <v>2050</v>
      </c>
      <c r="D1119" s="34" t="s">
        <v>346</v>
      </c>
      <c r="E1119" s="34" t="s">
        <v>402</v>
      </c>
      <c r="F1119" s="34" t="s">
        <v>615</v>
      </c>
      <c r="G1119" s="34" t="s">
        <v>180</v>
      </c>
      <c r="H1119" s="34" t="s">
        <v>18</v>
      </c>
      <c r="I1119" s="34" t="s">
        <v>19</v>
      </c>
      <c r="J1119" s="34" t="s">
        <v>181</v>
      </c>
      <c r="K1119" s="34" t="s">
        <v>46</v>
      </c>
      <c r="L1119" s="34" t="s">
        <v>47</v>
      </c>
      <c r="M1119">
        <v>0.34009826659200004</v>
      </c>
    </row>
    <row r="1120" spans="1:13" x14ac:dyDescent="0.3">
      <c r="A1120" s="34" t="s">
        <v>662</v>
      </c>
      <c r="B1120">
        <v>-1</v>
      </c>
      <c r="C1120">
        <v>2050</v>
      </c>
      <c r="D1120" s="34" t="s">
        <v>346</v>
      </c>
      <c r="E1120" s="34" t="s">
        <v>402</v>
      </c>
      <c r="F1120" s="34" t="s">
        <v>615</v>
      </c>
      <c r="G1120" s="34" t="s">
        <v>54</v>
      </c>
      <c r="H1120" s="34" t="s">
        <v>39</v>
      </c>
      <c r="I1120" s="34" t="s">
        <v>19</v>
      </c>
      <c r="J1120" s="34" t="s">
        <v>27</v>
      </c>
      <c r="K1120" s="34" t="s">
        <v>46</v>
      </c>
      <c r="L1120" s="34" t="s">
        <v>47</v>
      </c>
      <c r="M1120">
        <v>0.39777777737999997</v>
      </c>
    </row>
    <row r="1121" spans="1:13" x14ac:dyDescent="0.3">
      <c r="A1121" s="34" t="s">
        <v>662</v>
      </c>
      <c r="B1121">
        <v>-1</v>
      </c>
      <c r="C1121">
        <v>2050</v>
      </c>
      <c r="D1121" s="34" t="s">
        <v>346</v>
      </c>
      <c r="E1121" s="34" t="s">
        <v>402</v>
      </c>
      <c r="F1121" s="34" t="s">
        <v>615</v>
      </c>
      <c r="G1121" s="34" t="s">
        <v>54</v>
      </c>
      <c r="H1121" s="34" t="s">
        <v>39</v>
      </c>
      <c r="I1121" s="34" t="s">
        <v>19</v>
      </c>
      <c r="J1121" s="34" t="s">
        <v>27</v>
      </c>
      <c r="K1121" s="34" t="s">
        <v>48</v>
      </c>
      <c r="L1121" s="34" t="s">
        <v>47</v>
      </c>
      <c r="M1121">
        <v>-0.39777777737999997</v>
      </c>
    </row>
    <row r="1122" spans="1:13" x14ac:dyDescent="0.3">
      <c r="A1122" s="34" t="s">
        <v>662</v>
      </c>
      <c r="B1122">
        <v>-1</v>
      </c>
      <c r="C1122">
        <v>2050</v>
      </c>
      <c r="D1122" s="34" t="s">
        <v>346</v>
      </c>
      <c r="E1122" s="34" t="s">
        <v>402</v>
      </c>
      <c r="F1122" s="34" t="s">
        <v>615</v>
      </c>
      <c r="G1122" s="34" t="s">
        <v>276</v>
      </c>
      <c r="H1122" s="34" t="s">
        <v>237</v>
      </c>
      <c r="I1122" s="34" t="s">
        <v>19</v>
      </c>
      <c r="J1122" s="34" t="s">
        <v>27</v>
      </c>
      <c r="K1122" s="34" t="s">
        <v>46</v>
      </c>
      <c r="L1122" s="34" t="s">
        <v>47</v>
      </c>
      <c r="M1122">
        <v>0.26540123430249996</v>
      </c>
    </row>
    <row r="1123" spans="1:13" x14ac:dyDescent="0.3">
      <c r="A1123" s="34" t="s">
        <v>662</v>
      </c>
      <c r="B1123">
        <v>-1</v>
      </c>
      <c r="C1123">
        <v>2050</v>
      </c>
      <c r="D1123" s="34" t="s">
        <v>346</v>
      </c>
      <c r="E1123" s="34" t="s">
        <v>402</v>
      </c>
      <c r="F1123" s="34" t="s">
        <v>615</v>
      </c>
      <c r="G1123" s="34" t="s">
        <v>276</v>
      </c>
      <c r="H1123" s="34" t="s">
        <v>237</v>
      </c>
      <c r="I1123" s="34" t="s">
        <v>19</v>
      </c>
      <c r="J1123" s="34" t="s">
        <v>27</v>
      </c>
      <c r="K1123" s="34" t="s">
        <v>48</v>
      </c>
      <c r="L1123" s="34" t="s">
        <v>47</v>
      </c>
      <c r="M1123">
        <v>-0.2654012343024999</v>
      </c>
    </row>
    <row r="1124" spans="1:13" x14ac:dyDescent="0.3">
      <c r="A1124" s="34" t="s">
        <v>662</v>
      </c>
      <c r="B1124">
        <v>-1</v>
      </c>
      <c r="C1124">
        <v>2050</v>
      </c>
      <c r="D1124" s="34" t="s">
        <v>346</v>
      </c>
      <c r="E1124" s="34" t="s">
        <v>402</v>
      </c>
      <c r="F1124" s="34" t="s">
        <v>615</v>
      </c>
      <c r="G1124" s="34" t="s">
        <v>307</v>
      </c>
      <c r="H1124" s="34" t="s">
        <v>26</v>
      </c>
      <c r="I1124" s="34" t="s">
        <v>19</v>
      </c>
      <c r="J1124" s="34" t="s">
        <v>27</v>
      </c>
      <c r="K1124" s="34" t="s">
        <v>46</v>
      </c>
      <c r="L1124" s="34" t="s">
        <v>47</v>
      </c>
      <c r="M1124">
        <v>2.6172839480000001E-2</v>
      </c>
    </row>
    <row r="1125" spans="1:13" x14ac:dyDescent="0.3">
      <c r="A1125" s="34" t="s">
        <v>662</v>
      </c>
      <c r="B1125">
        <v>-1</v>
      </c>
      <c r="C1125">
        <v>2050</v>
      </c>
      <c r="D1125" s="34" t="s">
        <v>346</v>
      </c>
      <c r="E1125" s="34" t="s">
        <v>402</v>
      </c>
      <c r="F1125" s="34" t="s">
        <v>615</v>
      </c>
      <c r="G1125" s="34" t="s">
        <v>307</v>
      </c>
      <c r="H1125" s="34" t="s">
        <v>26</v>
      </c>
      <c r="I1125" s="34" t="s">
        <v>19</v>
      </c>
      <c r="J1125" s="34" t="s">
        <v>27</v>
      </c>
      <c r="K1125" s="34" t="s">
        <v>48</v>
      </c>
      <c r="L1125" s="34" t="s">
        <v>47</v>
      </c>
      <c r="M1125">
        <v>-2.6172839480000005E-2</v>
      </c>
    </row>
    <row r="1126" spans="1:13" x14ac:dyDescent="0.3">
      <c r="A1126" s="34" t="s">
        <v>662</v>
      </c>
      <c r="B1126">
        <v>-1</v>
      </c>
      <c r="C1126">
        <v>2050</v>
      </c>
      <c r="D1126" s="34" t="s">
        <v>346</v>
      </c>
      <c r="E1126" s="34" t="s">
        <v>402</v>
      </c>
      <c r="F1126" s="34" t="s">
        <v>615</v>
      </c>
      <c r="G1126" s="34" t="s">
        <v>52</v>
      </c>
      <c r="H1126" s="34" t="s">
        <v>53</v>
      </c>
      <c r="I1126" s="34" t="s">
        <v>19</v>
      </c>
      <c r="J1126" s="34" t="s">
        <v>27</v>
      </c>
      <c r="K1126" s="34" t="s">
        <v>46</v>
      </c>
      <c r="L1126" s="34" t="s">
        <v>47</v>
      </c>
      <c r="M1126">
        <v>9.6234567805000004E-2</v>
      </c>
    </row>
    <row r="1127" spans="1:13" x14ac:dyDescent="0.3">
      <c r="A1127" s="34" t="s">
        <v>662</v>
      </c>
      <c r="B1127">
        <v>-1</v>
      </c>
      <c r="C1127">
        <v>2050</v>
      </c>
      <c r="D1127" s="34" t="s">
        <v>346</v>
      </c>
      <c r="E1127" s="34" t="s">
        <v>402</v>
      </c>
      <c r="F1127" s="34" t="s">
        <v>615</v>
      </c>
      <c r="G1127" s="34" t="s">
        <v>52</v>
      </c>
      <c r="H1127" s="34" t="s">
        <v>53</v>
      </c>
      <c r="I1127" s="34" t="s">
        <v>19</v>
      </c>
      <c r="J1127" s="34" t="s">
        <v>27</v>
      </c>
      <c r="K1127" s="34" t="s">
        <v>48</v>
      </c>
      <c r="L1127" s="34" t="s">
        <v>47</v>
      </c>
      <c r="M1127">
        <v>-9.6234567805000004E-2</v>
      </c>
    </row>
    <row r="1128" spans="1:13" x14ac:dyDescent="0.3">
      <c r="A1128" s="34" t="s">
        <v>662</v>
      </c>
      <c r="B1128">
        <v>-1</v>
      </c>
      <c r="C1128">
        <v>2050</v>
      </c>
      <c r="D1128" s="34" t="s">
        <v>346</v>
      </c>
      <c r="E1128" s="34" t="s">
        <v>402</v>
      </c>
      <c r="F1128" s="34" t="s">
        <v>615</v>
      </c>
      <c r="G1128" s="34" t="s">
        <v>29</v>
      </c>
      <c r="H1128" s="34" t="s">
        <v>21</v>
      </c>
      <c r="I1128" s="34" t="s">
        <v>19</v>
      </c>
      <c r="J1128" s="34" t="s">
        <v>22</v>
      </c>
      <c r="K1128" s="34" t="s">
        <v>46</v>
      </c>
      <c r="L1128" s="34" t="s">
        <v>47</v>
      </c>
      <c r="M1128">
        <v>4.4067672150000001E-2</v>
      </c>
    </row>
    <row r="1129" spans="1:13" x14ac:dyDescent="0.3">
      <c r="A1129" s="34" t="s">
        <v>662</v>
      </c>
      <c r="B1129">
        <v>-1</v>
      </c>
      <c r="C1129">
        <v>2050</v>
      </c>
      <c r="D1129" s="34" t="s">
        <v>346</v>
      </c>
      <c r="E1129" s="34" t="s">
        <v>402</v>
      </c>
      <c r="F1129" s="34" t="s">
        <v>615</v>
      </c>
      <c r="G1129" s="34" t="s">
        <v>29</v>
      </c>
      <c r="H1129" s="34" t="s">
        <v>21</v>
      </c>
      <c r="I1129" s="34" t="s">
        <v>19</v>
      </c>
      <c r="J1129" s="34" t="s">
        <v>22</v>
      </c>
      <c r="K1129" s="34" t="s">
        <v>48</v>
      </c>
      <c r="L1129" s="34" t="s">
        <v>47</v>
      </c>
      <c r="M1129">
        <v>-4.4067672150000008E-2</v>
      </c>
    </row>
    <row r="1130" spans="1:13" x14ac:dyDescent="0.3">
      <c r="A1130" s="34" t="s">
        <v>662</v>
      </c>
      <c r="B1130">
        <v>-1</v>
      </c>
      <c r="C1130">
        <v>2050</v>
      </c>
      <c r="D1130" s="34" t="s">
        <v>346</v>
      </c>
      <c r="E1130" s="34" t="s">
        <v>402</v>
      </c>
      <c r="F1130" s="34" t="s">
        <v>615</v>
      </c>
      <c r="G1130" s="34" t="s">
        <v>20</v>
      </c>
      <c r="H1130" s="34" t="s">
        <v>21</v>
      </c>
      <c r="I1130" s="34" t="s">
        <v>19</v>
      </c>
      <c r="J1130" s="34" t="s">
        <v>22</v>
      </c>
      <c r="K1130" s="34" t="s">
        <v>46</v>
      </c>
      <c r="L1130" s="34" t="s">
        <v>47</v>
      </c>
      <c r="M1130">
        <v>9.5479956325000004E-2</v>
      </c>
    </row>
    <row r="1131" spans="1:13" x14ac:dyDescent="0.3">
      <c r="A1131" s="34" t="s">
        <v>662</v>
      </c>
      <c r="B1131">
        <v>-1</v>
      </c>
      <c r="C1131">
        <v>2050</v>
      </c>
      <c r="D1131" s="34" t="s">
        <v>346</v>
      </c>
      <c r="E1131" s="34" t="s">
        <v>402</v>
      </c>
      <c r="F1131" s="34" t="s">
        <v>615</v>
      </c>
      <c r="G1131" s="34" t="s">
        <v>20</v>
      </c>
      <c r="H1131" s="34" t="s">
        <v>21</v>
      </c>
      <c r="I1131" s="34" t="s">
        <v>19</v>
      </c>
      <c r="J1131" s="34" t="s">
        <v>22</v>
      </c>
      <c r="K1131" s="34" t="s">
        <v>48</v>
      </c>
      <c r="L1131" s="34" t="s">
        <v>47</v>
      </c>
      <c r="M1131">
        <v>-9.5479956325000018E-2</v>
      </c>
    </row>
    <row r="1132" spans="1:13" x14ac:dyDescent="0.3">
      <c r="A1132" s="34" t="s">
        <v>662</v>
      </c>
      <c r="B1132">
        <v>-1</v>
      </c>
      <c r="C1132">
        <v>2050</v>
      </c>
      <c r="D1132" s="34" t="s">
        <v>346</v>
      </c>
      <c r="E1132" s="34" t="s">
        <v>402</v>
      </c>
      <c r="F1132" s="34" t="s">
        <v>615</v>
      </c>
      <c r="G1132" s="34" t="s">
        <v>30</v>
      </c>
      <c r="H1132" s="34" t="s">
        <v>21</v>
      </c>
      <c r="I1132" s="34" t="s">
        <v>19</v>
      </c>
      <c r="J1132" s="34" t="s">
        <v>22</v>
      </c>
      <c r="K1132" s="34" t="s">
        <v>46</v>
      </c>
      <c r="L1132" s="34" t="s">
        <v>47</v>
      </c>
      <c r="M1132">
        <v>7.3446120249999998E-3</v>
      </c>
    </row>
    <row r="1133" spans="1:13" x14ac:dyDescent="0.3">
      <c r="A1133" s="34" t="s">
        <v>662</v>
      </c>
      <c r="B1133">
        <v>-1</v>
      </c>
      <c r="C1133">
        <v>2050</v>
      </c>
      <c r="D1133" s="34" t="s">
        <v>346</v>
      </c>
      <c r="E1133" s="34" t="s">
        <v>402</v>
      </c>
      <c r="F1133" s="34" t="s">
        <v>615</v>
      </c>
      <c r="G1133" s="34" t="s">
        <v>30</v>
      </c>
      <c r="H1133" s="34" t="s">
        <v>21</v>
      </c>
      <c r="I1133" s="34" t="s">
        <v>19</v>
      </c>
      <c r="J1133" s="34" t="s">
        <v>22</v>
      </c>
      <c r="K1133" s="34" t="s">
        <v>48</v>
      </c>
      <c r="L1133" s="34" t="s">
        <v>47</v>
      </c>
      <c r="M1133">
        <v>-7.3446120250000016E-3</v>
      </c>
    </row>
    <row r="1134" spans="1:13" x14ac:dyDescent="0.3">
      <c r="A1134" s="34" t="s">
        <v>662</v>
      </c>
      <c r="B1134">
        <v>-1</v>
      </c>
      <c r="C1134">
        <v>2050</v>
      </c>
      <c r="D1134" s="34" t="s">
        <v>346</v>
      </c>
      <c r="E1134" s="34" t="s">
        <v>402</v>
      </c>
      <c r="F1134" s="34" t="s">
        <v>615</v>
      </c>
      <c r="G1134" s="34" t="s">
        <v>11</v>
      </c>
      <c r="H1134" s="34" t="s">
        <v>12</v>
      </c>
      <c r="I1134" s="34" t="s">
        <v>13</v>
      </c>
      <c r="J1134" s="34" t="s">
        <v>14</v>
      </c>
      <c r="K1134" s="34" t="s">
        <v>46</v>
      </c>
      <c r="L1134" s="34" t="s">
        <v>47</v>
      </c>
      <c r="M1134">
        <v>0.41148148106999988</v>
      </c>
    </row>
    <row r="1135" spans="1:13" x14ac:dyDescent="0.3">
      <c r="A1135" s="34" t="s">
        <v>662</v>
      </c>
      <c r="B1135">
        <v>-1</v>
      </c>
      <c r="C1135">
        <v>2050</v>
      </c>
      <c r="D1135" s="34" t="s">
        <v>346</v>
      </c>
      <c r="E1135" s="34" t="s">
        <v>402</v>
      </c>
      <c r="F1135" s="34" t="s">
        <v>615</v>
      </c>
      <c r="G1135" s="34" t="s">
        <v>11</v>
      </c>
      <c r="H1135" s="34" t="s">
        <v>12</v>
      </c>
      <c r="I1135" s="34" t="s">
        <v>13</v>
      </c>
      <c r="J1135" s="34" t="s">
        <v>14</v>
      </c>
      <c r="K1135" s="34" t="s">
        <v>48</v>
      </c>
      <c r="L1135" s="34" t="s">
        <v>47</v>
      </c>
      <c r="M1135">
        <v>-0.10283950606999988</v>
      </c>
    </row>
    <row r="1136" spans="1:13" x14ac:dyDescent="0.3">
      <c r="A1136" s="34" t="s">
        <v>662</v>
      </c>
      <c r="B1136">
        <v>-1</v>
      </c>
      <c r="C1136">
        <v>2050</v>
      </c>
      <c r="D1136" s="34" t="s">
        <v>346</v>
      </c>
      <c r="E1136" s="34" t="s">
        <v>402</v>
      </c>
      <c r="F1136" s="34" t="s">
        <v>615</v>
      </c>
      <c r="G1136" s="34" t="s">
        <v>41</v>
      </c>
      <c r="H1136" s="34" t="s">
        <v>40</v>
      </c>
      <c r="I1136" s="34" t="s">
        <v>13</v>
      </c>
      <c r="J1136" s="34" t="s">
        <v>42</v>
      </c>
      <c r="K1136" s="34" t="s">
        <v>46</v>
      </c>
      <c r="L1136" s="34" t="s">
        <v>47</v>
      </c>
      <c r="M1136">
        <v>0.1604630579796873</v>
      </c>
    </row>
    <row r="1137" spans="1:13" x14ac:dyDescent="0.3">
      <c r="A1137" s="34" t="s">
        <v>662</v>
      </c>
      <c r="B1137">
        <v>-1</v>
      </c>
      <c r="C1137">
        <v>2050</v>
      </c>
      <c r="D1137" s="34" t="s">
        <v>346</v>
      </c>
      <c r="E1137" s="34" t="s">
        <v>402</v>
      </c>
      <c r="F1137" s="34" t="s">
        <v>615</v>
      </c>
      <c r="G1137" s="34" t="s">
        <v>41</v>
      </c>
      <c r="H1137" s="34" t="s">
        <v>40</v>
      </c>
      <c r="I1137" s="34" t="s">
        <v>13</v>
      </c>
      <c r="J1137" s="34" t="s">
        <v>42</v>
      </c>
      <c r="K1137" s="34" t="s">
        <v>48</v>
      </c>
      <c r="L1137" s="34" t="s">
        <v>47</v>
      </c>
      <c r="M1137">
        <v>-0.1604630579796873</v>
      </c>
    </row>
    <row r="1138" spans="1:13" x14ac:dyDescent="0.3">
      <c r="A1138" s="34" t="s">
        <v>662</v>
      </c>
      <c r="B1138">
        <v>-1</v>
      </c>
      <c r="C1138">
        <v>2050</v>
      </c>
      <c r="D1138" s="34" t="s">
        <v>346</v>
      </c>
      <c r="E1138" s="34" t="s">
        <v>402</v>
      </c>
      <c r="F1138" s="34" t="s">
        <v>615</v>
      </c>
      <c r="G1138" s="34" t="s">
        <v>645</v>
      </c>
      <c r="H1138" s="34" t="s">
        <v>23</v>
      </c>
      <c r="I1138" s="34" t="s">
        <v>19</v>
      </c>
      <c r="J1138" s="34" t="s">
        <v>24</v>
      </c>
      <c r="K1138" s="34" t="s">
        <v>49</v>
      </c>
      <c r="L1138" s="34" t="s">
        <v>47</v>
      </c>
      <c r="M1138">
        <v>2.9496859216402078</v>
      </c>
    </row>
    <row r="1139" spans="1:13" x14ac:dyDescent="0.3">
      <c r="A1139" s="34" t="s">
        <v>662</v>
      </c>
      <c r="B1139">
        <v>-1</v>
      </c>
      <c r="C1139">
        <v>2050</v>
      </c>
      <c r="D1139" s="34" t="s">
        <v>346</v>
      </c>
      <c r="E1139" s="34" t="s">
        <v>403</v>
      </c>
      <c r="F1139" s="34" t="s">
        <v>616</v>
      </c>
      <c r="G1139" s="34" t="s">
        <v>43</v>
      </c>
      <c r="H1139" s="34" t="s">
        <v>40</v>
      </c>
      <c r="I1139" s="34" t="s">
        <v>19</v>
      </c>
      <c r="J1139" s="34" t="s">
        <v>27</v>
      </c>
      <c r="K1139" s="34" t="s">
        <v>46</v>
      </c>
      <c r="L1139" s="34" t="s">
        <v>47</v>
      </c>
      <c r="M1139">
        <v>7.750035948192</v>
      </c>
    </row>
    <row r="1140" spans="1:13" x14ac:dyDescent="0.3">
      <c r="A1140" s="34" t="s">
        <v>662</v>
      </c>
      <c r="B1140">
        <v>-1</v>
      </c>
      <c r="C1140">
        <v>2050</v>
      </c>
      <c r="D1140" s="34" t="s">
        <v>346</v>
      </c>
      <c r="E1140" s="34" t="s">
        <v>403</v>
      </c>
      <c r="F1140" s="34" t="s">
        <v>616</v>
      </c>
      <c r="G1140" s="34" t="s">
        <v>43</v>
      </c>
      <c r="H1140" s="34" t="s">
        <v>40</v>
      </c>
      <c r="I1140" s="34" t="s">
        <v>19</v>
      </c>
      <c r="J1140" s="34" t="s">
        <v>27</v>
      </c>
      <c r="K1140" s="34" t="s">
        <v>48</v>
      </c>
      <c r="L1140" s="34" t="s">
        <v>47</v>
      </c>
      <c r="M1140">
        <v>-7.750035948192</v>
      </c>
    </row>
    <row r="1141" spans="1:13" x14ac:dyDescent="0.3">
      <c r="A1141" s="34" t="s">
        <v>662</v>
      </c>
      <c r="B1141">
        <v>-1</v>
      </c>
      <c r="C1141">
        <v>2050</v>
      </c>
      <c r="D1141" s="34" t="s">
        <v>346</v>
      </c>
      <c r="E1141" s="34" t="s">
        <v>403</v>
      </c>
      <c r="F1141" s="34" t="s">
        <v>616</v>
      </c>
      <c r="G1141" s="34" t="s">
        <v>247</v>
      </c>
      <c r="H1141" s="34" t="s">
        <v>209</v>
      </c>
      <c r="I1141" s="34" t="s">
        <v>19</v>
      </c>
      <c r="J1141" s="34" t="s">
        <v>27</v>
      </c>
      <c r="K1141" s="34" t="s">
        <v>46</v>
      </c>
      <c r="L1141" s="34" t="s">
        <v>47</v>
      </c>
      <c r="M1141">
        <v>0.20459047399999999</v>
      </c>
    </row>
    <row r="1142" spans="1:13" x14ac:dyDescent="0.3">
      <c r="A1142" s="34" t="s">
        <v>662</v>
      </c>
      <c r="B1142">
        <v>-1</v>
      </c>
      <c r="C1142">
        <v>2050</v>
      </c>
      <c r="D1142" s="34" t="s">
        <v>346</v>
      </c>
      <c r="E1142" s="34" t="s">
        <v>403</v>
      </c>
      <c r="F1142" s="34" t="s">
        <v>616</v>
      </c>
      <c r="G1142" s="34" t="s">
        <v>247</v>
      </c>
      <c r="H1142" s="34" t="s">
        <v>209</v>
      </c>
      <c r="I1142" s="34" t="s">
        <v>19</v>
      </c>
      <c r="J1142" s="34" t="s">
        <v>27</v>
      </c>
      <c r="K1142" s="34" t="s">
        <v>48</v>
      </c>
      <c r="L1142" s="34" t="s">
        <v>47</v>
      </c>
      <c r="M1142">
        <v>-0.20459047399999999</v>
      </c>
    </row>
    <row r="1143" spans="1:13" x14ac:dyDescent="0.3">
      <c r="A1143" s="34" t="s">
        <v>662</v>
      </c>
      <c r="B1143">
        <v>-1</v>
      </c>
      <c r="C1143">
        <v>2050</v>
      </c>
      <c r="D1143" s="34" t="s">
        <v>346</v>
      </c>
      <c r="E1143" s="34" t="s">
        <v>403</v>
      </c>
      <c r="F1143" s="34" t="s">
        <v>616</v>
      </c>
      <c r="G1143" s="34" t="s">
        <v>282</v>
      </c>
      <c r="H1143" s="34" t="s">
        <v>237</v>
      </c>
      <c r="I1143" s="34" t="s">
        <v>19</v>
      </c>
      <c r="J1143" s="34" t="s">
        <v>27</v>
      </c>
      <c r="K1143" s="34" t="s">
        <v>46</v>
      </c>
      <c r="L1143" s="34" t="s">
        <v>47</v>
      </c>
      <c r="M1143">
        <v>0.63973581306400007</v>
      </c>
    </row>
    <row r="1144" spans="1:13" x14ac:dyDescent="0.3">
      <c r="A1144" s="34" t="s">
        <v>662</v>
      </c>
      <c r="B1144">
        <v>-1</v>
      </c>
      <c r="C1144">
        <v>2050</v>
      </c>
      <c r="D1144" s="34" t="s">
        <v>346</v>
      </c>
      <c r="E1144" s="34" t="s">
        <v>403</v>
      </c>
      <c r="F1144" s="34" t="s">
        <v>616</v>
      </c>
      <c r="G1144" s="34" t="s">
        <v>282</v>
      </c>
      <c r="H1144" s="34" t="s">
        <v>237</v>
      </c>
      <c r="I1144" s="34" t="s">
        <v>19</v>
      </c>
      <c r="J1144" s="34" t="s">
        <v>27</v>
      </c>
      <c r="K1144" s="34" t="s">
        <v>48</v>
      </c>
      <c r="L1144" s="34" t="s">
        <v>47</v>
      </c>
      <c r="M1144">
        <v>-0.63973581306400018</v>
      </c>
    </row>
    <row r="1145" spans="1:13" x14ac:dyDescent="0.3">
      <c r="A1145" s="34" t="s">
        <v>662</v>
      </c>
      <c r="B1145">
        <v>-1</v>
      </c>
      <c r="C1145">
        <v>2050</v>
      </c>
      <c r="D1145" s="34" t="s">
        <v>346</v>
      </c>
      <c r="E1145" s="34" t="s">
        <v>403</v>
      </c>
      <c r="F1145" s="34" t="s">
        <v>616</v>
      </c>
      <c r="G1145" s="34" t="s">
        <v>28</v>
      </c>
      <c r="H1145" s="34" t="s">
        <v>23</v>
      </c>
      <c r="I1145" s="34" t="s">
        <v>19</v>
      </c>
      <c r="J1145" s="34" t="s">
        <v>24</v>
      </c>
      <c r="K1145" s="34" t="s">
        <v>46</v>
      </c>
      <c r="L1145" s="34" t="s">
        <v>47</v>
      </c>
      <c r="M1145">
        <v>3.3232204000000003</v>
      </c>
    </row>
    <row r="1146" spans="1:13" x14ac:dyDescent="0.3">
      <c r="A1146" s="34" t="s">
        <v>662</v>
      </c>
      <c r="B1146">
        <v>-1</v>
      </c>
      <c r="C1146">
        <v>2050</v>
      </c>
      <c r="D1146" s="34" t="s">
        <v>346</v>
      </c>
      <c r="E1146" s="34" t="s">
        <v>403</v>
      </c>
      <c r="F1146" s="34" t="s">
        <v>616</v>
      </c>
      <c r="G1146" s="34" t="s">
        <v>28</v>
      </c>
      <c r="H1146" s="34" t="s">
        <v>23</v>
      </c>
      <c r="I1146" s="34" t="s">
        <v>19</v>
      </c>
      <c r="J1146" s="34" t="s">
        <v>24</v>
      </c>
      <c r="K1146" s="34" t="s">
        <v>48</v>
      </c>
      <c r="L1146" s="34" t="s">
        <v>47</v>
      </c>
      <c r="M1146">
        <v>-3.3232204000000003</v>
      </c>
    </row>
    <row r="1147" spans="1:13" x14ac:dyDescent="0.3">
      <c r="A1147" s="34" t="s">
        <v>662</v>
      </c>
      <c r="B1147">
        <v>-1</v>
      </c>
      <c r="C1147">
        <v>2050</v>
      </c>
      <c r="D1147" s="34" t="s">
        <v>346</v>
      </c>
      <c r="E1147" s="34" t="s">
        <v>403</v>
      </c>
      <c r="F1147" s="34" t="s">
        <v>616</v>
      </c>
      <c r="G1147" s="34" t="s">
        <v>31</v>
      </c>
      <c r="H1147" s="34" t="s">
        <v>18</v>
      </c>
      <c r="I1147" s="34" t="s">
        <v>19</v>
      </c>
      <c r="J1147" s="34" t="s">
        <v>32</v>
      </c>
      <c r="K1147" s="34" t="s">
        <v>46</v>
      </c>
      <c r="L1147" s="34" t="s">
        <v>47</v>
      </c>
      <c r="M1147">
        <v>0.73966325874799999</v>
      </c>
    </row>
    <row r="1148" spans="1:13" x14ac:dyDescent="0.3">
      <c r="A1148" s="34" t="s">
        <v>662</v>
      </c>
      <c r="B1148">
        <v>-1</v>
      </c>
      <c r="C1148">
        <v>2050</v>
      </c>
      <c r="D1148" s="34" t="s">
        <v>346</v>
      </c>
      <c r="E1148" s="34" t="s">
        <v>403</v>
      </c>
      <c r="F1148" s="34" t="s">
        <v>616</v>
      </c>
      <c r="G1148" s="34" t="s">
        <v>185</v>
      </c>
      <c r="H1148" s="34" t="s">
        <v>18</v>
      </c>
      <c r="I1148" s="34" t="s">
        <v>19</v>
      </c>
      <c r="J1148" s="34" t="s">
        <v>32</v>
      </c>
      <c r="K1148" s="34" t="s">
        <v>46</v>
      </c>
      <c r="L1148" s="34" t="s">
        <v>47</v>
      </c>
      <c r="M1148">
        <v>0.57530956681000001</v>
      </c>
    </row>
    <row r="1149" spans="1:13" x14ac:dyDescent="0.3">
      <c r="A1149" s="34" t="s">
        <v>662</v>
      </c>
      <c r="B1149">
        <v>-1</v>
      </c>
      <c r="C1149">
        <v>2050</v>
      </c>
      <c r="D1149" s="34" t="s">
        <v>346</v>
      </c>
      <c r="E1149" s="34" t="s">
        <v>403</v>
      </c>
      <c r="F1149" s="34" t="s">
        <v>616</v>
      </c>
      <c r="G1149" s="34" t="s">
        <v>180</v>
      </c>
      <c r="H1149" s="34" t="s">
        <v>18</v>
      </c>
      <c r="I1149" s="34" t="s">
        <v>19</v>
      </c>
      <c r="J1149" s="34" t="s">
        <v>181</v>
      </c>
      <c r="K1149" s="34" t="s">
        <v>46</v>
      </c>
      <c r="L1149" s="34" t="s">
        <v>47</v>
      </c>
      <c r="M1149">
        <v>1.829527409472</v>
      </c>
    </row>
    <row r="1150" spans="1:13" x14ac:dyDescent="0.3">
      <c r="A1150" s="34" t="s">
        <v>662</v>
      </c>
      <c r="B1150">
        <v>-1</v>
      </c>
      <c r="C1150">
        <v>2050</v>
      </c>
      <c r="D1150" s="34" t="s">
        <v>346</v>
      </c>
      <c r="E1150" s="34" t="s">
        <v>403</v>
      </c>
      <c r="F1150" s="34" t="s">
        <v>616</v>
      </c>
      <c r="G1150" s="34" t="s">
        <v>54</v>
      </c>
      <c r="H1150" s="34" t="s">
        <v>39</v>
      </c>
      <c r="I1150" s="34" t="s">
        <v>19</v>
      </c>
      <c r="J1150" s="34" t="s">
        <v>27</v>
      </c>
      <c r="K1150" s="34" t="s">
        <v>46</v>
      </c>
      <c r="L1150" s="34" t="s">
        <v>47</v>
      </c>
      <c r="M1150">
        <v>0.95882255596800003</v>
      </c>
    </row>
    <row r="1151" spans="1:13" x14ac:dyDescent="0.3">
      <c r="A1151" s="34" t="s">
        <v>662</v>
      </c>
      <c r="B1151">
        <v>-1</v>
      </c>
      <c r="C1151">
        <v>2050</v>
      </c>
      <c r="D1151" s="34" t="s">
        <v>346</v>
      </c>
      <c r="E1151" s="34" t="s">
        <v>403</v>
      </c>
      <c r="F1151" s="34" t="s">
        <v>616</v>
      </c>
      <c r="G1151" s="34" t="s">
        <v>54</v>
      </c>
      <c r="H1151" s="34" t="s">
        <v>39</v>
      </c>
      <c r="I1151" s="34" t="s">
        <v>19</v>
      </c>
      <c r="J1151" s="34" t="s">
        <v>27</v>
      </c>
      <c r="K1151" s="34" t="s">
        <v>48</v>
      </c>
      <c r="L1151" s="34" t="s">
        <v>47</v>
      </c>
      <c r="M1151">
        <v>-0.95882255596799981</v>
      </c>
    </row>
    <row r="1152" spans="1:13" x14ac:dyDescent="0.3">
      <c r="A1152" s="34" t="s">
        <v>662</v>
      </c>
      <c r="B1152">
        <v>-1</v>
      </c>
      <c r="C1152">
        <v>2050</v>
      </c>
      <c r="D1152" s="34" t="s">
        <v>346</v>
      </c>
      <c r="E1152" s="34" t="s">
        <v>403</v>
      </c>
      <c r="F1152" s="34" t="s">
        <v>616</v>
      </c>
      <c r="G1152" s="34" t="s">
        <v>276</v>
      </c>
      <c r="H1152" s="34" t="s">
        <v>237</v>
      </c>
      <c r="I1152" s="34" t="s">
        <v>19</v>
      </c>
      <c r="J1152" s="34" t="s">
        <v>27</v>
      </c>
      <c r="K1152" s="34" t="s">
        <v>46</v>
      </c>
      <c r="L1152" s="34" t="s">
        <v>47</v>
      </c>
      <c r="M1152">
        <v>0.63973581306400007</v>
      </c>
    </row>
    <row r="1153" spans="1:13" x14ac:dyDescent="0.3">
      <c r="A1153" s="34" t="s">
        <v>662</v>
      </c>
      <c r="B1153">
        <v>-1</v>
      </c>
      <c r="C1153">
        <v>2050</v>
      </c>
      <c r="D1153" s="34" t="s">
        <v>346</v>
      </c>
      <c r="E1153" s="34" t="s">
        <v>403</v>
      </c>
      <c r="F1153" s="34" t="s">
        <v>616</v>
      </c>
      <c r="G1153" s="34" t="s">
        <v>276</v>
      </c>
      <c r="H1153" s="34" t="s">
        <v>237</v>
      </c>
      <c r="I1153" s="34" t="s">
        <v>19</v>
      </c>
      <c r="J1153" s="34" t="s">
        <v>27</v>
      </c>
      <c r="K1153" s="34" t="s">
        <v>48</v>
      </c>
      <c r="L1153" s="34" t="s">
        <v>47</v>
      </c>
      <c r="M1153">
        <v>-0.63973581306400018</v>
      </c>
    </row>
    <row r="1154" spans="1:13" x14ac:dyDescent="0.3">
      <c r="A1154" s="34" t="s">
        <v>662</v>
      </c>
      <c r="B1154">
        <v>-1</v>
      </c>
      <c r="C1154">
        <v>2050</v>
      </c>
      <c r="D1154" s="34" t="s">
        <v>346</v>
      </c>
      <c r="E1154" s="34" t="s">
        <v>403</v>
      </c>
      <c r="F1154" s="34" t="s">
        <v>616</v>
      </c>
      <c r="G1154" s="34" t="s">
        <v>307</v>
      </c>
      <c r="H1154" s="34" t="s">
        <v>26</v>
      </c>
      <c r="I1154" s="34" t="s">
        <v>19</v>
      </c>
      <c r="J1154" s="34" t="s">
        <v>27</v>
      </c>
      <c r="K1154" s="34" t="s">
        <v>46</v>
      </c>
      <c r="L1154" s="34" t="s">
        <v>47</v>
      </c>
      <c r="M1154">
        <v>6.3088262527999997E-2</v>
      </c>
    </row>
    <row r="1155" spans="1:13" x14ac:dyDescent="0.3">
      <c r="A1155" s="34" t="s">
        <v>662</v>
      </c>
      <c r="B1155">
        <v>-1</v>
      </c>
      <c r="C1155">
        <v>2050</v>
      </c>
      <c r="D1155" s="34" t="s">
        <v>346</v>
      </c>
      <c r="E1155" s="34" t="s">
        <v>403</v>
      </c>
      <c r="F1155" s="34" t="s">
        <v>616</v>
      </c>
      <c r="G1155" s="34" t="s">
        <v>307</v>
      </c>
      <c r="H1155" s="34" t="s">
        <v>26</v>
      </c>
      <c r="I1155" s="34" t="s">
        <v>19</v>
      </c>
      <c r="J1155" s="34" t="s">
        <v>27</v>
      </c>
      <c r="K1155" s="34" t="s">
        <v>48</v>
      </c>
      <c r="L1155" s="34" t="s">
        <v>47</v>
      </c>
      <c r="M1155">
        <v>-6.3088262528000011E-2</v>
      </c>
    </row>
    <row r="1156" spans="1:13" x14ac:dyDescent="0.3">
      <c r="A1156" s="34" t="s">
        <v>662</v>
      </c>
      <c r="B1156">
        <v>-1</v>
      </c>
      <c r="C1156">
        <v>2050</v>
      </c>
      <c r="D1156" s="34" t="s">
        <v>346</v>
      </c>
      <c r="E1156" s="34" t="s">
        <v>403</v>
      </c>
      <c r="F1156" s="34" t="s">
        <v>616</v>
      </c>
      <c r="G1156" s="34" t="s">
        <v>52</v>
      </c>
      <c r="H1156" s="34" t="s">
        <v>53</v>
      </c>
      <c r="I1156" s="34" t="s">
        <v>19</v>
      </c>
      <c r="J1156" s="34" t="s">
        <v>27</v>
      </c>
      <c r="K1156" s="34" t="s">
        <v>46</v>
      </c>
      <c r="L1156" s="34" t="s">
        <v>47</v>
      </c>
      <c r="M1156">
        <v>0.231968399248</v>
      </c>
    </row>
    <row r="1157" spans="1:13" x14ac:dyDescent="0.3">
      <c r="A1157" s="34" t="s">
        <v>662</v>
      </c>
      <c r="B1157">
        <v>-1</v>
      </c>
      <c r="C1157">
        <v>2050</v>
      </c>
      <c r="D1157" s="34" t="s">
        <v>346</v>
      </c>
      <c r="E1157" s="34" t="s">
        <v>403</v>
      </c>
      <c r="F1157" s="34" t="s">
        <v>616</v>
      </c>
      <c r="G1157" s="34" t="s">
        <v>52</v>
      </c>
      <c r="H1157" s="34" t="s">
        <v>53</v>
      </c>
      <c r="I1157" s="34" t="s">
        <v>19</v>
      </c>
      <c r="J1157" s="34" t="s">
        <v>27</v>
      </c>
      <c r="K1157" s="34" t="s">
        <v>48</v>
      </c>
      <c r="L1157" s="34" t="s">
        <v>47</v>
      </c>
      <c r="M1157">
        <v>-0.23196839924799995</v>
      </c>
    </row>
    <row r="1158" spans="1:13" x14ac:dyDescent="0.3">
      <c r="A1158" s="34" t="s">
        <v>662</v>
      </c>
      <c r="B1158">
        <v>-1</v>
      </c>
      <c r="C1158">
        <v>2050</v>
      </c>
      <c r="D1158" s="34" t="s">
        <v>346</v>
      </c>
      <c r="E1158" s="34" t="s">
        <v>403</v>
      </c>
      <c r="F1158" s="34" t="s">
        <v>616</v>
      </c>
      <c r="G1158" s="34" t="s">
        <v>29</v>
      </c>
      <c r="H1158" s="34" t="s">
        <v>21</v>
      </c>
      <c r="I1158" s="34" t="s">
        <v>19</v>
      </c>
      <c r="J1158" s="34" t="s">
        <v>22</v>
      </c>
      <c r="K1158" s="34" t="s">
        <v>46</v>
      </c>
      <c r="L1158" s="34" t="s">
        <v>47</v>
      </c>
      <c r="M1158">
        <v>0.57838824722999993</v>
      </c>
    </row>
    <row r="1159" spans="1:13" x14ac:dyDescent="0.3">
      <c r="A1159" s="34" t="s">
        <v>662</v>
      </c>
      <c r="B1159">
        <v>-1</v>
      </c>
      <c r="C1159">
        <v>2050</v>
      </c>
      <c r="D1159" s="34" t="s">
        <v>346</v>
      </c>
      <c r="E1159" s="34" t="s">
        <v>403</v>
      </c>
      <c r="F1159" s="34" t="s">
        <v>616</v>
      </c>
      <c r="G1159" s="34" t="s">
        <v>29</v>
      </c>
      <c r="H1159" s="34" t="s">
        <v>21</v>
      </c>
      <c r="I1159" s="34" t="s">
        <v>19</v>
      </c>
      <c r="J1159" s="34" t="s">
        <v>22</v>
      </c>
      <c r="K1159" s="34" t="s">
        <v>48</v>
      </c>
      <c r="L1159" s="34" t="s">
        <v>47</v>
      </c>
      <c r="M1159">
        <v>-0.57838824722999993</v>
      </c>
    </row>
    <row r="1160" spans="1:13" x14ac:dyDescent="0.3">
      <c r="A1160" s="34" t="s">
        <v>662</v>
      </c>
      <c r="B1160">
        <v>-1</v>
      </c>
      <c r="C1160">
        <v>2050</v>
      </c>
      <c r="D1160" s="34" t="s">
        <v>346</v>
      </c>
      <c r="E1160" s="34" t="s">
        <v>403</v>
      </c>
      <c r="F1160" s="34" t="s">
        <v>616</v>
      </c>
      <c r="G1160" s="34" t="s">
        <v>20</v>
      </c>
      <c r="H1160" s="34" t="s">
        <v>21</v>
      </c>
      <c r="I1160" s="34" t="s">
        <v>19</v>
      </c>
      <c r="J1160" s="34" t="s">
        <v>22</v>
      </c>
      <c r="K1160" s="34" t="s">
        <v>46</v>
      </c>
      <c r="L1160" s="34" t="s">
        <v>47</v>
      </c>
      <c r="M1160">
        <v>1.2531745356649999</v>
      </c>
    </row>
    <row r="1161" spans="1:13" x14ac:dyDescent="0.3">
      <c r="A1161" s="34" t="s">
        <v>662</v>
      </c>
      <c r="B1161">
        <v>-1</v>
      </c>
      <c r="C1161">
        <v>2050</v>
      </c>
      <c r="D1161" s="34" t="s">
        <v>346</v>
      </c>
      <c r="E1161" s="34" t="s">
        <v>403</v>
      </c>
      <c r="F1161" s="34" t="s">
        <v>616</v>
      </c>
      <c r="G1161" s="34" t="s">
        <v>20</v>
      </c>
      <c r="H1161" s="34" t="s">
        <v>21</v>
      </c>
      <c r="I1161" s="34" t="s">
        <v>19</v>
      </c>
      <c r="J1161" s="34" t="s">
        <v>22</v>
      </c>
      <c r="K1161" s="34" t="s">
        <v>48</v>
      </c>
      <c r="L1161" s="34" t="s">
        <v>47</v>
      </c>
      <c r="M1161">
        <v>-1.2531745356649997</v>
      </c>
    </row>
    <row r="1162" spans="1:13" x14ac:dyDescent="0.3">
      <c r="A1162" s="34" t="s">
        <v>662</v>
      </c>
      <c r="B1162">
        <v>-1</v>
      </c>
      <c r="C1162">
        <v>2050</v>
      </c>
      <c r="D1162" s="34" t="s">
        <v>346</v>
      </c>
      <c r="E1162" s="34" t="s">
        <v>403</v>
      </c>
      <c r="F1162" s="34" t="s">
        <v>616</v>
      </c>
      <c r="G1162" s="34" t="s">
        <v>30</v>
      </c>
      <c r="H1162" s="34" t="s">
        <v>21</v>
      </c>
      <c r="I1162" s="34" t="s">
        <v>19</v>
      </c>
      <c r="J1162" s="34" t="s">
        <v>22</v>
      </c>
      <c r="K1162" s="34" t="s">
        <v>46</v>
      </c>
      <c r="L1162" s="34" t="s">
        <v>47</v>
      </c>
      <c r="M1162">
        <v>9.6398041205000007E-2</v>
      </c>
    </row>
    <row r="1163" spans="1:13" x14ac:dyDescent="0.3">
      <c r="A1163" s="34" t="s">
        <v>662</v>
      </c>
      <c r="B1163">
        <v>-1</v>
      </c>
      <c r="C1163">
        <v>2050</v>
      </c>
      <c r="D1163" s="34" t="s">
        <v>346</v>
      </c>
      <c r="E1163" s="34" t="s">
        <v>403</v>
      </c>
      <c r="F1163" s="34" t="s">
        <v>616</v>
      </c>
      <c r="G1163" s="34" t="s">
        <v>30</v>
      </c>
      <c r="H1163" s="34" t="s">
        <v>21</v>
      </c>
      <c r="I1163" s="34" t="s">
        <v>19</v>
      </c>
      <c r="J1163" s="34" t="s">
        <v>22</v>
      </c>
      <c r="K1163" s="34" t="s">
        <v>48</v>
      </c>
      <c r="L1163" s="34" t="s">
        <v>47</v>
      </c>
      <c r="M1163">
        <v>-9.6398041205000007E-2</v>
      </c>
    </row>
    <row r="1164" spans="1:13" x14ac:dyDescent="0.3">
      <c r="A1164" s="34" t="s">
        <v>662</v>
      </c>
      <c r="B1164">
        <v>-1</v>
      </c>
      <c r="C1164">
        <v>2050</v>
      </c>
      <c r="D1164" s="34" t="s">
        <v>346</v>
      </c>
      <c r="E1164" s="34" t="s">
        <v>403</v>
      </c>
      <c r="F1164" s="34" t="s">
        <v>616</v>
      </c>
      <c r="G1164" s="34" t="s">
        <v>11</v>
      </c>
      <c r="H1164" s="34" t="s">
        <v>12</v>
      </c>
      <c r="I1164" s="34" t="s">
        <v>13</v>
      </c>
      <c r="J1164" s="34" t="s">
        <v>14</v>
      </c>
      <c r="K1164" s="34" t="s">
        <v>46</v>
      </c>
      <c r="L1164" s="34" t="s">
        <v>47</v>
      </c>
      <c r="M1164">
        <v>0.9918546179519997</v>
      </c>
    </row>
    <row r="1165" spans="1:13" x14ac:dyDescent="0.3">
      <c r="A1165" s="34" t="s">
        <v>662</v>
      </c>
      <c r="B1165">
        <v>-1</v>
      </c>
      <c r="C1165">
        <v>2050</v>
      </c>
      <c r="D1165" s="34" t="s">
        <v>346</v>
      </c>
      <c r="E1165" s="34" t="s">
        <v>403</v>
      </c>
      <c r="F1165" s="34" t="s">
        <v>616</v>
      </c>
      <c r="G1165" s="34" t="s">
        <v>11</v>
      </c>
      <c r="H1165" s="34" t="s">
        <v>12</v>
      </c>
      <c r="I1165" s="34" t="s">
        <v>13</v>
      </c>
      <c r="J1165" s="34" t="s">
        <v>14</v>
      </c>
      <c r="K1165" s="34" t="s">
        <v>48</v>
      </c>
      <c r="L1165" s="34" t="s">
        <v>47</v>
      </c>
      <c r="M1165">
        <v>-0.2478892579519997</v>
      </c>
    </row>
    <row r="1166" spans="1:13" x14ac:dyDescent="0.3">
      <c r="A1166" s="34" t="s">
        <v>662</v>
      </c>
      <c r="B1166">
        <v>-1</v>
      </c>
      <c r="C1166">
        <v>2050</v>
      </c>
      <c r="D1166" s="34" t="s">
        <v>346</v>
      </c>
      <c r="E1166" s="34" t="s">
        <v>403</v>
      </c>
      <c r="F1166" s="34" t="s">
        <v>616</v>
      </c>
      <c r="G1166" s="34" t="s">
        <v>41</v>
      </c>
      <c r="H1166" s="34" t="s">
        <v>40</v>
      </c>
      <c r="I1166" s="34" t="s">
        <v>13</v>
      </c>
      <c r="J1166" s="34" t="s">
        <v>42</v>
      </c>
      <c r="K1166" s="34" t="s">
        <v>46</v>
      </c>
      <c r="L1166" s="34" t="s">
        <v>47</v>
      </c>
      <c r="M1166">
        <v>0.38678782008363877</v>
      </c>
    </row>
    <row r="1167" spans="1:13" x14ac:dyDescent="0.3">
      <c r="A1167" s="34" t="s">
        <v>662</v>
      </c>
      <c r="B1167">
        <v>-1</v>
      </c>
      <c r="C1167">
        <v>2050</v>
      </c>
      <c r="D1167" s="34" t="s">
        <v>346</v>
      </c>
      <c r="E1167" s="34" t="s">
        <v>403</v>
      </c>
      <c r="F1167" s="34" t="s">
        <v>616</v>
      </c>
      <c r="G1167" s="34" t="s">
        <v>41</v>
      </c>
      <c r="H1167" s="34" t="s">
        <v>40</v>
      </c>
      <c r="I1167" s="34" t="s">
        <v>13</v>
      </c>
      <c r="J1167" s="34" t="s">
        <v>42</v>
      </c>
      <c r="K1167" s="34" t="s">
        <v>48</v>
      </c>
      <c r="L1167" s="34" t="s">
        <v>47</v>
      </c>
      <c r="M1167">
        <v>-0.38678782008363877</v>
      </c>
    </row>
    <row r="1168" spans="1:13" x14ac:dyDescent="0.3">
      <c r="A1168" s="34" t="s">
        <v>662</v>
      </c>
      <c r="B1168">
        <v>-1</v>
      </c>
      <c r="C1168">
        <v>2050</v>
      </c>
      <c r="D1168" s="34" t="s">
        <v>346</v>
      </c>
      <c r="E1168" s="34" t="s">
        <v>403</v>
      </c>
      <c r="F1168" s="34" t="s">
        <v>616</v>
      </c>
      <c r="G1168" s="34" t="s">
        <v>645</v>
      </c>
      <c r="H1168" s="34" t="s">
        <v>23</v>
      </c>
      <c r="I1168" s="34" t="s">
        <v>19</v>
      </c>
      <c r="J1168" s="34" t="s">
        <v>24</v>
      </c>
      <c r="K1168" s="34" t="s">
        <v>49</v>
      </c>
      <c r="L1168" s="34" t="s">
        <v>47</v>
      </c>
      <c r="M1168">
        <v>14.072560501046533</v>
      </c>
    </row>
    <row r="1169" spans="1:13" x14ac:dyDescent="0.3">
      <c r="A1169" s="34" t="s">
        <v>662</v>
      </c>
      <c r="B1169">
        <v>-1</v>
      </c>
      <c r="C1169">
        <v>2050</v>
      </c>
      <c r="D1169" s="34" t="s">
        <v>346</v>
      </c>
      <c r="E1169" s="34" t="s">
        <v>404</v>
      </c>
      <c r="F1169" s="34" t="s">
        <v>617</v>
      </c>
      <c r="G1169" s="34" t="s">
        <v>43</v>
      </c>
      <c r="H1169" s="34" t="s">
        <v>40</v>
      </c>
      <c r="I1169" s="34" t="s">
        <v>19</v>
      </c>
      <c r="J1169" s="34" t="s">
        <v>27</v>
      </c>
      <c r="K1169" s="34" t="s">
        <v>46</v>
      </c>
      <c r="L1169" s="34" t="s">
        <v>47</v>
      </c>
      <c r="M1169">
        <v>24.433807821912001</v>
      </c>
    </row>
    <row r="1170" spans="1:13" x14ac:dyDescent="0.3">
      <c r="A1170" s="34" t="s">
        <v>662</v>
      </c>
      <c r="B1170">
        <v>-1</v>
      </c>
      <c r="C1170">
        <v>2050</v>
      </c>
      <c r="D1170" s="34" t="s">
        <v>346</v>
      </c>
      <c r="E1170" s="34" t="s">
        <v>404</v>
      </c>
      <c r="F1170" s="34" t="s">
        <v>617</v>
      </c>
      <c r="G1170" s="34" t="s">
        <v>43</v>
      </c>
      <c r="H1170" s="34" t="s">
        <v>40</v>
      </c>
      <c r="I1170" s="34" t="s">
        <v>19</v>
      </c>
      <c r="J1170" s="34" t="s">
        <v>27</v>
      </c>
      <c r="K1170" s="34" t="s">
        <v>48</v>
      </c>
      <c r="L1170" s="34" t="s">
        <v>47</v>
      </c>
      <c r="M1170">
        <v>-24.433807821911994</v>
      </c>
    </row>
    <row r="1171" spans="1:13" x14ac:dyDescent="0.3">
      <c r="A1171" s="34" t="s">
        <v>662</v>
      </c>
      <c r="B1171">
        <v>-1</v>
      </c>
      <c r="C1171">
        <v>2050</v>
      </c>
      <c r="D1171" s="34" t="s">
        <v>346</v>
      </c>
      <c r="E1171" s="34" t="s">
        <v>404</v>
      </c>
      <c r="F1171" s="34" t="s">
        <v>617</v>
      </c>
      <c r="G1171" s="34" t="s">
        <v>247</v>
      </c>
      <c r="H1171" s="34" t="s">
        <v>209</v>
      </c>
      <c r="I1171" s="34" t="s">
        <v>19</v>
      </c>
      <c r="J1171" s="34" t="s">
        <v>27</v>
      </c>
      <c r="K1171" s="34" t="s">
        <v>46</v>
      </c>
      <c r="L1171" s="34" t="s">
        <v>47</v>
      </c>
      <c r="M1171">
        <v>0.64501950150000009</v>
      </c>
    </row>
    <row r="1172" spans="1:13" x14ac:dyDescent="0.3">
      <c r="A1172" s="34" t="s">
        <v>662</v>
      </c>
      <c r="B1172">
        <v>-1</v>
      </c>
      <c r="C1172">
        <v>2050</v>
      </c>
      <c r="D1172" s="34" t="s">
        <v>346</v>
      </c>
      <c r="E1172" s="34" t="s">
        <v>404</v>
      </c>
      <c r="F1172" s="34" t="s">
        <v>617</v>
      </c>
      <c r="G1172" s="34" t="s">
        <v>247</v>
      </c>
      <c r="H1172" s="34" t="s">
        <v>209</v>
      </c>
      <c r="I1172" s="34" t="s">
        <v>19</v>
      </c>
      <c r="J1172" s="34" t="s">
        <v>27</v>
      </c>
      <c r="K1172" s="34" t="s">
        <v>48</v>
      </c>
      <c r="L1172" s="34" t="s">
        <v>47</v>
      </c>
      <c r="M1172">
        <v>-0.64501950150000009</v>
      </c>
    </row>
    <row r="1173" spans="1:13" x14ac:dyDescent="0.3">
      <c r="A1173" s="34" t="s">
        <v>662</v>
      </c>
      <c r="B1173">
        <v>-1</v>
      </c>
      <c r="C1173">
        <v>2050</v>
      </c>
      <c r="D1173" s="34" t="s">
        <v>346</v>
      </c>
      <c r="E1173" s="34" t="s">
        <v>404</v>
      </c>
      <c r="F1173" s="34" t="s">
        <v>617</v>
      </c>
      <c r="G1173" s="34" t="s">
        <v>282</v>
      </c>
      <c r="H1173" s="34" t="s">
        <v>237</v>
      </c>
      <c r="I1173" s="34" t="s">
        <v>19</v>
      </c>
      <c r="J1173" s="34" t="s">
        <v>27</v>
      </c>
      <c r="K1173" s="34" t="s">
        <v>46</v>
      </c>
      <c r="L1173" s="34" t="s">
        <v>47</v>
      </c>
      <c r="M1173">
        <v>2.0169173430540002</v>
      </c>
    </row>
    <row r="1174" spans="1:13" x14ac:dyDescent="0.3">
      <c r="A1174" s="34" t="s">
        <v>662</v>
      </c>
      <c r="B1174">
        <v>-1</v>
      </c>
      <c r="C1174">
        <v>2050</v>
      </c>
      <c r="D1174" s="34" t="s">
        <v>346</v>
      </c>
      <c r="E1174" s="34" t="s">
        <v>404</v>
      </c>
      <c r="F1174" s="34" t="s">
        <v>617</v>
      </c>
      <c r="G1174" s="34" t="s">
        <v>282</v>
      </c>
      <c r="H1174" s="34" t="s">
        <v>237</v>
      </c>
      <c r="I1174" s="34" t="s">
        <v>19</v>
      </c>
      <c r="J1174" s="34" t="s">
        <v>27</v>
      </c>
      <c r="K1174" s="34" t="s">
        <v>48</v>
      </c>
      <c r="L1174" s="34" t="s">
        <v>47</v>
      </c>
      <c r="M1174">
        <v>-2.0169173430540006</v>
      </c>
    </row>
    <row r="1175" spans="1:13" x14ac:dyDescent="0.3">
      <c r="A1175" s="34" t="s">
        <v>662</v>
      </c>
      <c r="B1175">
        <v>-1</v>
      </c>
      <c r="C1175">
        <v>2050</v>
      </c>
      <c r="D1175" s="34" t="s">
        <v>346</v>
      </c>
      <c r="E1175" s="34" t="s">
        <v>404</v>
      </c>
      <c r="F1175" s="34" t="s">
        <v>617</v>
      </c>
      <c r="G1175" s="34" t="s">
        <v>28</v>
      </c>
      <c r="H1175" s="34" t="s">
        <v>23</v>
      </c>
      <c r="I1175" s="34" t="s">
        <v>19</v>
      </c>
      <c r="J1175" s="34" t="s">
        <v>24</v>
      </c>
      <c r="K1175" s="34" t="s">
        <v>46</v>
      </c>
      <c r="L1175" s="34" t="s">
        <v>47</v>
      </c>
      <c r="M1175">
        <v>8.9819703999999998</v>
      </c>
    </row>
    <row r="1176" spans="1:13" x14ac:dyDescent="0.3">
      <c r="A1176" s="34" t="s">
        <v>662</v>
      </c>
      <c r="B1176">
        <v>-1</v>
      </c>
      <c r="C1176">
        <v>2050</v>
      </c>
      <c r="D1176" s="34" t="s">
        <v>346</v>
      </c>
      <c r="E1176" s="34" t="s">
        <v>404</v>
      </c>
      <c r="F1176" s="34" t="s">
        <v>617</v>
      </c>
      <c r="G1176" s="34" t="s">
        <v>28</v>
      </c>
      <c r="H1176" s="34" t="s">
        <v>23</v>
      </c>
      <c r="I1176" s="34" t="s">
        <v>19</v>
      </c>
      <c r="J1176" s="34" t="s">
        <v>24</v>
      </c>
      <c r="K1176" s="34" t="s">
        <v>48</v>
      </c>
      <c r="L1176" s="34" t="s">
        <v>47</v>
      </c>
      <c r="M1176">
        <v>-8.9819703999999962</v>
      </c>
    </row>
    <row r="1177" spans="1:13" x14ac:dyDescent="0.3">
      <c r="A1177" s="34" t="s">
        <v>662</v>
      </c>
      <c r="B1177">
        <v>-1</v>
      </c>
      <c r="C1177">
        <v>2050</v>
      </c>
      <c r="D1177" s="34" t="s">
        <v>346</v>
      </c>
      <c r="E1177" s="34" t="s">
        <v>404</v>
      </c>
      <c r="F1177" s="34" t="s">
        <v>617</v>
      </c>
      <c r="G1177" s="34" t="s">
        <v>31</v>
      </c>
      <c r="H1177" s="34" t="s">
        <v>18</v>
      </c>
      <c r="I1177" s="34" t="s">
        <v>19</v>
      </c>
      <c r="J1177" s="34" t="s">
        <v>32</v>
      </c>
      <c r="K1177" s="34" t="s">
        <v>46</v>
      </c>
      <c r="L1177" s="34" t="s">
        <v>47</v>
      </c>
      <c r="M1177">
        <v>3.8800977136360002</v>
      </c>
    </row>
    <row r="1178" spans="1:13" x14ac:dyDescent="0.3">
      <c r="A1178" s="34" t="s">
        <v>662</v>
      </c>
      <c r="B1178">
        <v>-1</v>
      </c>
      <c r="C1178">
        <v>2050</v>
      </c>
      <c r="D1178" s="34" t="s">
        <v>346</v>
      </c>
      <c r="E1178" s="34" t="s">
        <v>404</v>
      </c>
      <c r="F1178" s="34" t="s">
        <v>617</v>
      </c>
      <c r="G1178" s="34" t="s">
        <v>185</v>
      </c>
      <c r="H1178" s="34" t="s">
        <v>18</v>
      </c>
      <c r="I1178" s="34" t="s">
        <v>19</v>
      </c>
      <c r="J1178" s="34" t="s">
        <v>32</v>
      </c>
      <c r="K1178" s="34" t="s">
        <v>46</v>
      </c>
      <c r="L1178" s="34" t="s">
        <v>47</v>
      </c>
      <c r="M1178">
        <v>3.0179372956699999</v>
      </c>
    </row>
    <row r="1179" spans="1:13" x14ac:dyDescent="0.3">
      <c r="A1179" s="34" t="s">
        <v>662</v>
      </c>
      <c r="B1179">
        <v>-1</v>
      </c>
      <c r="C1179">
        <v>2050</v>
      </c>
      <c r="D1179" s="34" t="s">
        <v>346</v>
      </c>
      <c r="E1179" s="34" t="s">
        <v>404</v>
      </c>
      <c r="F1179" s="34" t="s">
        <v>617</v>
      </c>
      <c r="G1179" s="34" t="s">
        <v>180</v>
      </c>
      <c r="H1179" s="34" t="s">
        <v>18</v>
      </c>
      <c r="I1179" s="34" t="s">
        <v>19</v>
      </c>
      <c r="J1179" s="34" t="s">
        <v>181</v>
      </c>
      <c r="K1179" s="34" t="s">
        <v>46</v>
      </c>
      <c r="L1179" s="34" t="s">
        <v>47</v>
      </c>
      <c r="M1179">
        <v>9.5972660999040009</v>
      </c>
    </row>
    <row r="1180" spans="1:13" x14ac:dyDescent="0.3">
      <c r="A1180" s="34" t="s">
        <v>662</v>
      </c>
      <c r="B1180">
        <v>-1</v>
      </c>
      <c r="C1180">
        <v>2050</v>
      </c>
      <c r="D1180" s="34" t="s">
        <v>346</v>
      </c>
      <c r="E1180" s="34" t="s">
        <v>404</v>
      </c>
      <c r="F1180" s="34" t="s">
        <v>617</v>
      </c>
      <c r="G1180" s="34" t="s">
        <v>54</v>
      </c>
      <c r="H1180" s="34" t="s">
        <v>39</v>
      </c>
      <c r="I1180" s="34" t="s">
        <v>19</v>
      </c>
      <c r="J1180" s="34" t="s">
        <v>27</v>
      </c>
      <c r="K1180" s="34" t="s">
        <v>46</v>
      </c>
      <c r="L1180" s="34" t="s">
        <v>47</v>
      </c>
      <c r="M1180">
        <v>3.0229132128480001</v>
      </c>
    </row>
    <row r="1181" spans="1:13" x14ac:dyDescent="0.3">
      <c r="A1181" s="34" t="s">
        <v>662</v>
      </c>
      <c r="B1181">
        <v>-1</v>
      </c>
      <c r="C1181">
        <v>2050</v>
      </c>
      <c r="D1181" s="34" t="s">
        <v>346</v>
      </c>
      <c r="E1181" s="34" t="s">
        <v>404</v>
      </c>
      <c r="F1181" s="34" t="s">
        <v>617</v>
      </c>
      <c r="G1181" s="34" t="s">
        <v>54</v>
      </c>
      <c r="H1181" s="34" t="s">
        <v>39</v>
      </c>
      <c r="I1181" s="34" t="s">
        <v>19</v>
      </c>
      <c r="J1181" s="34" t="s">
        <v>27</v>
      </c>
      <c r="K1181" s="34" t="s">
        <v>48</v>
      </c>
      <c r="L1181" s="34" t="s">
        <v>47</v>
      </c>
      <c r="M1181">
        <v>-3.0229132128479996</v>
      </c>
    </row>
    <row r="1182" spans="1:13" x14ac:dyDescent="0.3">
      <c r="A1182" s="34" t="s">
        <v>662</v>
      </c>
      <c r="B1182">
        <v>-1</v>
      </c>
      <c r="C1182">
        <v>2050</v>
      </c>
      <c r="D1182" s="34" t="s">
        <v>346</v>
      </c>
      <c r="E1182" s="34" t="s">
        <v>404</v>
      </c>
      <c r="F1182" s="34" t="s">
        <v>617</v>
      </c>
      <c r="G1182" s="34" t="s">
        <v>276</v>
      </c>
      <c r="H1182" s="34" t="s">
        <v>237</v>
      </c>
      <c r="I1182" s="34" t="s">
        <v>19</v>
      </c>
      <c r="J1182" s="34" t="s">
        <v>27</v>
      </c>
      <c r="K1182" s="34" t="s">
        <v>46</v>
      </c>
      <c r="L1182" s="34" t="s">
        <v>47</v>
      </c>
      <c r="M1182">
        <v>2.0169173430540002</v>
      </c>
    </row>
    <row r="1183" spans="1:13" x14ac:dyDescent="0.3">
      <c r="A1183" s="34" t="s">
        <v>662</v>
      </c>
      <c r="B1183">
        <v>-1</v>
      </c>
      <c r="C1183">
        <v>2050</v>
      </c>
      <c r="D1183" s="34" t="s">
        <v>346</v>
      </c>
      <c r="E1183" s="34" t="s">
        <v>404</v>
      </c>
      <c r="F1183" s="34" t="s">
        <v>617</v>
      </c>
      <c r="G1183" s="34" t="s">
        <v>276</v>
      </c>
      <c r="H1183" s="34" t="s">
        <v>237</v>
      </c>
      <c r="I1183" s="34" t="s">
        <v>19</v>
      </c>
      <c r="J1183" s="34" t="s">
        <v>27</v>
      </c>
      <c r="K1183" s="34" t="s">
        <v>48</v>
      </c>
      <c r="L1183" s="34" t="s">
        <v>47</v>
      </c>
      <c r="M1183">
        <v>-2.0169173430540006</v>
      </c>
    </row>
    <row r="1184" spans="1:13" x14ac:dyDescent="0.3">
      <c r="A1184" s="34" t="s">
        <v>662</v>
      </c>
      <c r="B1184">
        <v>-1</v>
      </c>
      <c r="C1184">
        <v>2050</v>
      </c>
      <c r="D1184" s="34" t="s">
        <v>346</v>
      </c>
      <c r="E1184" s="34" t="s">
        <v>404</v>
      </c>
      <c r="F1184" s="34" t="s">
        <v>617</v>
      </c>
      <c r="G1184" s="34" t="s">
        <v>307</v>
      </c>
      <c r="H1184" s="34" t="s">
        <v>26</v>
      </c>
      <c r="I1184" s="34" t="s">
        <v>19</v>
      </c>
      <c r="J1184" s="34" t="s">
        <v>27</v>
      </c>
      <c r="K1184" s="34" t="s">
        <v>46</v>
      </c>
      <c r="L1184" s="34" t="s">
        <v>47</v>
      </c>
      <c r="M1184">
        <v>0.19890055900799999</v>
      </c>
    </row>
    <row r="1185" spans="1:13" x14ac:dyDescent="0.3">
      <c r="A1185" s="34" t="s">
        <v>662</v>
      </c>
      <c r="B1185">
        <v>-1</v>
      </c>
      <c r="C1185">
        <v>2050</v>
      </c>
      <c r="D1185" s="34" t="s">
        <v>346</v>
      </c>
      <c r="E1185" s="34" t="s">
        <v>404</v>
      </c>
      <c r="F1185" s="34" t="s">
        <v>617</v>
      </c>
      <c r="G1185" s="34" t="s">
        <v>307</v>
      </c>
      <c r="H1185" s="34" t="s">
        <v>26</v>
      </c>
      <c r="I1185" s="34" t="s">
        <v>19</v>
      </c>
      <c r="J1185" s="34" t="s">
        <v>27</v>
      </c>
      <c r="K1185" s="34" t="s">
        <v>48</v>
      </c>
      <c r="L1185" s="34" t="s">
        <v>47</v>
      </c>
      <c r="M1185">
        <v>-0.19890055900800002</v>
      </c>
    </row>
    <row r="1186" spans="1:13" x14ac:dyDescent="0.3">
      <c r="A1186" s="34" t="s">
        <v>662</v>
      </c>
      <c r="B1186">
        <v>-1</v>
      </c>
      <c r="C1186">
        <v>2050</v>
      </c>
      <c r="D1186" s="34" t="s">
        <v>346</v>
      </c>
      <c r="E1186" s="34" t="s">
        <v>404</v>
      </c>
      <c r="F1186" s="34" t="s">
        <v>617</v>
      </c>
      <c r="G1186" s="34" t="s">
        <v>52</v>
      </c>
      <c r="H1186" s="34" t="s">
        <v>53</v>
      </c>
      <c r="I1186" s="34" t="s">
        <v>19</v>
      </c>
      <c r="J1186" s="34" t="s">
        <v>27</v>
      </c>
      <c r="K1186" s="34" t="s">
        <v>46</v>
      </c>
      <c r="L1186" s="34" t="s">
        <v>47</v>
      </c>
      <c r="M1186">
        <v>0.73133483842800007</v>
      </c>
    </row>
    <row r="1187" spans="1:13" x14ac:dyDescent="0.3">
      <c r="A1187" s="34" t="s">
        <v>662</v>
      </c>
      <c r="B1187">
        <v>-1</v>
      </c>
      <c r="C1187">
        <v>2050</v>
      </c>
      <c r="D1187" s="34" t="s">
        <v>346</v>
      </c>
      <c r="E1187" s="34" t="s">
        <v>404</v>
      </c>
      <c r="F1187" s="34" t="s">
        <v>617</v>
      </c>
      <c r="G1187" s="34" t="s">
        <v>52</v>
      </c>
      <c r="H1187" s="34" t="s">
        <v>53</v>
      </c>
      <c r="I1187" s="34" t="s">
        <v>19</v>
      </c>
      <c r="J1187" s="34" t="s">
        <v>27</v>
      </c>
      <c r="K1187" s="34" t="s">
        <v>48</v>
      </c>
      <c r="L1187" s="34" t="s">
        <v>47</v>
      </c>
      <c r="M1187">
        <v>-0.73133483842799996</v>
      </c>
    </row>
    <row r="1188" spans="1:13" x14ac:dyDescent="0.3">
      <c r="A1188" s="34" t="s">
        <v>662</v>
      </c>
      <c r="B1188">
        <v>-1</v>
      </c>
      <c r="C1188">
        <v>2050</v>
      </c>
      <c r="D1188" s="34" t="s">
        <v>346</v>
      </c>
      <c r="E1188" s="34" t="s">
        <v>404</v>
      </c>
      <c r="F1188" s="34" t="s">
        <v>617</v>
      </c>
      <c r="G1188" s="34" t="s">
        <v>29</v>
      </c>
      <c r="H1188" s="34" t="s">
        <v>21</v>
      </c>
      <c r="I1188" s="34" t="s">
        <v>19</v>
      </c>
      <c r="J1188" s="34" t="s">
        <v>22</v>
      </c>
      <c r="K1188" s="34" t="s">
        <v>46</v>
      </c>
      <c r="L1188" s="34" t="s">
        <v>47</v>
      </c>
      <c r="M1188">
        <v>4.6821895859999997E-2</v>
      </c>
    </row>
    <row r="1189" spans="1:13" x14ac:dyDescent="0.3">
      <c r="A1189" s="34" t="s">
        <v>662</v>
      </c>
      <c r="B1189">
        <v>-1</v>
      </c>
      <c r="C1189">
        <v>2050</v>
      </c>
      <c r="D1189" s="34" t="s">
        <v>346</v>
      </c>
      <c r="E1189" s="34" t="s">
        <v>404</v>
      </c>
      <c r="F1189" s="34" t="s">
        <v>617</v>
      </c>
      <c r="G1189" s="34" t="s">
        <v>29</v>
      </c>
      <c r="H1189" s="34" t="s">
        <v>21</v>
      </c>
      <c r="I1189" s="34" t="s">
        <v>19</v>
      </c>
      <c r="J1189" s="34" t="s">
        <v>22</v>
      </c>
      <c r="K1189" s="34" t="s">
        <v>48</v>
      </c>
      <c r="L1189" s="34" t="s">
        <v>47</v>
      </c>
      <c r="M1189">
        <v>-4.6821895860000004E-2</v>
      </c>
    </row>
    <row r="1190" spans="1:13" x14ac:dyDescent="0.3">
      <c r="A1190" s="34" t="s">
        <v>662</v>
      </c>
      <c r="B1190">
        <v>-1</v>
      </c>
      <c r="C1190">
        <v>2050</v>
      </c>
      <c r="D1190" s="34" t="s">
        <v>346</v>
      </c>
      <c r="E1190" s="34" t="s">
        <v>404</v>
      </c>
      <c r="F1190" s="34" t="s">
        <v>617</v>
      </c>
      <c r="G1190" s="34" t="s">
        <v>20</v>
      </c>
      <c r="H1190" s="34" t="s">
        <v>21</v>
      </c>
      <c r="I1190" s="34" t="s">
        <v>19</v>
      </c>
      <c r="J1190" s="34" t="s">
        <v>22</v>
      </c>
      <c r="K1190" s="34" t="s">
        <v>46</v>
      </c>
      <c r="L1190" s="34" t="s">
        <v>47</v>
      </c>
      <c r="M1190">
        <v>0.10144744103000002</v>
      </c>
    </row>
    <row r="1191" spans="1:13" x14ac:dyDescent="0.3">
      <c r="A1191" s="34" t="s">
        <v>662</v>
      </c>
      <c r="B1191">
        <v>-1</v>
      </c>
      <c r="C1191">
        <v>2050</v>
      </c>
      <c r="D1191" s="34" t="s">
        <v>346</v>
      </c>
      <c r="E1191" s="34" t="s">
        <v>404</v>
      </c>
      <c r="F1191" s="34" t="s">
        <v>617</v>
      </c>
      <c r="G1191" s="34" t="s">
        <v>20</v>
      </c>
      <c r="H1191" s="34" t="s">
        <v>21</v>
      </c>
      <c r="I1191" s="34" t="s">
        <v>19</v>
      </c>
      <c r="J1191" s="34" t="s">
        <v>22</v>
      </c>
      <c r="K1191" s="34" t="s">
        <v>48</v>
      </c>
      <c r="L1191" s="34" t="s">
        <v>47</v>
      </c>
      <c r="M1191">
        <v>-0.10144744103</v>
      </c>
    </row>
    <row r="1192" spans="1:13" x14ac:dyDescent="0.3">
      <c r="A1192" s="34" t="s">
        <v>662</v>
      </c>
      <c r="B1192">
        <v>-1</v>
      </c>
      <c r="C1192">
        <v>2050</v>
      </c>
      <c r="D1192" s="34" t="s">
        <v>346</v>
      </c>
      <c r="E1192" s="34" t="s">
        <v>404</v>
      </c>
      <c r="F1192" s="34" t="s">
        <v>617</v>
      </c>
      <c r="G1192" s="34" t="s">
        <v>30</v>
      </c>
      <c r="H1192" s="34" t="s">
        <v>21</v>
      </c>
      <c r="I1192" s="34" t="s">
        <v>19</v>
      </c>
      <c r="J1192" s="34" t="s">
        <v>22</v>
      </c>
      <c r="K1192" s="34" t="s">
        <v>46</v>
      </c>
      <c r="L1192" s="34" t="s">
        <v>47</v>
      </c>
      <c r="M1192">
        <v>7.8036493099999998E-3</v>
      </c>
    </row>
    <row r="1193" spans="1:13" x14ac:dyDescent="0.3">
      <c r="A1193" s="34" t="s">
        <v>662</v>
      </c>
      <c r="B1193">
        <v>-1</v>
      </c>
      <c r="C1193">
        <v>2050</v>
      </c>
      <c r="D1193" s="34" t="s">
        <v>346</v>
      </c>
      <c r="E1193" s="34" t="s">
        <v>404</v>
      </c>
      <c r="F1193" s="34" t="s">
        <v>617</v>
      </c>
      <c r="G1193" s="34" t="s">
        <v>30</v>
      </c>
      <c r="H1193" s="34" t="s">
        <v>21</v>
      </c>
      <c r="I1193" s="34" t="s">
        <v>19</v>
      </c>
      <c r="J1193" s="34" t="s">
        <v>22</v>
      </c>
      <c r="K1193" s="34" t="s">
        <v>48</v>
      </c>
      <c r="L1193" s="34" t="s">
        <v>47</v>
      </c>
      <c r="M1193">
        <v>-7.8036493099999998E-3</v>
      </c>
    </row>
    <row r="1194" spans="1:13" x14ac:dyDescent="0.3">
      <c r="A1194" s="34" t="s">
        <v>662</v>
      </c>
      <c r="B1194">
        <v>-1</v>
      </c>
      <c r="C1194">
        <v>2050</v>
      </c>
      <c r="D1194" s="34" t="s">
        <v>346</v>
      </c>
      <c r="E1194" s="34" t="s">
        <v>404</v>
      </c>
      <c r="F1194" s="34" t="s">
        <v>617</v>
      </c>
      <c r="G1194" s="34" t="s">
        <v>11</v>
      </c>
      <c r="H1194" s="34" t="s">
        <v>12</v>
      </c>
      <c r="I1194" s="34" t="s">
        <v>13</v>
      </c>
      <c r="J1194" s="34" t="s">
        <v>14</v>
      </c>
      <c r="K1194" s="34" t="s">
        <v>46</v>
      </c>
      <c r="L1194" s="34" t="s">
        <v>47</v>
      </c>
      <c r="M1194">
        <v>3.1270545432719996</v>
      </c>
    </row>
    <row r="1195" spans="1:13" x14ac:dyDescent="0.3">
      <c r="A1195" s="34" t="s">
        <v>662</v>
      </c>
      <c r="B1195">
        <v>-1</v>
      </c>
      <c r="C1195">
        <v>2050</v>
      </c>
      <c r="D1195" s="34" t="s">
        <v>346</v>
      </c>
      <c r="E1195" s="34" t="s">
        <v>404</v>
      </c>
      <c r="F1195" s="34" t="s">
        <v>617</v>
      </c>
      <c r="G1195" s="34" t="s">
        <v>11</v>
      </c>
      <c r="H1195" s="34" t="s">
        <v>12</v>
      </c>
      <c r="I1195" s="34" t="s">
        <v>13</v>
      </c>
      <c r="J1195" s="34" t="s">
        <v>14</v>
      </c>
      <c r="K1195" s="34" t="s">
        <v>48</v>
      </c>
      <c r="L1195" s="34" t="s">
        <v>47</v>
      </c>
      <c r="M1195">
        <v>-0.78152908327199899</v>
      </c>
    </row>
    <row r="1196" spans="1:13" x14ac:dyDescent="0.3">
      <c r="A1196" s="34" t="s">
        <v>662</v>
      </c>
      <c r="B1196">
        <v>-1</v>
      </c>
      <c r="C1196">
        <v>2050</v>
      </c>
      <c r="D1196" s="34" t="s">
        <v>346</v>
      </c>
      <c r="E1196" s="34" t="s">
        <v>404</v>
      </c>
      <c r="F1196" s="34" t="s">
        <v>617</v>
      </c>
      <c r="G1196" s="34" t="s">
        <v>16</v>
      </c>
      <c r="H1196" s="34" t="s">
        <v>12</v>
      </c>
      <c r="I1196" s="34" t="s">
        <v>13</v>
      </c>
      <c r="J1196" s="34" t="s">
        <v>14</v>
      </c>
      <c r="K1196" s="34" t="s">
        <v>49</v>
      </c>
      <c r="L1196" s="34" t="s">
        <v>47</v>
      </c>
      <c r="M1196">
        <v>0.55737671546604317</v>
      </c>
    </row>
    <row r="1197" spans="1:13" x14ac:dyDescent="0.3">
      <c r="A1197" s="34" t="s">
        <v>662</v>
      </c>
      <c r="B1197">
        <v>-1</v>
      </c>
      <c r="C1197">
        <v>2050</v>
      </c>
      <c r="D1197" s="34" t="s">
        <v>346</v>
      </c>
      <c r="E1197" s="34" t="s">
        <v>404</v>
      </c>
      <c r="F1197" s="34" t="s">
        <v>617</v>
      </c>
      <c r="G1197" s="34" t="s">
        <v>41</v>
      </c>
      <c r="H1197" s="34" t="s">
        <v>40</v>
      </c>
      <c r="I1197" s="34" t="s">
        <v>13</v>
      </c>
      <c r="J1197" s="34" t="s">
        <v>42</v>
      </c>
      <c r="K1197" s="34" t="s">
        <v>46</v>
      </c>
      <c r="L1197" s="34" t="s">
        <v>47</v>
      </c>
      <c r="M1197">
        <v>1.2194394099532728</v>
      </c>
    </row>
    <row r="1198" spans="1:13" x14ac:dyDescent="0.3">
      <c r="A1198" s="34" t="s">
        <v>662</v>
      </c>
      <c r="B1198">
        <v>-1</v>
      </c>
      <c r="C1198">
        <v>2050</v>
      </c>
      <c r="D1198" s="34" t="s">
        <v>346</v>
      </c>
      <c r="E1198" s="34" t="s">
        <v>404</v>
      </c>
      <c r="F1198" s="34" t="s">
        <v>617</v>
      </c>
      <c r="G1198" s="34" t="s">
        <v>41</v>
      </c>
      <c r="H1198" s="34" t="s">
        <v>40</v>
      </c>
      <c r="I1198" s="34" t="s">
        <v>13</v>
      </c>
      <c r="J1198" s="34" t="s">
        <v>42</v>
      </c>
      <c r="K1198" s="34" t="s">
        <v>48</v>
      </c>
      <c r="L1198" s="34" t="s">
        <v>47</v>
      </c>
      <c r="M1198">
        <v>-1.2194394099532728</v>
      </c>
    </row>
    <row r="1199" spans="1:13" x14ac:dyDescent="0.3">
      <c r="A1199" s="34" t="s">
        <v>662</v>
      </c>
      <c r="B1199">
        <v>-1</v>
      </c>
      <c r="C1199">
        <v>2050</v>
      </c>
      <c r="D1199" s="34" t="s">
        <v>346</v>
      </c>
      <c r="E1199" s="34" t="s">
        <v>404</v>
      </c>
      <c r="F1199" s="34" t="s">
        <v>617</v>
      </c>
      <c r="G1199" s="34" t="s">
        <v>645</v>
      </c>
      <c r="H1199" s="34" t="s">
        <v>23</v>
      </c>
      <c r="I1199" s="34" t="s">
        <v>19</v>
      </c>
      <c r="J1199" s="34" t="s">
        <v>24</v>
      </c>
      <c r="K1199" s="34" t="s">
        <v>49</v>
      </c>
      <c r="L1199" s="34" t="s">
        <v>47</v>
      </c>
      <c r="M1199">
        <v>57.231450179784062</v>
      </c>
    </row>
    <row r="1200" spans="1:13" x14ac:dyDescent="0.3">
      <c r="A1200" s="34" t="s">
        <v>662</v>
      </c>
      <c r="B1200">
        <v>-1</v>
      </c>
      <c r="C1200">
        <v>2050</v>
      </c>
      <c r="D1200" s="34" t="s">
        <v>346</v>
      </c>
      <c r="E1200" s="34" t="s">
        <v>405</v>
      </c>
      <c r="F1200" s="34" t="s">
        <v>618</v>
      </c>
      <c r="G1200" s="34" t="s">
        <v>43</v>
      </c>
      <c r="H1200" s="34" t="s">
        <v>40</v>
      </c>
      <c r="I1200" s="34" t="s">
        <v>19</v>
      </c>
      <c r="J1200" s="34" t="s">
        <v>27</v>
      </c>
      <c r="K1200" s="34" t="s">
        <v>46</v>
      </c>
      <c r="L1200" s="34" t="s">
        <v>47</v>
      </c>
      <c r="M1200">
        <v>4.422879148152</v>
      </c>
    </row>
    <row r="1201" spans="1:13" x14ac:dyDescent="0.3">
      <c r="A1201" s="34" t="s">
        <v>662</v>
      </c>
      <c r="B1201">
        <v>-1</v>
      </c>
      <c r="C1201">
        <v>2050</v>
      </c>
      <c r="D1201" s="34" t="s">
        <v>346</v>
      </c>
      <c r="E1201" s="34" t="s">
        <v>405</v>
      </c>
      <c r="F1201" s="34" t="s">
        <v>618</v>
      </c>
      <c r="G1201" s="34" t="s">
        <v>43</v>
      </c>
      <c r="H1201" s="34" t="s">
        <v>40</v>
      </c>
      <c r="I1201" s="34" t="s">
        <v>19</v>
      </c>
      <c r="J1201" s="34" t="s">
        <v>27</v>
      </c>
      <c r="K1201" s="34" t="s">
        <v>48</v>
      </c>
      <c r="L1201" s="34" t="s">
        <v>47</v>
      </c>
      <c r="M1201">
        <v>-4.4228791481520009</v>
      </c>
    </row>
    <row r="1202" spans="1:13" x14ac:dyDescent="0.3">
      <c r="A1202" s="34" t="s">
        <v>662</v>
      </c>
      <c r="B1202">
        <v>-1</v>
      </c>
      <c r="C1202">
        <v>2050</v>
      </c>
      <c r="D1202" s="34" t="s">
        <v>346</v>
      </c>
      <c r="E1202" s="34" t="s">
        <v>405</v>
      </c>
      <c r="F1202" s="34" t="s">
        <v>618</v>
      </c>
      <c r="G1202" s="34" t="s">
        <v>247</v>
      </c>
      <c r="H1202" s="34" t="s">
        <v>209</v>
      </c>
      <c r="I1202" s="34" t="s">
        <v>19</v>
      </c>
      <c r="J1202" s="34" t="s">
        <v>27</v>
      </c>
      <c r="K1202" s="34" t="s">
        <v>46</v>
      </c>
      <c r="L1202" s="34" t="s">
        <v>47</v>
      </c>
      <c r="M1202">
        <v>0.1167580315</v>
      </c>
    </row>
    <row r="1203" spans="1:13" x14ac:dyDescent="0.3">
      <c r="A1203" s="34" t="s">
        <v>662</v>
      </c>
      <c r="B1203">
        <v>-1</v>
      </c>
      <c r="C1203">
        <v>2050</v>
      </c>
      <c r="D1203" s="34" t="s">
        <v>346</v>
      </c>
      <c r="E1203" s="34" t="s">
        <v>405</v>
      </c>
      <c r="F1203" s="34" t="s">
        <v>618</v>
      </c>
      <c r="G1203" s="34" t="s">
        <v>247</v>
      </c>
      <c r="H1203" s="34" t="s">
        <v>209</v>
      </c>
      <c r="I1203" s="34" t="s">
        <v>19</v>
      </c>
      <c r="J1203" s="34" t="s">
        <v>27</v>
      </c>
      <c r="K1203" s="34" t="s">
        <v>48</v>
      </c>
      <c r="L1203" s="34" t="s">
        <v>47</v>
      </c>
      <c r="M1203">
        <v>-0.1167580315</v>
      </c>
    </row>
    <row r="1204" spans="1:13" x14ac:dyDescent="0.3">
      <c r="A1204" s="34" t="s">
        <v>662</v>
      </c>
      <c r="B1204">
        <v>-1</v>
      </c>
      <c r="C1204">
        <v>2050</v>
      </c>
      <c r="D1204" s="34" t="s">
        <v>346</v>
      </c>
      <c r="E1204" s="34" t="s">
        <v>405</v>
      </c>
      <c r="F1204" s="34" t="s">
        <v>618</v>
      </c>
      <c r="G1204" s="34" t="s">
        <v>282</v>
      </c>
      <c r="H1204" s="34" t="s">
        <v>237</v>
      </c>
      <c r="I1204" s="34" t="s">
        <v>19</v>
      </c>
      <c r="J1204" s="34" t="s">
        <v>27</v>
      </c>
      <c r="K1204" s="34" t="s">
        <v>46</v>
      </c>
      <c r="L1204" s="34" t="s">
        <v>47</v>
      </c>
      <c r="M1204">
        <v>0.36509175013400003</v>
      </c>
    </row>
    <row r="1205" spans="1:13" x14ac:dyDescent="0.3">
      <c r="A1205" s="34" t="s">
        <v>662</v>
      </c>
      <c r="B1205">
        <v>-1</v>
      </c>
      <c r="C1205">
        <v>2050</v>
      </c>
      <c r="D1205" s="34" t="s">
        <v>346</v>
      </c>
      <c r="E1205" s="34" t="s">
        <v>405</v>
      </c>
      <c r="F1205" s="34" t="s">
        <v>618</v>
      </c>
      <c r="G1205" s="34" t="s">
        <v>282</v>
      </c>
      <c r="H1205" s="34" t="s">
        <v>237</v>
      </c>
      <c r="I1205" s="34" t="s">
        <v>19</v>
      </c>
      <c r="J1205" s="34" t="s">
        <v>27</v>
      </c>
      <c r="K1205" s="34" t="s">
        <v>48</v>
      </c>
      <c r="L1205" s="34" t="s">
        <v>47</v>
      </c>
      <c r="M1205">
        <v>-0.36509175013399991</v>
      </c>
    </row>
    <row r="1206" spans="1:13" x14ac:dyDescent="0.3">
      <c r="A1206" s="34" t="s">
        <v>662</v>
      </c>
      <c r="B1206">
        <v>-1</v>
      </c>
      <c r="C1206">
        <v>2050</v>
      </c>
      <c r="D1206" s="34" t="s">
        <v>346</v>
      </c>
      <c r="E1206" s="34" t="s">
        <v>405</v>
      </c>
      <c r="F1206" s="34" t="s">
        <v>618</v>
      </c>
      <c r="G1206" s="34" t="s">
        <v>28</v>
      </c>
      <c r="H1206" s="34" t="s">
        <v>23</v>
      </c>
      <c r="I1206" s="34" t="s">
        <v>19</v>
      </c>
      <c r="J1206" s="34" t="s">
        <v>24</v>
      </c>
      <c r="K1206" s="34" t="s">
        <v>46</v>
      </c>
      <c r="L1206" s="34" t="s">
        <v>47</v>
      </c>
      <c r="M1206">
        <v>1.8411812000000001</v>
      </c>
    </row>
    <row r="1207" spans="1:13" x14ac:dyDescent="0.3">
      <c r="A1207" s="34" t="s">
        <v>662</v>
      </c>
      <c r="B1207">
        <v>-1</v>
      </c>
      <c r="C1207">
        <v>2050</v>
      </c>
      <c r="D1207" s="34" t="s">
        <v>346</v>
      </c>
      <c r="E1207" s="34" t="s">
        <v>405</v>
      </c>
      <c r="F1207" s="34" t="s">
        <v>618</v>
      </c>
      <c r="G1207" s="34" t="s">
        <v>28</v>
      </c>
      <c r="H1207" s="34" t="s">
        <v>23</v>
      </c>
      <c r="I1207" s="34" t="s">
        <v>19</v>
      </c>
      <c r="J1207" s="34" t="s">
        <v>24</v>
      </c>
      <c r="K1207" s="34" t="s">
        <v>48</v>
      </c>
      <c r="L1207" s="34" t="s">
        <v>47</v>
      </c>
      <c r="M1207">
        <v>-1.8411812000000005</v>
      </c>
    </row>
    <row r="1208" spans="1:13" x14ac:dyDescent="0.3">
      <c r="A1208" s="34" t="s">
        <v>662</v>
      </c>
      <c r="B1208">
        <v>-1</v>
      </c>
      <c r="C1208">
        <v>2050</v>
      </c>
      <c r="D1208" s="34" t="s">
        <v>346</v>
      </c>
      <c r="E1208" s="34" t="s">
        <v>405</v>
      </c>
      <c r="F1208" s="34" t="s">
        <v>618</v>
      </c>
      <c r="G1208" s="34" t="s">
        <v>31</v>
      </c>
      <c r="H1208" s="34" t="s">
        <v>18</v>
      </c>
      <c r="I1208" s="34" t="s">
        <v>19</v>
      </c>
      <c r="J1208" s="34" t="s">
        <v>32</v>
      </c>
      <c r="K1208" s="34" t="s">
        <v>46</v>
      </c>
      <c r="L1208" s="34" t="s">
        <v>47</v>
      </c>
      <c r="M1208">
        <v>6.2829066195999997E-2</v>
      </c>
    </row>
    <row r="1209" spans="1:13" x14ac:dyDescent="0.3">
      <c r="A1209" s="34" t="s">
        <v>662</v>
      </c>
      <c r="B1209">
        <v>-1</v>
      </c>
      <c r="C1209">
        <v>2050</v>
      </c>
      <c r="D1209" s="34" t="s">
        <v>346</v>
      </c>
      <c r="E1209" s="34" t="s">
        <v>405</v>
      </c>
      <c r="F1209" s="34" t="s">
        <v>618</v>
      </c>
      <c r="G1209" s="34" t="s">
        <v>185</v>
      </c>
      <c r="H1209" s="34" t="s">
        <v>18</v>
      </c>
      <c r="I1209" s="34" t="s">
        <v>19</v>
      </c>
      <c r="J1209" s="34" t="s">
        <v>32</v>
      </c>
      <c r="K1209" s="34" t="s">
        <v>46</v>
      </c>
      <c r="L1209" s="34" t="s">
        <v>47</v>
      </c>
      <c r="M1209">
        <v>4.886840387E-2</v>
      </c>
    </row>
    <row r="1210" spans="1:13" x14ac:dyDescent="0.3">
      <c r="A1210" s="34" t="s">
        <v>662</v>
      </c>
      <c r="B1210">
        <v>-1</v>
      </c>
      <c r="C1210">
        <v>2050</v>
      </c>
      <c r="D1210" s="34" t="s">
        <v>346</v>
      </c>
      <c r="E1210" s="34" t="s">
        <v>405</v>
      </c>
      <c r="F1210" s="34" t="s">
        <v>618</v>
      </c>
      <c r="G1210" s="34" t="s">
        <v>180</v>
      </c>
      <c r="H1210" s="34" t="s">
        <v>18</v>
      </c>
      <c r="I1210" s="34" t="s">
        <v>19</v>
      </c>
      <c r="J1210" s="34" t="s">
        <v>181</v>
      </c>
      <c r="K1210" s="34" t="s">
        <v>46</v>
      </c>
      <c r="L1210" s="34" t="s">
        <v>47</v>
      </c>
      <c r="M1210">
        <v>0.15540517574400001</v>
      </c>
    </row>
    <row r="1211" spans="1:13" x14ac:dyDescent="0.3">
      <c r="A1211" s="34" t="s">
        <v>662</v>
      </c>
      <c r="B1211">
        <v>-1</v>
      </c>
      <c r="C1211">
        <v>2050</v>
      </c>
      <c r="D1211" s="34" t="s">
        <v>346</v>
      </c>
      <c r="E1211" s="34" t="s">
        <v>405</v>
      </c>
      <c r="F1211" s="34" t="s">
        <v>618</v>
      </c>
      <c r="G1211" s="34" t="s">
        <v>54</v>
      </c>
      <c r="H1211" s="34" t="s">
        <v>39</v>
      </c>
      <c r="I1211" s="34" t="s">
        <v>19</v>
      </c>
      <c r="J1211" s="34" t="s">
        <v>27</v>
      </c>
      <c r="K1211" s="34" t="s">
        <v>46</v>
      </c>
      <c r="L1211" s="34" t="s">
        <v>47</v>
      </c>
      <c r="M1211">
        <v>0.54719182180799997</v>
      </c>
    </row>
    <row r="1212" spans="1:13" x14ac:dyDescent="0.3">
      <c r="A1212" s="34" t="s">
        <v>662</v>
      </c>
      <c r="B1212">
        <v>-1</v>
      </c>
      <c r="C1212">
        <v>2050</v>
      </c>
      <c r="D1212" s="34" t="s">
        <v>346</v>
      </c>
      <c r="E1212" s="34" t="s">
        <v>405</v>
      </c>
      <c r="F1212" s="34" t="s">
        <v>618</v>
      </c>
      <c r="G1212" s="34" t="s">
        <v>54</v>
      </c>
      <c r="H1212" s="34" t="s">
        <v>39</v>
      </c>
      <c r="I1212" s="34" t="s">
        <v>19</v>
      </c>
      <c r="J1212" s="34" t="s">
        <v>27</v>
      </c>
      <c r="K1212" s="34" t="s">
        <v>48</v>
      </c>
      <c r="L1212" s="34" t="s">
        <v>47</v>
      </c>
      <c r="M1212">
        <v>-0.54719182180800008</v>
      </c>
    </row>
    <row r="1213" spans="1:13" x14ac:dyDescent="0.3">
      <c r="A1213" s="34" t="s">
        <v>662</v>
      </c>
      <c r="B1213">
        <v>-1</v>
      </c>
      <c r="C1213">
        <v>2050</v>
      </c>
      <c r="D1213" s="34" t="s">
        <v>346</v>
      </c>
      <c r="E1213" s="34" t="s">
        <v>405</v>
      </c>
      <c r="F1213" s="34" t="s">
        <v>618</v>
      </c>
      <c r="G1213" s="34" t="s">
        <v>276</v>
      </c>
      <c r="H1213" s="34" t="s">
        <v>237</v>
      </c>
      <c r="I1213" s="34" t="s">
        <v>19</v>
      </c>
      <c r="J1213" s="34" t="s">
        <v>27</v>
      </c>
      <c r="K1213" s="34" t="s">
        <v>46</v>
      </c>
      <c r="L1213" s="34" t="s">
        <v>47</v>
      </c>
      <c r="M1213">
        <v>0.36509175013400003</v>
      </c>
    </row>
    <row r="1214" spans="1:13" x14ac:dyDescent="0.3">
      <c r="A1214" s="34" t="s">
        <v>662</v>
      </c>
      <c r="B1214">
        <v>-1</v>
      </c>
      <c r="C1214">
        <v>2050</v>
      </c>
      <c r="D1214" s="34" t="s">
        <v>346</v>
      </c>
      <c r="E1214" s="34" t="s">
        <v>405</v>
      </c>
      <c r="F1214" s="34" t="s">
        <v>618</v>
      </c>
      <c r="G1214" s="34" t="s">
        <v>276</v>
      </c>
      <c r="H1214" s="34" t="s">
        <v>237</v>
      </c>
      <c r="I1214" s="34" t="s">
        <v>19</v>
      </c>
      <c r="J1214" s="34" t="s">
        <v>27</v>
      </c>
      <c r="K1214" s="34" t="s">
        <v>48</v>
      </c>
      <c r="L1214" s="34" t="s">
        <v>47</v>
      </c>
      <c r="M1214">
        <v>-0.36509175013399991</v>
      </c>
    </row>
    <row r="1215" spans="1:13" x14ac:dyDescent="0.3">
      <c r="A1215" s="34" t="s">
        <v>662</v>
      </c>
      <c r="B1215">
        <v>-1</v>
      </c>
      <c r="C1215">
        <v>2050</v>
      </c>
      <c r="D1215" s="34" t="s">
        <v>346</v>
      </c>
      <c r="E1215" s="34" t="s">
        <v>405</v>
      </c>
      <c r="F1215" s="34" t="s">
        <v>618</v>
      </c>
      <c r="G1215" s="34" t="s">
        <v>307</v>
      </c>
      <c r="H1215" s="34" t="s">
        <v>26</v>
      </c>
      <c r="I1215" s="34" t="s">
        <v>19</v>
      </c>
      <c r="J1215" s="34" t="s">
        <v>27</v>
      </c>
      <c r="K1215" s="34" t="s">
        <v>46</v>
      </c>
      <c r="L1215" s="34" t="s">
        <v>47</v>
      </c>
      <c r="M1215">
        <v>3.6003931167999999E-2</v>
      </c>
    </row>
    <row r="1216" spans="1:13" x14ac:dyDescent="0.3">
      <c r="A1216" s="34" t="s">
        <v>662</v>
      </c>
      <c r="B1216">
        <v>-1</v>
      </c>
      <c r="C1216">
        <v>2050</v>
      </c>
      <c r="D1216" s="34" t="s">
        <v>346</v>
      </c>
      <c r="E1216" s="34" t="s">
        <v>405</v>
      </c>
      <c r="F1216" s="34" t="s">
        <v>618</v>
      </c>
      <c r="G1216" s="34" t="s">
        <v>307</v>
      </c>
      <c r="H1216" s="34" t="s">
        <v>26</v>
      </c>
      <c r="I1216" s="34" t="s">
        <v>19</v>
      </c>
      <c r="J1216" s="34" t="s">
        <v>27</v>
      </c>
      <c r="K1216" s="34" t="s">
        <v>48</v>
      </c>
      <c r="L1216" s="34" t="s">
        <v>47</v>
      </c>
      <c r="M1216">
        <v>-3.6003931168000006E-2</v>
      </c>
    </row>
    <row r="1217" spans="1:13" x14ac:dyDescent="0.3">
      <c r="A1217" s="34" t="s">
        <v>662</v>
      </c>
      <c r="B1217">
        <v>-1</v>
      </c>
      <c r="C1217">
        <v>2050</v>
      </c>
      <c r="D1217" s="34" t="s">
        <v>346</v>
      </c>
      <c r="E1217" s="34" t="s">
        <v>405</v>
      </c>
      <c r="F1217" s="34" t="s">
        <v>618</v>
      </c>
      <c r="G1217" s="34" t="s">
        <v>52</v>
      </c>
      <c r="H1217" s="34" t="s">
        <v>53</v>
      </c>
      <c r="I1217" s="34" t="s">
        <v>19</v>
      </c>
      <c r="J1217" s="34" t="s">
        <v>27</v>
      </c>
      <c r="K1217" s="34" t="s">
        <v>46</v>
      </c>
      <c r="L1217" s="34" t="s">
        <v>47</v>
      </c>
      <c r="M1217">
        <v>0.13238237898800001</v>
      </c>
    </row>
    <row r="1218" spans="1:13" x14ac:dyDescent="0.3">
      <c r="A1218" s="34" t="s">
        <v>662</v>
      </c>
      <c r="B1218">
        <v>-1</v>
      </c>
      <c r="C1218">
        <v>2050</v>
      </c>
      <c r="D1218" s="34" t="s">
        <v>346</v>
      </c>
      <c r="E1218" s="34" t="s">
        <v>405</v>
      </c>
      <c r="F1218" s="34" t="s">
        <v>618</v>
      </c>
      <c r="G1218" s="34" t="s">
        <v>52</v>
      </c>
      <c r="H1218" s="34" t="s">
        <v>53</v>
      </c>
      <c r="I1218" s="34" t="s">
        <v>19</v>
      </c>
      <c r="J1218" s="34" t="s">
        <v>27</v>
      </c>
      <c r="K1218" s="34" t="s">
        <v>48</v>
      </c>
      <c r="L1218" s="34" t="s">
        <v>47</v>
      </c>
      <c r="M1218">
        <v>-0.13238237898800001</v>
      </c>
    </row>
    <row r="1219" spans="1:13" x14ac:dyDescent="0.3">
      <c r="A1219" s="34" t="s">
        <v>662</v>
      </c>
      <c r="B1219">
        <v>-1</v>
      </c>
      <c r="C1219">
        <v>2050</v>
      </c>
      <c r="D1219" s="34" t="s">
        <v>346</v>
      </c>
      <c r="E1219" s="34" t="s">
        <v>405</v>
      </c>
      <c r="F1219" s="34" t="s">
        <v>618</v>
      </c>
      <c r="G1219" s="34" t="s">
        <v>29</v>
      </c>
      <c r="H1219" s="34" t="s">
        <v>21</v>
      </c>
      <c r="I1219" s="34" t="s">
        <v>19</v>
      </c>
      <c r="J1219" s="34" t="s">
        <v>22</v>
      </c>
      <c r="K1219" s="34" t="s">
        <v>46</v>
      </c>
      <c r="L1219" s="34" t="s">
        <v>47</v>
      </c>
      <c r="M1219">
        <v>0.78495545850000015</v>
      </c>
    </row>
    <row r="1220" spans="1:13" x14ac:dyDescent="0.3">
      <c r="A1220" s="34" t="s">
        <v>662</v>
      </c>
      <c r="B1220">
        <v>-1</v>
      </c>
      <c r="C1220">
        <v>2050</v>
      </c>
      <c r="D1220" s="34" t="s">
        <v>346</v>
      </c>
      <c r="E1220" s="34" t="s">
        <v>405</v>
      </c>
      <c r="F1220" s="34" t="s">
        <v>618</v>
      </c>
      <c r="G1220" s="34" t="s">
        <v>29</v>
      </c>
      <c r="H1220" s="34" t="s">
        <v>21</v>
      </c>
      <c r="I1220" s="34" t="s">
        <v>19</v>
      </c>
      <c r="J1220" s="34" t="s">
        <v>22</v>
      </c>
      <c r="K1220" s="34" t="s">
        <v>48</v>
      </c>
      <c r="L1220" s="34" t="s">
        <v>47</v>
      </c>
      <c r="M1220">
        <v>-0.78495545850000015</v>
      </c>
    </row>
    <row r="1221" spans="1:13" x14ac:dyDescent="0.3">
      <c r="A1221" s="34" t="s">
        <v>662</v>
      </c>
      <c r="B1221">
        <v>-1</v>
      </c>
      <c r="C1221">
        <v>2050</v>
      </c>
      <c r="D1221" s="34" t="s">
        <v>346</v>
      </c>
      <c r="E1221" s="34" t="s">
        <v>405</v>
      </c>
      <c r="F1221" s="34" t="s">
        <v>618</v>
      </c>
      <c r="G1221" s="34" t="s">
        <v>20</v>
      </c>
      <c r="H1221" s="34" t="s">
        <v>21</v>
      </c>
      <c r="I1221" s="34" t="s">
        <v>19</v>
      </c>
      <c r="J1221" s="34" t="s">
        <v>22</v>
      </c>
      <c r="K1221" s="34" t="s">
        <v>46</v>
      </c>
      <c r="L1221" s="34" t="s">
        <v>47</v>
      </c>
      <c r="M1221">
        <v>1.70073682675</v>
      </c>
    </row>
    <row r="1222" spans="1:13" x14ac:dyDescent="0.3">
      <c r="A1222" s="34" t="s">
        <v>662</v>
      </c>
      <c r="B1222">
        <v>-1</v>
      </c>
      <c r="C1222">
        <v>2050</v>
      </c>
      <c r="D1222" s="34" t="s">
        <v>346</v>
      </c>
      <c r="E1222" s="34" t="s">
        <v>405</v>
      </c>
      <c r="F1222" s="34" t="s">
        <v>618</v>
      </c>
      <c r="G1222" s="34" t="s">
        <v>20</v>
      </c>
      <c r="H1222" s="34" t="s">
        <v>21</v>
      </c>
      <c r="I1222" s="34" t="s">
        <v>19</v>
      </c>
      <c r="J1222" s="34" t="s">
        <v>22</v>
      </c>
      <c r="K1222" s="34" t="s">
        <v>48</v>
      </c>
      <c r="L1222" s="34" t="s">
        <v>47</v>
      </c>
      <c r="M1222">
        <v>-1.7007368267499996</v>
      </c>
    </row>
    <row r="1223" spans="1:13" x14ac:dyDescent="0.3">
      <c r="A1223" s="34" t="s">
        <v>662</v>
      </c>
      <c r="B1223">
        <v>-1</v>
      </c>
      <c r="C1223">
        <v>2050</v>
      </c>
      <c r="D1223" s="34" t="s">
        <v>346</v>
      </c>
      <c r="E1223" s="34" t="s">
        <v>405</v>
      </c>
      <c r="F1223" s="34" t="s">
        <v>618</v>
      </c>
      <c r="G1223" s="34" t="s">
        <v>30</v>
      </c>
      <c r="H1223" s="34" t="s">
        <v>21</v>
      </c>
      <c r="I1223" s="34" t="s">
        <v>19</v>
      </c>
      <c r="J1223" s="34" t="s">
        <v>22</v>
      </c>
      <c r="K1223" s="34" t="s">
        <v>46</v>
      </c>
      <c r="L1223" s="34" t="s">
        <v>47</v>
      </c>
      <c r="M1223">
        <v>0.13082590975000002</v>
      </c>
    </row>
    <row r="1224" spans="1:13" x14ac:dyDescent="0.3">
      <c r="A1224" s="34" t="s">
        <v>662</v>
      </c>
      <c r="B1224">
        <v>-1</v>
      </c>
      <c r="C1224">
        <v>2050</v>
      </c>
      <c r="D1224" s="34" t="s">
        <v>346</v>
      </c>
      <c r="E1224" s="34" t="s">
        <v>405</v>
      </c>
      <c r="F1224" s="34" t="s">
        <v>618</v>
      </c>
      <c r="G1224" s="34" t="s">
        <v>30</v>
      </c>
      <c r="H1224" s="34" t="s">
        <v>21</v>
      </c>
      <c r="I1224" s="34" t="s">
        <v>19</v>
      </c>
      <c r="J1224" s="34" t="s">
        <v>22</v>
      </c>
      <c r="K1224" s="34" t="s">
        <v>48</v>
      </c>
      <c r="L1224" s="34" t="s">
        <v>47</v>
      </c>
      <c r="M1224">
        <v>-0.13082590975000002</v>
      </c>
    </row>
    <row r="1225" spans="1:13" x14ac:dyDescent="0.3">
      <c r="A1225" s="34" t="s">
        <v>662</v>
      </c>
      <c r="B1225">
        <v>-1</v>
      </c>
      <c r="C1225">
        <v>2050</v>
      </c>
      <c r="D1225" s="34" t="s">
        <v>346</v>
      </c>
      <c r="E1225" s="34" t="s">
        <v>405</v>
      </c>
      <c r="F1225" s="34" t="s">
        <v>618</v>
      </c>
      <c r="G1225" s="34" t="s">
        <v>11</v>
      </c>
      <c r="H1225" s="34" t="s">
        <v>12</v>
      </c>
      <c r="I1225" s="34" t="s">
        <v>13</v>
      </c>
      <c r="J1225" s="34" t="s">
        <v>14</v>
      </c>
      <c r="K1225" s="34" t="s">
        <v>46</v>
      </c>
      <c r="L1225" s="34" t="s">
        <v>47</v>
      </c>
      <c r="M1225">
        <v>0.5660429367119999</v>
      </c>
    </row>
    <row r="1226" spans="1:13" x14ac:dyDescent="0.3">
      <c r="A1226" s="34" t="s">
        <v>662</v>
      </c>
      <c r="B1226">
        <v>-1</v>
      </c>
      <c r="C1226">
        <v>2050</v>
      </c>
      <c r="D1226" s="34" t="s">
        <v>346</v>
      </c>
      <c r="E1226" s="34" t="s">
        <v>405</v>
      </c>
      <c r="F1226" s="34" t="s">
        <v>618</v>
      </c>
      <c r="G1226" s="34" t="s">
        <v>11</v>
      </c>
      <c r="H1226" s="34" t="s">
        <v>12</v>
      </c>
      <c r="I1226" s="34" t="s">
        <v>13</v>
      </c>
      <c r="J1226" s="34" t="s">
        <v>14</v>
      </c>
      <c r="K1226" s="34" t="s">
        <v>48</v>
      </c>
      <c r="L1226" s="34" t="s">
        <v>47</v>
      </c>
      <c r="M1226">
        <v>-0.14146827671199982</v>
      </c>
    </row>
    <row r="1227" spans="1:13" x14ac:dyDescent="0.3">
      <c r="A1227" s="34" t="s">
        <v>662</v>
      </c>
      <c r="B1227">
        <v>-1</v>
      </c>
      <c r="C1227">
        <v>2050</v>
      </c>
      <c r="D1227" s="34" t="s">
        <v>346</v>
      </c>
      <c r="E1227" s="34" t="s">
        <v>405</v>
      </c>
      <c r="F1227" s="34" t="s">
        <v>618</v>
      </c>
      <c r="G1227" s="34" t="s">
        <v>16</v>
      </c>
      <c r="H1227" s="34" t="s">
        <v>12</v>
      </c>
      <c r="I1227" s="34" t="s">
        <v>13</v>
      </c>
      <c r="J1227" s="34" t="s">
        <v>14</v>
      </c>
      <c r="K1227" s="34" t="s">
        <v>49</v>
      </c>
      <c r="L1227" s="34" t="s">
        <v>47</v>
      </c>
      <c r="M1227">
        <v>15.052008367507653</v>
      </c>
    </row>
    <row r="1228" spans="1:13" x14ac:dyDescent="0.3">
      <c r="A1228" s="34" t="s">
        <v>662</v>
      </c>
      <c r="B1228">
        <v>-1</v>
      </c>
      <c r="C1228">
        <v>2050</v>
      </c>
      <c r="D1228" s="34" t="s">
        <v>346</v>
      </c>
      <c r="E1228" s="34" t="s">
        <v>405</v>
      </c>
      <c r="F1228" s="34" t="s">
        <v>618</v>
      </c>
      <c r="G1228" s="34" t="s">
        <v>41</v>
      </c>
      <c r="H1228" s="34" t="s">
        <v>40</v>
      </c>
      <c r="I1228" s="34" t="s">
        <v>13</v>
      </c>
      <c r="J1228" s="34" t="s">
        <v>42</v>
      </c>
      <c r="K1228" s="34" t="s">
        <v>46</v>
      </c>
      <c r="L1228" s="34" t="s">
        <v>47</v>
      </c>
      <c r="M1228">
        <v>0.22073649666182321</v>
      </c>
    </row>
    <row r="1229" spans="1:13" x14ac:dyDescent="0.3">
      <c r="A1229" s="34" t="s">
        <v>662</v>
      </c>
      <c r="B1229">
        <v>-1</v>
      </c>
      <c r="C1229">
        <v>2050</v>
      </c>
      <c r="D1229" s="34" t="s">
        <v>346</v>
      </c>
      <c r="E1229" s="34" t="s">
        <v>405</v>
      </c>
      <c r="F1229" s="34" t="s">
        <v>618</v>
      </c>
      <c r="G1229" s="34" t="s">
        <v>41</v>
      </c>
      <c r="H1229" s="34" t="s">
        <v>40</v>
      </c>
      <c r="I1229" s="34" t="s">
        <v>13</v>
      </c>
      <c r="J1229" s="34" t="s">
        <v>42</v>
      </c>
      <c r="K1229" s="34" t="s">
        <v>48</v>
      </c>
      <c r="L1229" s="34" t="s">
        <v>47</v>
      </c>
      <c r="M1229">
        <v>-0.22073649666182321</v>
      </c>
    </row>
    <row r="1230" spans="1:13" x14ac:dyDescent="0.3">
      <c r="A1230" s="34" t="s">
        <v>662</v>
      </c>
      <c r="B1230">
        <v>-1</v>
      </c>
      <c r="C1230">
        <v>2050</v>
      </c>
      <c r="D1230" s="34" t="s">
        <v>346</v>
      </c>
      <c r="E1230" s="34" t="s">
        <v>405</v>
      </c>
      <c r="F1230" s="34" t="s">
        <v>618</v>
      </c>
      <c r="G1230" s="34" t="s">
        <v>644</v>
      </c>
      <c r="H1230" s="34" t="s">
        <v>21</v>
      </c>
      <c r="I1230" s="34" t="s">
        <v>19</v>
      </c>
      <c r="J1230" s="34" t="s">
        <v>22</v>
      </c>
      <c r="K1230" s="34" t="s">
        <v>49</v>
      </c>
      <c r="L1230" s="34" t="s">
        <v>47</v>
      </c>
      <c r="M1230">
        <v>36.891685318484235</v>
      </c>
    </row>
    <row r="1231" spans="1:13" x14ac:dyDescent="0.3">
      <c r="A1231" s="34" t="s">
        <v>662</v>
      </c>
      <c r="B1231">
        <v>-1</v>
      </c>
      <c r="C1231">
        <v>2050</v>
      </c>
      <c r="D1231" s="34" t="s">
        <v>346</v>
      </c>
      <c r="E1231" s="34" t="s">
        <v>405</v>
      </c>
      <c r="F1231" s="34" t="s">
        <v>618</v>
      </c>
      <c r="G1231" s="34" t="s">
        <v>645</v>
      </c>
      <c r="H1231" s="34" t="s">
        <v>23</v>
      </c>
      <c r="I1231" s="34" t="s">
        <v>19</v>
      </c>
      <c r="J1231" s="34" t="s">
        <v>24</v>
      </c>
      <c r="K1231" s="34" t="s">
        <v>49</v>
      </c>
      <c r="L1231" s="34" t="s">
        <v>47</v>
      </c>
      <c r="M1231">
        <v>11.83088012215971</v>
      </c>
    </row>
    <row r="1232" spans="1:13" x14ac:dyDescent="0.3">
      <c r="A1232" s="34" t="s">
        <v>662</v>
      </c>
      <c r="B1232">
        <v>-1</v>
      </c>
      <c r="C1232">
        <v>2050</v>
      </c>
      <c r="D1232" s="34" t="s">
        <v>346</v>
      </c>
      <c r="E1232" s="34" t="s">
        <v>406</v>
      </c>
      <c r="F1232" s="34" t="s">
        <v>619</v>
      </c>
      <c r="G1232" s="34" t="s">
        <v>43</v>
      </c>
      <c r="H1232" s="34" t="s">
        <v>40</v>
      </c>
      <c r="I1232" s="34" t="s">
        <v>19</v>
      </c>
      <c r="J1232" s="34" t="s">
        <v>27</v>
      </c>
      <c r="K1232" s="34" t="s">
        <v>46</v>
      </c>
      <c r="L1232" s="34" t="s">
        <v>47</v>
      </c>
      <c r="M1232">
        <v>1.863527751486</v>
      </c>
    </row>
    <row r="1233" spans="1:13" x14ac:dyDescent="0.3">
      <c r="A1233" s="34" t="s">
        <v>662</v>
      </c>
      <c r="B1233">
        <v>-1</v>
      </c>
      <c r="C1233">
        <v>2050</v>
      </c>
      <c r="D1233" s="34" t="s">
        <v>346</v>
      </c>
      <c r="E1233" s="34" t="s">
        <v>406</v>
      </c>
      <c r="F1233" s="34" t="s">
        <v>619</v>
      </c>
      <c r="G1233" s="34" t="s">
        <v>43</v>
      </c>
      <c r="H1233" s="34" t="s">
        <v>40</v>
      </c>
      <c r="I1233" s="34" t="s">
        <v>19</v>
      </c>
      <c r="J1233" s="34" t="s">
        <v>27</v>
      </c>
      <c r="K1233" s="34" t="s">
        <v>48</v>
      </c>
      <c r="L1233" s="34" t="s">
        <v>47</v>
      </c>
      <c r="M1233">
        <v>-1.8635277514859996</v>
      </c>
    </row>
    <row r="1234" spans="1:13" x14ac:dyDescent="0.3">
      <c r="A1234" s="34" t="s">
        <v>662</v>
      </c>
      <c r="B1234">
        <v>-1</v>
      </c>
      <c r="C1234">
        <v>2050</v>
      </c>
      <c r="D1234" s="34" t="s">
        <v>346</v>
      </c>
      <c r="E1234" s="34" t="s">
        <v>406</v>
      </c>
      <c r="F1234" s="34" t="s">
        <v>619</v>
      </c>
      <c r="G1234" s="34" t="s">
        <v>247</v>
      </c>
      <c r="H1234" s="34" t="s">
        <v>209</v>
      </c>
      <c r="I1234" s="34" t="s">
        <v>19</v>
      </c>
      <c r="J1234" s="34" t="s">
        <v>27</v>
      </c>
      <c r="K1234" s="34" t="s">
        <v>46</v>
      </c>
      <c r="L1234" s="34" t="s">
        <v>47</v>
      </c>
      <c r="M1234">
        <v>4.9194613875000001E-2</v>
      </c>
    </row>
    <row r="1235" spans="1:13" x14ac:dyDescent="0.3">
      <c r="A1235" s="34" t="s">
        <v>662</v>
      </c>
      <c r="B1235">
        <v>-1</v>
      </c>
      <c r="C1235">
        <v>2050</v>
      </c>
      <c r="D1235" s="34" t="s">
        <v>346</v>
      </c>
      <c r="E1235" s="34" t="s">
        <v>406</v>
      </c>
      <c r="F1235" s="34" t="s">
        <v>619</v>
      </c>
      <c r="G1235" s="34" t="s">
        <v>247</v>
      </c>
      <c r="H1235" s="34" t="s">
        <v>209</v>
      </c>
      <c r="I1235" s="34" t="s">
        <v>19</v>
      </c>
      <c r="J1235" s="34" t="s">
        <v>27</v>
      </c>
      <c r="K1235" s="34" t="s">
        <v>48</v>
      </c>
      <c r="L1235" s="34" t="s">
        <v>47</v>
      </c>
      <c r="M1235">
        <v>-4.9194613875000008E-2</v>
      </c>
    </row>
    <row r="1236" spans="1:13" x14ac:dyDescent="0.3">
      <c r="A1236" s="34" t="s">
        <v>662</v>
      </c>
      <c r="B1236">
        <v>-1</v>
      </c>
      <c r="C1236">
        <v>2050</v>
      </c>
      <c r="D1236" s="34" t="s">
        <v>346</v>
      </c>
      <c r="E1236" s="34" t="s">
        <v>406</v>
      </c>
      <c r="F1236" s="34" t="s">
        <v>619</v>
      </c>
      <c r="G1236" s="34" t="s">
        <v>282</v>
      </c>
      <c r="H1236" s="34" t="s">
        <v>237</v>
      </c>
      <c r="I1236" s="34" t="s">
        <v>19</v>
      </c>
      <c r="J1236" s="34" t="s">
        <v>27</v>
      </c>
      <c r="K1236" s="34" t="s">
        <v>46</v>
      </c>
      <c r="L1236" s="34" t="s">
        <v>47</v>
      </c>
      <c r="M1236">
        <v>0.15382708534950001</v>
      </c>
    </row>
    <row r="1237" spans="1:13" x14ac:dyDescent="0.3">
      <c r="A1237" s="34" t="s">
        <v>662</v>
      </c>
      <c r="B1237">
        <v>-1</v>
      </c>
      <c r="C1237">
        <v>2050</v>
      </c>
      <c r="D1237" s="34" t="s">
        <v>346</v>
      </c>
      <c r="E1237" s="34" t="s">
        <v>406</v>
      </c>
      <c r="F1237" s="34" t="s">
        <v>619</v>
      </c>
      <c r="G1237" s="34" t="s">
        <v>282</v>
      </c>
      <c r="H1237" s="34" t="s">
        <v>237</v>
      </c>
      <c r="I1237" s="34" t="s">
        <v>19</v>
      </c>
      <c r="J1237" s="34" t="s">
        <v>27</v>
      </c>
      <c r="K1237" s="34" t="s">
        <v>48</v>
      </c>
      <c r="L1237" s="34" t="s">
        <v>47</v>
      </c>
      <c r="M1237">
        <v>-0.15382708534949999</v>
      </c>
    </row>
    <row r="1238" spans="1:13" x14ac:dyDescent="0.3">
      <c r="A1238" s="34" t="s">
        <v>662</v>
      </c>
      <c r="B1238">
        <v>-1</v>
      </c>
      <c r="C1238">
        <v>2050</v>
      </c>
      <c r="D1238" s="34" t="s">
        <v>346</v>
      </c>
      <c r="E1238" s="34" t="s">
        <v>406</v>
      </c>
      <c r="F1238" s="34" t="s">
        <v>619</v>
      </c>
      <c r="G1238" s="34" t="s">
        <v>28</v>
      </c>
      <c r="H1238" s="34" t="s">
        <v>23</v>
      </c>
      <c r="I1238" s="34" t="s">
        <v>19</v>
      </c>
      <c r="J1238" s="34" t="s">
        <v>24</v>
      </c>
      <c r="K1238" s="34" t="s">
        <v>46</v>
      </c>
      <c r="L1238" s="34" t="s">
        <v>47</v>
      </c>
      <c r="M1238">
        <v>0.89815679999999998</v>
      </c>
    </row>
    <row r="1239" spans="1:13" x14ac:dyDescent="0.3">
      <c r="A1239" s="34" t="s">
        <v>662</v>
      </c>
      <c r="B1239">
        <v>-1</v>
      </c>
      <c r="C1239">
        <v>2050</v>
      </c>
      <c r="D1239" s="34" t="s">
        <v>346</v>
      </c>
      <c r="E1239" s="34" t="s">
        <v>406</v>
      </c>
      <c r="F1239" s="34" t="s">
        <v>619</v>
      </c>
      <c r="G1239" s="34" t="s">
        <v>28</v>
      </c>
      <c r="H1239" s="34" t="s">
        <v>23</v>
      </c>
      <c r="I1239" s="34" t="s">
        <v>19</v>
      </c>
      <c r="J1239" s="34" t="s">
        <v>24</v>
      </c>
      <c r="K1239" s="34" t="s">
        <v>48</v>
      </c>
      <c r="L1239" s="34" t="s">
        <v>47</v>
      </c>
      <c r="M1239">
        <v>-0.89815679999999987</v>
      </c>
    </row>
    <row r="1240" spans="1:13" x14ac:dyDescent="0.3">
      <c r="A1240" s="34" t="s">
        <v>662</v>
      </c>
      <c r="B1240">
        <v>-1</v>
      </c>
      <c r="C1240">
        <v>2050</v>
      </c>
      <c r="D1240" s="34" t="s">
        <v>346</v>
      </c>
      <c r="E1240" s="34" t="s">
        <v>406</v>
      </c>
      <c r="F1240" s="34" t="s">
        <v>619</v>
      </c>
      <c r="G1240" s="34" t="s">
        <v>31</v>
      </c>
      <c r="H1240" s="34" t="s">
        <v>18</v>
      </c>
      <c r="I1240" s="34" t="s">
        <v>19</v>
      </c>
      <c r="J1240" s="34" t="s">
        <v>32</v>
      </c>
      <c r="K1240" s="34" t="s">
        <v>46</v>
      </c>
      <c r="L1240" s="34" t="s">
        <v>47</v>
      </c>
      <c r="M1240">
        <v>4.6316297937999996E-2</v>
      </c>
    </row>
    <row r="1241" spans="1:13" x14ac:dyDescent="0.3">
      <c r="A1241" s="34" t="s">
        <v>662</v>
      </c>
      <c r="B1241">
        <v>-1</v>
      </c>
      <c r="C1241">
        <v>2050</v>
      </c>
      <c r="D1241" s="34" t="s">
        <v>346</v>
      </c>
      <c r="E1241" s="34" t="s">
        <v>406</v>
      </c>
      <c r="F1241" s="34" t="s">
        <v>619</v>
      </c>
      <c r="G1241" s="34" t="s">
        <v>185</v>
      </c>
      <c r="H1241" s="34" t="s">
        <v>18</v>
      </c>
      <c r="I1241" s="34" t="s">
        <v>19</v>
      </c>
      <c r="J1241" s="34" t="s">
        <v>32</v>
      </c>
      <c r="K1241" s="34" t="s">
        <v>46</v>
      </c>
      <c r="L1241" s="34" t="s">
        <v>47</v>
      </c>
      <c r="M1241">
        <v>3.6024784234999996E-2</v>
      </c>
    </row>
    <row r="1242" spans="1:13" x14ac:dyDescent="0.3">
      <c r="A1242" s="34" t="s">
        <v>662</v>
      </c>
      <c r="B1242">
        <v>-1</v>
      </c>
      <c r="C1242">
        <v>2050</v>
      </c>
      <c r="D1242" s="34" t="s">
        <v>346</v>
      </c>
      <c r="E1242" s="34" t="s">
        <v>406</v>
      </c>
      <c r="F1242" s="34" t="s">
        <v>619</v>
      </c>
      <c r="G1242" s="34" t="s">
        <v>180</v>
      </c>
      <c r="H1242" s="34" t="s">
        <v>18</v>
      </c>
      <c r="I1242" s="34" t="s">
        <v>19</v>
      </c>
      <c r="J1242" s="34" t="s">
        <v>181</v>
      </c>
      <c r="K1242" s="34" t="s">
        <v>46</v>
      </c>
      <c r="L1242" s="34" t="s">
        <v>47</v>
      </c>
      <c r="M1242">
        <v>0.11456150563199999</v>
      </c>
    </row>
    <row r="1243" spans="1:13" x14ac:dyDescent="0.3">
      <c r="A1243" s="34" t="s">
        <v>662</v>
      </c>
      <c r="B1243">
        <v>-1</v>
      </c>
      <c r="C1243">
        <v>2050</v>
      </c>
      <c r="D1243" s="34" t="s">
        <v>346</v>
      </c>
      <c r="E1243" s="34" t="s">
        <v>406</v>
      </c>
      <c r="F1243" s="34" t="s">
        <v>619</v>
      </c>
      <c r="G1243" s="34" t="s">
        <v>54</v>
      </c>
      <c r="H1243" s="34" t="s">
        <v>39</v>
      </c>
      <c r="I1243" s="34" t="s">
        <v>19</v>
      </c>
      <c r="J1243" s="34" t="s">
        <v>27</v>
      </c>
      <c r="K1243" s="34" t="s">
        <v>46</v>
      </c>
      <c r="L1243" s="34" t="s">
        <v>47</v>
      </c>
      <c r="M1243">
        <v>0.230552794044</v>
      </c>
    </row>
    <row r="1244" spans="1:13" x14ac:dyDescent="0.3">
      <c r="A1244" s="34" t="s">
        <v>662</v>
      </c>
      <c r="B1244">
        <v>-1</v>
      </c>
      <c r="C1244">
        <v>2050</v>
      </c>
      <c r="D1244" s="34" t="s">
        <v>346</v>
      </c>
      <c r="E1244" s="34" t="s">
        <v>406</v>
      </c>
      <c r="F1244" s="34" t="s">
        <v>619</v>
      </c>
      <c r="G1244" s="34" t="s">
        <v>54</v>
      </c>
      <c r="H1244" s="34" t="s">
        <v>39</v>
      </c>
      <c r="I1244" s="34" t="s">
        <v>19</v>
      </c>
      <c r="J1244" s="34" t="s">
        <v>27</v>
      </c>
      <c r="K1244" s="34" t="s">
        <v>48</v>
      </c>
      <c r="L1244" s="34" t="s">
        <v>47</v>
      </c>
      <c r="M1244">
        <v>-0.230552794044</v>
      </c>
    </row>
    <row r="1245" spans="1:13" x14ac:dyDescent="0.3">
      <c r="A1245" s="34" t="s">
        <v>662</v>
      </c>
      <c r="B1245">
        <v>-1</v>
      </c>
      <c r="C1245">
        <v>2050</v>
      </c>
      <c r="D1245" s="34" t="s">
        <v>346</v>
      </c>
      <c r="E1245" s="34" t="s">
        <v>406</v>
      </c>
      <c r="F1245" s="34" t="s">
        <v>619</v>
      </c>
      <c r="G1245" s="34" t="s">
        <v>276</v>
      </c>
      <c r="H1245" s="34" t="s">
        <v>237</v>
      </c>
      <c r="I1245" s="34" t="s">
        <v>19</v>
      </c>
      <c r="J1245" s="34" t="s">
        <v>27</v>
      </c>
      <c r="K1245" s="34" t="s">
        <v>46</v>
      </c>
      <c r="L1245" s="34" t="s">
        <v>47</v>
      </c>
      <c r="M1245">
        <v>0.15382708534950001</v>
      </c>
    </row>
    <row r="1246" spans="1:13" x14ac:dyDescent="0.3">
      <c r="A1246" s="34" t="s">
        <v>662</v>
      </c>
      <c r="B1246">
        <v>-1</v>
      </c>
      <c r="C1246">
        <v>2050</v>
      </c>
      <c r="D1246" s="34" t="s">
        <v>346</v>
      </c>
      <c r="E1246" s="34" t="s">
        <v>406</v>
      </c>
      <c r="F1246" s="34" t="s">
        <v>619</v>
      </c>
      <c r="G1246" s="34" t="s">
        <v>276</v>
      </c>
      <c r="H1246" s="34" t="s">
        <v>237</v>
      </c>
      <c r="I1246" s="34" t="s">
        <v>19</v>
      </c>
      <c r="J1246" s="34" t="s">
        <v>27</v>
      </c>
      <c r="K1246" s="34" t="s">
        <v>48</v>
      </c>
      <c r="L1246" s="34" t="s">
        <v>47</v>
      </c>
      <c r="M1246">
        <v>-0.15382708534949999</v>
      </c>
    </row>
    <row r="1247" spans="1:13" x14ac:dyDescent="0.3">
      <c r="A1247" s="34" t="s">
        <v>662</v>
      </c>
      <c r="B1247">
        <v>-1</v>
      </c>
      <c r="C1247">
        <v>2050</v>
      </c>
      <c r="D1247" s="34" t="s">
        <v>346</v>
      </c>
      <c r="E1247" s="34" t="s">
        <v>406</v>
      </c>
      <c r="F1247" s="34" t="s">
        <v>619</v>
      </c>
      <c r="G1247" s="34" t="s">
        <v>307</v>
      </c>
      <c r="H1247" s="34" t="s">
        <v>26</v>
      </c>
      <c r="I1247" s="34" t="s">
        <v>19</v>
      </c>
      <c r="J1247" s="34" t="s">
        <v>27</v>
      </c>
      <c r="K1247" s="34" t="s">
        <v>46</v>
      </c>
      <c r="L1247" s="34" t="s">
        <v>47</v>
      </c>
      <c r="M1247">
        <v>1.5169830024E-2</v>
      </c>
    </row>
    <row r="1248" spans="1:13" x14ac:dyDescent="0.3">
      <c r="A1248" s="34" t="s">
        <v>662</v>
      </c>
      <c r="B1248">
        <v>-1</v>
      </c>
      <c r="C1248">
        <v>2050</v>
      </c>
      <c r="D1248" s="34" t="s">
        <v>346</v>
      </c>
      <c r="E1248" s="34" t="s">
        <v>406</v>
      </c>
      <c r="F1248" s="34" t="s">
        <v>619</v>
      </c>
      <c r="G1248" s="34" t="s">
        <v>307</v>
      </c>
      <c r="H1248" s="34" t="s">
        <v>26</v>
      </c>
      <c r="I1248" s="34" t="s">
        <v>19</v>
      </c>
      <c r="J1248" s="34" t="s">
        <v>27</v>
      </c>
      <c r="K1248" s="34" t="s">
        <v>48</v>
      </c>
      <c r="L1248" s="34" t="s">
        <v>47</v>
      </c>
      <c r="M1248">
        <v>-1.5169830024E-2</v>
      </c>
    </row>
    <row r="1249" spans="1:13" x14ac:dyDescent="0.3">
      <c r="A1249" s="34" t="s">
        <v>662</v>
      </c>
      <c r="B1249">
        <v>-1</v>
      </c>
      <c r="C1249">
        <v>2050</v>
      </c>
      <c r="D1249" s="34" t="s">
        <v>346</v>
      </c>
      <c r="E1249" s="34" t="s">
        <v>406</v>
      </c>
      <c r="F1249" s="34" t="s">
        <v>619</v>
      </c>
      <c r="G1249" s="34" t="s">
        <v>52</v>
      </c>
      <c r="H1249" s="34" t="s">
        <v>53</v>
      </c>
      <c r="I1249" s="34" t="s">
        <v>19</v>
      </c>
      <c r="J1249" s="34" t="s">
        <v>27</v>
      </c>
      <c r="K1249" s="34" t="s">
        <v>46</v>
      </c>
      <c r="L1249" s="34" t="s">
        <v>47</v>
      </c>
      <c r="M1249">
        <v>5.5777747659000003E-2</v>
      </c>
    </row>
    <row r="1250" spans="1:13" x14ac:dyDescent="0.3">
      <c r="A1250" s="34" t="s">
        <v>662</v>
      </c>
      <c r="B1250">
        <v>-1</v>
      </c>
      <c r="C1250">
        <v>2050</v>
      </c>
      <c r="D1250" s="34" t="s">
        <v>346</v>
      </c>
      <c r="E1250" s="34" t="s">
        <v>406</v>
      </c>
      <c r="F1250" s="34" t="s">
        <v>619</v>
      </c>
      <c r="G1250" s="34" t="s">
        <v>52</v>
      </c>
      <c r="H1250" s="34" t="s">
        <v>53</v>
      </c>
      <c r="I1250" s="34" t="s">
        <v>19</v>
      </c>
      <c r="J1250" s="34" t="s">
        <v>27</v>
      </c>
      <c r="K1250" s="34" t="s">
        <v>48</v>
      </c>
      <c r="L1250" s="34" t="s">
        <v>47</v>
      </c>
      <c r="M1250">
        <v>-5.577774765900001E-2</v>
      </c>
    </row>
    <row r="1251" spans="1:13" x14ac:dyDescent="0.3">
      <c r="A1251" s="34" t="s">
        <v>662</v>
      </c>
      <c r="B1251">
        <v>-1</v>
      </c>
      <c r="C1251">
        <v>2050</v>
      </c>
      <c r="D1251" s="34" t="s">
        <v>346</v>
      </c>
      <c r="E1251" s="34" t="s">
        <v>406</v>
      </c>
      <c r="F1251" s="34" t="s">
        <v>619</v>
      </c>
      <c r="G1251" s="34" t="s">
        <v>29</v>
      </c>
      <c r="H1251" s="34" t="s">
        <v>21</v>
      </c>
      <c r="I1251" s="34" t="s">
        <v>19</v>
      </c>
      <c r="J1251" s="34" t="s">
        <v>22</v>
      </c>
      <c r="K1251" s="34" t="s">
        <v>46</v>
      </c>
      <c r="L1251" s="34" t="s">
        <v>47</v>
      </c>
      <c r="M1251">
        <v>0.30296525762999998</v>
      </c>
    </row>
    <row r="1252" spans="1:13" x14ac:dyDescent="0.3">
      <c r="A1252" s="34" t="s">
        <v>662</v>
      </c>
      <c r="B1252">
        <v>-1</v>
      </c>
      <c r="C1252">
        <v>2050</v>
      </c>
      <c r="D1252" s="34" t="s">
        <v>346</v>
      </c>
      <c r="E1252" s="34" t="s">
        <v>406</v>
      </c>
      <c r="F1252" s="34" t="s">
        <v>619</v>
      </c>
      <c r="G1252" s="34" t="s">
        <v>29</v>
      </c>
      <c r="H1252" s="34" t="s">
        <v>21</v>
      </c>
      <c r="I1252" s="34" t="s">
        <v>19</v>
      </c>
      <c r="J1252" s="34" t="s">
        <v>22</v>
      </c>
      <c r="K1252" s="34" t="s">
        <v>48</v>
      </c>
      <c r="L1252" s="34" t="s">
        <v>47</v>
      </c>
      <c r="M1252">
        <v>-0.30296525762999987</v>
      </c>
    </row>
    <row r="1253" spans="1:13" x14ac:dyDescent="0.3">
      <c r="A1253" s="34" t="s">
        <v>662</v>
      </c>
      <c r="B1253">
        <v>-1</v>
      </c>
      <c r="C1253">
        <v>2050</v>
      </c>
      <c r="D1253" s="34" t="s">
        <v>346</v>
      </c>
      <c r="E1253" s="34" t="s">
        <v>406</v>
      </c>
      <c r="F1253" s="34" t="s">
        <v>619</v>
      </c>
      <c r="G1253" s="34" t="s">
        <v>20</v>
      </c>
      <c r="H1253" s="34" t="s">
        <v>21</v>
      </c>
      <c r="I1253" s="34" t="s">
        <v>19</v>
      </c>
      <c r="J1253" s="34" t="s">
        <v>22</v>
      </c>
      <c r="K1253" s="34" t="s">
        <v>46</v>
      </c>
      <c r="L1253" s="34" t="s">
        <v>47</v>
      </c>
      <c r="M1253">
        <v>0.65642472486500003</v>
      </c>
    </row>
    <row r="1254" spans="1:13" x14ac:dyDescent="0.3">
      <c r="A1254" s="34" t="s">
        <v>662</v>
      </c>
      <c r="B1254">
        <v>-1</v>
      </c>
      <c r="C1254">
        <v>2050</v>
      </c>
      <c r="D1254" s="34" t="s">
        <v>346</v>
      </c>
      <c r="E1254" s="34" t="s">
        <v>406</v>
      </c>
      <c r="F1254" s="34" t="s">
        <v>619</v>
      </c>
      <c r="G1254" s="34" t="s">
        <v>20</v>
      </c>
      <c r="H1254" s="34" t="s">
        <v>21</v>
      </c>
      <c r="I1254" s="34" t="s">
        <v>19</v>
      </c>
      <c r="J1254" s="34" t="s">
        <v>22</v>
      </c>
      <c r="K1254" s="34" t="s">
        <v>48</v>
      </c>
      <c r="L1254" s="34" t="s">
        <v>47</v>
      </c>
      <c r="M1254">
        <v>-0.65642472486500014</v>
      </c>
    </row>
    <row r="1255" spans="1:13" x14ac:dyDescent="0.3">
      <c r="A1255" s="34" t="s">
        <v>662</v>
      </c>
      <c r="B1255">
        <v>-1</v>
      </c>
      <c r="C1255">
        <v>2050</v>
      </c>
      <c r="D1255" s="34" t="s">
        <v>346</v>
      </c>
      <c r="E1255" s="34" t="s">
        <v>406</v>
      </c>
      <c r="F1255" s="34" t="s">
        <v>619</v>
      </c>
      <c r="G1255" s="34" t="s">
        <v>30</v>
      </c>
      <c r="H1255" s="34" t="s">
        <v>21</v>
      </c>
      <c r="I1255" s="34" t="s">
        <v>19</v>
      </c>
      <c r="J1255" s="34" t="s">
        <v>22</v>
      </c>
      <c r="K1255" s="34" t="s">
        <v>46</v>
      </c>
      <c r="L1255" s="34" t="s">
        <v>47</v>
      </c>
      <c r="M1255">
        <v>5.0494209605E-2</v>
      </c>
    </row>
    <row r="1256" spans="1:13" x14ac:dyDescent="0.3">
      <c r="A1256" s="34" t="s">
        <v>662</v>
      </c>
      <c r="B1256">
        <v>-1</v>
      </c>
      <c r="C1256">
        <v>2050</v>
      </c>
      <c r="D1256" s="34" t="s">
        <v>346</v>
      </c>
      <c r="E1256" s="34" t="s">
        <v>406</v>
      </c>
      <c r="F1256" s="34" t="s">
        <v>619</v>
      </c>
      <c r="G1256" s="34" t="s">
        <v>30</v>
      </c>
      <c r="H1256" s="34" t="s">
        <v>21</v>
      </c>
      <c r="I1256" s="34" t="s">
        <v>19</v>
      </c>
      <c r="J1256" s="34" t="s">
        <v>22</v>
      </c>
      <c r="K1256" s="34" t="s">
        <v>48</v>
      </c>
      <c r="L1256" s="34" t="s">
        <v>47</v>
      </c>
      <c r="M1256">
        <v>-5.0494209605E-2</v>
      </c>
    </row>
    <row r="1257" spans="1:13" x14ac:dyDescent="0.3">
      <c r="A1257" s="34" t="s">
        <v>662</v>
      </c>
      <c r="B1257">
        <v>-1</v>
      </c>
      <c r="C1257">
        <v>2050</v>
      </c>
      <c r="D1257" s="34" t="s">
        <v>346</v>
      </c>
      <c r="E1257" s="34" t="s">
        <v>406</v>
      </c>
      <c r="F1257" s="34" t="s">
        <v>619</v>
      </c>
      <c r="G1257" s="34" t="s">
        <v>11</v>
      </c>
      <c r="H1257" s="34" t="s">
        <v>12</v>
      </c>
      <c r="I1257" s="34" t="s">
        <v>13</v>
      </c>
      <c r="J1257" s="34" t="s">
        <v>14</v>
      </c>
      <c r="K1257" s="34" t="s">
        <v>46</v>
      </c>
      <c r="L1257" s="34" t="s">
        <v>47</v>
      </c>
      <c r="M1257">
        <v>0.23849548806599996</v>
      </c>
    </row>
    <row r="1258" spans="1:13" x14ac:dyDescent="0.3">
      <c r="A1258" s="34" t="s">
        <v>662</v>
      </c>
      <c r="B1258">
        <v>-1</v>
      </c>
      <c r="C1258">
        <v>2050</v>
      </c>
      <c r="D1258" s="34" t="s">
        <v>346</v>
      </c>
      <c r="E1258" s="34" t="s">
        <v>406</v>
      </c>
      <c r="F1258" s="34" t="s">
        <v>619</v>
      </c>
      <c r="G1258" s="34" t="s">
        <v>11</v>
      </c>
      <c r="H1258" s="34" t="s">
        <v>12</v>
      </c>
      <c r="I1258" s="34" t="s">
        <v>13</v>
      </c>
      <c r="J1258" s="34" t="s">
        <v>14</v>
      </c>
      <c r="K1258" s="34" t="s">
        <v>48</v>
      </c>
      <c r="L1258" s="34" t="s">
        <v>47</v>
      </c>
      <c r="M1258">
        <v>-0.23849548806599996</v>
      </c>
    </row>
    <row r="1259" spans="1:13" x14ac:dyDescent="0.3">
      <c r="A1259" s="34" t="s">
        <v>662</v>
      </c>
      <c r="B1259">
        <v>-1</v>
      </c>
      <c r="C1259">
        <v>2050</v>
      </c>
      <c r="D1259" s="34" t="s">
        <v>346</v>
      </c>
      <c r="E1259" s="34" t="s">
        <v>406</v>
      </c>
      <c r="F1259" s="34" t="s">
        <v>619</v>
      </c>
      <c r="G1259" s="34" t="s">
        <v>41</v>
      </c>
      <c r="H1259" s="34" t="s">
        <v>40</v>
      </c>
      <c r="I1259" s="34" t="s">
        <v>13</v>
      </c>
      <c r="J1259" s="34" t="s">
        <v>42</v>
      </c>
      <c r="K1259" s="34" t="s">
        <v>46</v>
      </c>
      <c r="L1259" s="34" t="s">
        <v>47</v>
      </c>
      <c r="M1259">
        <v>9.3004708814387813E-2</v>
      </c>
    </row>
    <row r="1260" spans="1:13" x14ac:dyDescent="0.3">
      <c r="A1260" s="34" t="s">
        <v>662</v>
      </c>
      <c r="B1260">
        <v>-1</v>
      </c>
      <c r="C1260">
        <v>2050</v>
      </c>
      <c r="D1260" s="34" t="s">
        <v>346</v>
      </c>
      <c r="E1260" s="34" t="s">
        <v>406</v>
      </c>
      <c r="F1260" s="34" t="s">
        <v>619</v>
      </c>
      <c r="G1260" s="34" t="s">
        <v>41</v>
      </c>
      <c r="H1260" s="34" t="s">
        <v>40</v>
      </c>
      <c r="I1260" s="34" t="s">
        <v>13</v>
      </c>
      <c r="J1260" s="34" t="s">
        <v>42</v>
      </c>
      <c r="K1260" s="34" t="s">
        <v>48</v>
      </c>
      <c r="L1260" s="34" t="s">
        <v>47</v>
      </c>
      <c r="M1260">
        <v>-9.3004708814387813E-2</v>
      </c>
    </row>
    <row r="1261" spans="1:13" x14ac:dyDescent="0.3">
      <c r="A1261" s="34" t="s">
        <v>662</v>
      </c>
      <c r="B1261">
        <v>-1</v>
      </c>
      <c r="C1261">
        <v>2050</v>
      </c>
      <c r="D1261" s="34" t="s">
        <v>346</v>
      </c>
      <c r="E1261" s="34" t="s">
        <v>406</v>
      </c>
      <c r="F1261" s="34" t="s">
        <v>619</v>
      </c>
      <c r="G1261" s="34" t="s">
        <v>644</v>
      </c>
      <c r="H1261" s="34" t="s">
        <v>21</v>
      </c>
      <c r="I1261" s="34" t="s">
        <v>19</v>
      </c>
      <c r="J1261" s="34" t="s">
        <v>22</v>
      </c>
      <c r="K1261" s="34" t="s">
        <v>49</v>
      </c>
      <c r="L1261" s="34" t="s">
        <v>47</v>
      </c>
      <c r="M1261">
        <v>1.7851555230252034</v>
      </c>
    </row>
    <row r="1262" spans="1:13" x14ac:dyDescent="0.3">
      <c r="A1262" s="34" t="s">
        <v>662</v>
      </c>
      <c r="B1262">
        <v>-1</v>
      </c>
      <c r="C1262">
        <v>2050</v>
      </c>
      <c r="D1262" s="34" t="s">
        <v>346</v>
      </c>
      <c r="E1262" s="34" t="s">
        <v>406</v>
      </c>
      <c r="F1262" s="34" t="s">
        <v>619</v>
      </c>
      <c r="G1262" s="34" t="s">
        <v>645</v>
      </c>
      <c r="H1262" s="34" t="s">
        <v>23</v>
      </c>
      <c r="I1262" s="34" t="s">
        <v>19</v>
      </c>
      <c r="J1262" s="34" t="s">
        <v>24</v>
      </c>
      <c r="K1262" s="34" t="s">
        <v>49</v>
      </c>
      <c r="L1262" s="34" t="s">
        <v>47</v>
      </c>
      <c r="M1262">
        <v>1.799441056017056</v>
      </c>
    </row>
    <row r="1263" spans="1:13" x14ac:dyDescent="0.3">
      <c r="A1263" s="34" t="s">
        <v>662</v>
      </c>
      <c r="B1263">
        <v>-1</v>
      </c>
      <c r="C1263">
        <v>2050</v>
      </c>
      <c r="D1263" s="34" t="s">
        <v>346</v>
      </c>
      <c r="E1263" s="34" t="s">
        <v>407</v>
      </c>
      <c r="F1263" s="34" t="s">
        <v>620</v>
      </c>
      <c r="G1263" s="34" t="s">
        <v>43</v>
      </c>
      <c r="H1263" s="34" t="s">
        <v>40</v>
      </c>
      <c r="I1263" s="34" t="s">
        <v>19</v>
      </c>
      <c r="J1263" s="34" t="s">
        <v>27</v>
      </c>
      <c r="K1263" s="34" t="s">
        <v>46</v>
      </c>
      <c r="L1263" s="34" t="s">
        <v>47</v>
      </c>
      <c r="M1263">
        <v>5.9776851043079997</v>
      </c>
    </row>
    <row r="1264" spans="1:13" x14ac:dyDescent="0.3">
      <c r="A1264" s="34" t="s">
        <v>662</v>
      </c>
      <c r="B1264">
        <v>-1</v>
      </c>
      <c r="C1264">
        <v>2050</v>
      </c>
      <c r="D1264" s="34" t="s">
        <v>346</v>
      </c>
      <c r="E1264" s="34" t="s">
        <v>407</v>
      </c>
      <c r="F1264" s="34" t="s">
        <v>620</v>
      </c>
      <c r="G1264" s="34" t="s">
        <v>43</v>
      </c>
      <c r="H1264" s="34" t="s">
        <v>40</v>
      </c>
      <c r="I1264" s="34" t="s">
        <v>19</v>
      </c>
      <c r="J1264" s="34" t="s">
        <v>27</v>
      </c>
      <c r="K1264" s="34" t="s">
        <v>48</v>
      </c>
      <c r="L1264" s="34" t="s">
        <v>47</v>
      </c>
      <c r="M1264">
        <v>-5.9776851043080006</v>
      </c>
    </row>
    <row r="1265" spans="1:13" x14ac:dyDescent="0.3">
      <c r="A1265" s="34" t="s">
        <v>662</v>
      </c>
      <c r="B1265">
        <v>-1</v>
      </c>
      <c r="C1265">
        <v>2050</v>
      </c>
      <c r="D1265" s="34" t="s">
        <v>346</v>
      </c>
      <c r="E1265" s="34" t="s">
        <v>407</v>
      </c>
      <c r="F1265" s="34" t="s">
        <v>620</v>
      </c>
      <c r="G1265" s="34" t="s">
        <v>247</v>
      </c>
      <c r="H1265" s="34" t="s">
        <v>209</v>
      </c>
      <c r="I1265" s="34" t="s">
        <v>19</v>
      </c>
      <c r="J1265" s="34" t="s">
        <v>27</v>
      </c>
      <c r="K1265" s="34" t="s">
        <v>46</v>
      </c>
      <c r="L1265" s="34" t="s">
        <v>47</v>
      </c>
      <c r="M1265">
        <v>0.15780280725000001</v>
      </c>
    </row>
    <row r="1266" spans="1:13" x14ac:dyDescent="0.3">
      <c r="A1266" s="34" t="s">
        <v>662</v>
      </c>
      <c r="B1266">
        <v>-1</v>
      </c>
      <c r="C1266">
        <v>2050</v>
      </c>
      <c r="D1266" s="34" t="s">
        <v>346</v>
      </c>
      <c r="E1266" s="34" t="s">
        <v>407</v>
      </c>
      <c r="F1266" s="34" t="s">
        <v>620</v>
      </c>
      <c r="G1266" s="34" t="s">
        <v>247</v>
      </c>
      <c r="H1266" s="34" t="s">
        <v>209</v>
      </c>
      <c r="I1266" s="34" t="s">
        <v>19</v>
      </c>
      <c r="J1266" s="34" t="s">
        <v>27</v>
      </c>
      <c r="K1266" s="34" t="s">
        <v>48</v>
      </c>
      <c r="L1266" s="34" t="s">
        <v>47</v>
      </c>
      <c r="M1266">
        <v>-0.15780280725000004</v>
      </c>
    </row>
    <row r="1267" spans="1:13" x14ac:dyDescent="0.3">
      <c r="A1267" s="34" t="s">
        <v>662</v>
      </c>
      <c r="B1267">
        <v>-1</v>
      </c>
      <c r="C1267">
        <v>2050</v>
      </c>
      <c r="D1267" s="34" t="s">
        <v>346</v>
      </c>
      <c r="E1267" s="34" t="s">
        <v>407</v>
      </c>
      <c r="F1267" s="34" t="s">
        <v>620</v>
      </c>
      <c r="G1267" s="34" t="s">
        <v>282</v>
      </c>
      <c r="H1267" s="34" t="s">
        <v>237</v>
      </c>
      <c r="I1267" s="34" t="s">
        <v>19</v>
      </c>
      <c r="J1267" s="34" t="s">
        <v>27</v>
      </c>
      <c r="K1267" s="34" t="s">
        <v>46</v>
      </c>
      <c r="L1267" s="34" t="s">
        <v>47</v>
      </c>
      <c r="M1267">
        <v>0.49343503256099996</v>
      </c>
    </row>
    <row r="1268" spans="1:13" x14ac:dyDescent="0.3">
      <c r="A1268" s="34" t="s">
        <v>662</v>
      </c>
      <c r="B1268">
        <v>-1</v>
      </c>
      <c r="C1268">
        <v>2050</v>
      </c>
      <c r="D1268" s="34" t="s">
        <v>346</v>
      </c>
      <c r="E1268" s="34" t="s">
        <v>407</v>
      </c>
      <c r="F1268" s="34" t="s">
        <v>620</v>
      </c>
      <c r="G1268" s="34" t="s">
        <v>282</v>
      </c>
      <c r="H1268" s="34" t="s">
        <v>237</v>
      </c>
      <c r="I1268" s="34" t="s">
        <v>19</v>
      </c>
      <c r="J1268" s="34" t="s">
        <v>27</v>
      </c>
      <c r="K1268" s="34" t="s">
        <v>48</v>
      </c>
      <c r="L1268" s="34" t="s">
        <v>47</v>
      </c>
      <c r="M1268">
        <v>-0.49343503256100002</v>
      </c>
    </row>
    <row r="1269" spans="1:13" x14ac:dyDescent="0.3">
      <c r="A1269" s="34" t="s">
        <v>662</v>
      </c>
      <c r="B1269">
        <v>-1</v>
      </c>
      <c r="C1269">
        <v>2050</v>
      </c>
      <c r="D1269" s="34" t="s">
        <v>346</v>
      </c>
      <c r="E1269" s="34" t="s">
        <v>407</v>
      </c>
      <c r="F1269" s="34" t="s">
        <v>620</v>
      </c>
      <c r="G1269" s="34" t="s">
        <v>28</v>
      </c>
      <c r="H1269" s="34" t="s">
        <v>23</v>
      </c>
      <c r="I1269" s="34" t="s">
        <v>19</v>
      </c>
      <c r="J1269" s="34" t="s">
        <v>24</v>
      </c>
      <c r="K1269" s="34" t="s">
        <v>46</v>
      </c>
      <c r="L1269" s="34" t="s">
        <v>47</v>
      </c>
      <c r="M1269">
        <v>1.3472352000000001</v>
      </c>
    </row>
    <row r="1270" spans="1:13" x14ac:dyDescent="0.3">
      <c r="A1270" s="34" t="s">
        <v>662</v>
      </c>
      <c r="B1270">
        <v>-1</v>
      </c>
      <c r="C1270">
        <v>2050</v>
      </c>
      <c r="D1270" s="34" t="s">
        <v>346</v>
      </c>
      <c r="E1270" s="34" t="s">
        <v>407</v>
      </c>
      <c r="F1270" s="34" t="s">
        <v>620</v>
      </c>
      <c r="G1270" s="34" t="s">
        <v>28</v>
      </c>
      <c r="H1270" s="34" t="s">
        <v>23</v>
      </c>
      <c r="I1270" s="34" t="s">
        <v>19</v>
      </c>
      <c r="J1270" s="34" t="s">
        <v>24</v>
      </c>
      <c r="K1270" s="34" t="s">
        <v>48</v>
      </c>
      <c r="L1270" s="34" t="s">
        <v>47</v>
      </c>
      <c r="M1270">
        <v>-1.3472352000000001</v>
      </c>
    </row>
    <row r="1271" spans="1:13" x14ac:dyDescent="0.3">
      <c r="A1271" s="34" t="s">
        <v>662</v>
      </c>
      <c r="B1271">
        <v>-1</v>
      </c>
      <c r="C1271">
        <v>2050</v>
      </c>
      <c r="D1271" s="34" t="s">
        <v>346</v>
      </c>
      <c r="E1271" s="34" t="s">
        <v>407</v>
      </c>
      <c r="F1271" s="34" t="s">
        <v>620</v>
      </c>
      <c r="G1271" s="34" t="s">
        <v>31</v>
      </c>
      <c r="H1271" s="34" t="s">
        <v>18</v>
      </c>
      <c r="I1271" s="34" t="s">
        <v>19</v>
      </c>
      <c r="J1271" s="34" t="s">
        <v>32</v>
      </c>
      <c r="K1271" s="34" t="s">
        <v>46</v>
      </c>
      <c r="L1271" s="34" t="s">
        <v>47</v>
      </c>
      <c r="M1271">
        <v>6.1620817504000003E-2</v>
      </c>
    </row>
    <row r="1272" spans="1:13" x14ac:dyDescent="0.3">
      <c r="A1272" s="34" t="s">
        <v>662</v>
      </c>
      <c r="B1272">
        <v>-1</v>
      </c>
      <c r="C1272">
        <v>2050</v>
      </c>
      <c r="D1272" s="34" t="s">
        <v>346</v>
      </c>
      <c r="E1272" s="34" t="s">
        <v>407</v>
      </c>
      <c r="F1272" s="34" t="s">
        <v>620</v>
      </c>
      <c r="G1272" s="34" t="s">
        <v>185</v>
      </c>
      <c r="H1272" s="34" t="s">
        <v>18</v>
      </c>
      <c r="I1272" s="34" t="s">
        <v>19</v>
      </c>
      <c r="J1272" s="34" t="s">
        <v>32</v>
      </c>
      <c r="K1272" s="34" t="s">
        <v>46</v>
      </c>
      <c r="L1272" s="34" t="s">
        <v>47</v>
      </c>
      <c r="M1272">
        <v>4.7928628879999997E-2</v>
      </c>
    </row>
    <row r="1273" spans="1:13" x14ac:dyDescent="0.3">
      <c r="A1273" s="34" t="s">
        <v>662</v>
      </c>
      <c r="B1273">
        <v>-1</v>
      </c>
      <c r="C1273">
        <v>2050</v>
      </c>
      <c r="D1273" s="34" t="s">
        <v>346</v>
      </c>
      <c r="E1273" s="34" t="s">
        <v>407</v>
      </c>
      <c r="F1273" s="34" t="s">
        <v>620</v>
      </c>
      <c r="G1273" s="34" t="s">
        <v>180</v>
      </c>
      <c r="H1273" s="34" t="s">
        <v>18</v>
      </c>
      <c r="I1273" s="34" t="s">
        <v>19</v>
      </c>
      <c r="J1273" s="34" t="s">
        <v>181</v>
      </c>
      <c r="K1273" s="34" t="s">
        <v>46</v>
      </c>
      <c r="L1273" s="34" t="s">
        <v>47</v>
      </c>
      <c r="M1273">
        <v>0.15241662105600001</v>
      </c>
    </row>
    <row r="1274" spans="1:13" x14ac:dyDescent="0.3">
      <c r="A1274" s="34" t="s">
        <v>662</v>
      </c>
      <c r="B1274">
        <v>-1</v>
      </c>
      <c r="C1274">
        <v>2050</v>
      </c>
      <c r="D1274" s="34" t="s">
        <v>346</v>
      </c>
      <c r="E1274" s="34" t="s">
        <v>407</v>
      </c>
      <c r="F1274" s="34" t="s">
        <v>620</v>
      </c>
      <c r="G1274" s="34" t="s">
        <v>54</v>
      </c>
      <c r="H1274" s="34" t="s">
        <v>39</v>
      </c>
      <c r="I1274" s="34" t="s">
        <v>19</v>
      </c>
      <c r="J1274" s="34" t="s">
        <v>27</v>
      </c>
      <c r="K1274" s="34" t="s">
        <v>46</v>
      </c>
      <c r="L1274" s="34" t="s">
        <v>47</v>
      </c>
      <c r="M1274">
        <v>0.73955002903200007</v>
      </c>
    </row>
    <row r="1275" spans="1:13" x14ac:dyDescent="0.3">
      <c r="A1275" s="34" t="s">
        <v>662</v>
      </c>
      <c r="B1275">
        <v>-1</v>
      </c>
      <c r="C1275">
        <v>2050</v>
      </c>
      <c r="D1275" s="34" t="s">
        <v>346</v>
      </c>
      <c r="E1275" s="34" t="s">
        <v>407</v>
      </c>
      <c r="F1275" s="34" t="s">
        <v>620</v>
      </c>
      <c r="G1275" s="34" t="s">
        <v>54</v>
      </c>
      <c r="H1275" s="34" t="s">
        <v>39</v>
      </c>
      <c r="I1275" s="34" t="s">
        <v>19</v>
      </c>
      <c r="J1275" s="34" t="s">
        <v>27</v>
      </c>
      <c r="K1275" s="34" t="s">
        <v>48</v>
      </c>
      <c r="L1275" s="34" t="s">
        <v>47</v>
      </c>
      <c r="M1275">
        <v>-0.73955002903200007</v>
      </c>
    </row>
    <row r="1276" spans="1:13" x14ac:dyDescent="0.3">
      <c r="A1276" s="34" t="s">
        <v>662</v>
      </c>
      <c r="B1276">
        <v>-1</v>
      </c>
      <c r="C1276">
        <v>2050</v>
      </c>
      <c r="D1276" s="34" t="s">
        <v>346</v>
      </c>
      <c r="E1276" s="34" t="s">
        <v>407</v>
      </c>
      <c r="F1276" s="34" t="s">
        <v>620</v>
      </c>
      <c r="G1276" s="34" t="s">
        <v>276</v>
      </c>
      <c r="H1276" s="34" t="s">
        <v>237</v>
      </c>
      <c r="I1276" s="34" t="s">
        <v>19</v>
      </c>
      <c r="J1276" s="34" t="s">
        <v>27</v>
      </c>
      <c r="K1276" s="34" t="s">
        <v>46</v>
      </c>
      <c r="L1276" s="34" t="s">
        <v>47</v>
      </c>
      <c r="M1276">
        <v>0.49343503256099996</v>
      </c>
    </row>
    <row r="1277" spans="1:13" x14ac:dyDescent="0.3">
      <c r="A1277" s="34" t="s">
        <v>662</v>
      </c>
      <c r="B1277">
        <v>-1</v>
      </c>
      <c r="C1277">
        <v>2050</v>
      </c>
      <c r="D1277" s="34" t="s">
        <v>346</v>
      </c>
      <c r="E1277" s="34" t="s">
        <v>407</v>
      </c>
      <c r="F1277" s="34" t="s">
        <v>620</v>
      </c>
      <c r="G1277" s="34" t="s">
        <v>276</v>
      </c>
      <c r="H1277" s="34" t="s">
        <v>237</v>
      </c>
      <c r="I1277" s="34" t="s">
        <v>19</v>
      </c>
      <c r="J1277" s="34" t="s">
        <v>27</v>
      </c>
      <c r="K1277" s="34" t="s">
        <v>48</v>
      </c>
      <c r="L1277" s="34" t="s">
        <v>47</v>
      </c>
      <c r="M1277">
        <v>-0.49343503256100002</v>
      </c>
    </row>
    <row r="1278" spans="1:13" x14ac:dyDescent="0.3">
      <c r="A1278" s="34" t="s">
        <v>662</v>
      </c>
      <c r="B1278">
        <v>-1</v>
      </c>
      <c r="C1278">
        <v>2050</v>
      </c>
      <c r="D1278" s="34" t="s">
        <v>346</v>
      </c>
      <c r="E1278" s="34" t="s">
        <v>407</v>
      </c>
      <c r="F1278" s="34" t="s">
        <v>620</v>
      </c>
      <c r="G1278" s="34" t="s">
        <v>307</v>
      </c>
      <c r="H1278" s="34" t="s">
        <v>26</v>
      </c>
      <c r="I1278" s="34" t="s">
        <v>19</v>
      </c>
      <c r="J1278" s="34" t="s">
        <v>27</v>
      </c>
      <c r="K1278" s="34" t="s">
        <v>46</v>
      </c>
      <c r="L1278" s="34" t="s">
        <v>47</v>
      </c>
      <c r="M1278">
        <v>4.8660647472000003E-2</v>
      </c>
    </row>
    <row r="1279" spans="1:13" x14ac:dyDescent="0.3">
      <c r="A1279" s="34" t="s">
        <v>662</v>
      </c>
      <c r="B1279">
        <v>-1</v>
      </c>
      <c r="C1279">
        <v>2050</v>
      </c>
      <c r="D1279" s="34" t="s">
        <v>346</v>
      </c>
      <c r="E1279" s="34" t="s">
        <v>407</v>
      </c>
      <c r="F1279" s="34" t="s">
        <v>620</v>
      </c>
      <c r="G1279" s="34" t="s">
        <v>307</v>
      </c>
      <c r="H1279" s="34" t="s">
        <v>26</v>
      </c>
      <c r="I1279" s="34" t="s">
        <v>19</v>
      </c>
      <c r="J1279" s="34" t="s">
        <v>27</v>
      </c>
      <c r="K1279" s="34" t="s">
        <v>48</v>
      </c>
      <c r="L1279" s="34" t="s">
        <v>47</v>
      </c>
      <c r="M1279">
        <v>-4.8660647472000003E-2</v>
      </c>
    </row>
    <row r="1280" spans="1:13" x14ac:dyDescent="0.3">
      <c r="A1280" s="34" t="s">
        <v>662</v>
      </c>
      <c r="B1280">
        <v>-1</v>
      </c>
      <c r="C1280">
        <v>2050</v>
      </c>
      <c r="D1280" s="34" t="s">
        <v>346</v>
      </c>
      <c r="E1280" s="34" t="s">
        <v>407</v>
      </c>
      <c r="F1280" s="34" t="s">
        <v>620</v>
      </c>
      <c r="G1280" s="34" t="s">
        <v>52</v>
      </c>
      <c r="H1280" s="34" t="s">
        <v>53</v>
      </c>
      <c r="I1280" s="34" t="s">
        <v>19</v>
      </c>
      <c r="J1280" s="34" t="s">
        <v>27</v>
      </c>
      <c r="K1280" s="34" t="s">
        <v>46</v>
      </c>
      <c r="L1280" s="34" t="s">
        <v>47</v>
      </c>
      <c r="M1280">
        <v>0.178919692002</v>
      </c>
    </row>
    <row r="1281" spans="1:13" x14ac:dyDescent="0.3">
      <c r="A1281" s="34" t="s">
        <v>662</v>
      </c>
      <c r="B1281">
        <v>-1</v>
      </c>
      <c r="C1281">
        <v>2050</v>
      </c>
      <c r="D1281" s="34" t="s">
        <v>346</v>
      </c>
      <c r="E1281" s="34" t="s">
        <v>407</v>
      </c>
      <c r="F1281" s="34" t="s">
        <v>620</v>
      </c>
      <c r="G1281" s="34" t="s">
        <v>52</v>
      </c>
      <c r="H1281" s="34" t="s">
        <v>53</v>
      </c>
      <c r="I1281" s="34" t="s">
        <v>19</v>
      </c>
      <c r="J1281" s="34" t="s">
        <v>27</v>
      </c>
      <c r="K1281" s="34" t="s">
        <v>48</v>
      </c>
      <c r="L1281" s="34" t="s">
        <v>47</v>
      </c>
      <c r="M1281">
        <v>-0.178919692002</v>
      </c>
    </row>
    <row r="1282" spans="1:13" x14ac:dyDescent="0.3">
      <c r="A1282" s="34" t="s">
        <v>662</v>
      </c>
      <c r="B1282">
        <v>-1</v>
      </c>
      <c r="C1282">
        <v>2050</v>
      </c>
      <c r="D1282" s="34" t="s">
        <v>346</v>
      </c>
      <c r="E1282" s="34" t="s">
        <v>407</v>
      </c>
      <c r="F1282" s="34" t="s">
        <v>620</v>
      </c>
      <c r="G1282" s="34" t="s">
        <v>29</v>
      </c>
      <c r="H1282" s="34" t="s">
        <v>21</v>
      </c>
      <c r="I1282" s="34" t="s">
        <v>19</v>
      </c>
      <c r="J1282" s="34" t="s">
        <v>22</v>
      </c>
      <c r="K1282" s="34" t="s">
        <v>46</v>
      </c>
      <c r="L1282" s="34" t="s">
        <v>47</v>
      </c>
      <c r="M1282">
        <v>0.55084594827</v>
      </c>
    </row>
    <row r="1283" spans="1:13" x14ac:dyDescent="0.3">
      <c r="A1283" s="34" t="s">
        <v>662</v>
      </c>
      <c r="B1283">
        <v>-1</v>
      </c>
      <c r="C1283">
        <v>2050</v>
      </c>
      <c r="D1283" s="34" t="s">
        <v>346</v>
      </c>
      <c r="E1283" s="34" t="s">
        <v>407</v>
      </c>
      <c r="F1283" s="34" t="s">
        <v>620</v>
      </c>
      <c r="G1283" s="34" t="s">
        <v>29</v>
      </c>
      <c r="H1283" s="34" t="s">
        <v>21</v>
      </c>
      <c r="I1283" s="34" t="s">
        <v>19</v>
      </c>
      <c r="J1283" s="34" t="s">
        <v>22</v>
      </c>
      <c r="K1283" s="34" t="s">
        <v>48</v>
      </c>
      <c r="L1283" s="34" t="s">
        <v>47</v>
      </c>
      <c r="M1283">
        <v>-0.55084594827000022</v>
      </c>
    </row>
    <row r="1284" spans="1:13" x14ac:dyDescent="0.3">
      <c r="A1284" s="34" t="s">
        <v>662</v>
      </c>
      <c r="B1284">
        <v>-1</v>
      </c>
      <c r="C1284">
        <v>2050</v>
      </c>
      <c r="D1284" s="34" t="s">
        <v>346</v>
      </c>
      <c r="E1284" s="34" t="s">
        <v>407</v>
      </c>
      <c r="F1284" s="34" t="s">
        <v>620</v>
      </c>
      <c r="G1284" s="34" t="s">
        <v>20</v>
      </c>
      <c r="H1284" s="34" t="s">
        <v>21</v>
      </c>
      <c r="I1284" s="34" t="s">
        <v>19</v>
      </c>
      <c r="J1284" s="34" t="s">
        <v>22</v>
      </c>
      <c r="K1284" s="34" t="s">
        <v>46</v>
      </c>
      <c r="L1284" s="34" t="s">
        <v>47</v>
      </c>
      <c r="M1284">
        <v>1.193499554585</v>
      </c>
    </row>
    <row r="1285" spans="1:13" x14ac:dyDescent="0.3">
      <c r="A1285" s="34" t="s">
        <v>662</v>
      </c>
      <c r="B1285">
        <v>-1</v>
      </c>
      <c r="C1285">
        <v>2050</v>
      </c>
      <c r="D1285" s="34" t="s">
        <v>346</v>
      </c>
      <c r="E1285" s="34" t="s">
        <v>407</v>
      </c>
      <c r="F1285" s="34" t="s">
        <v>620</v>
      </c>
      <c r="G1285" s="34" t="s">
        <v>20</v>
      </c>
      <c r="H1285" s="34" t="s">
        <v>21</v>
      </c>
      <c r="I1285" s="34" t="s">
        <v>19</v>
      </c>
      <c r="J1285" s="34" t="s">
        <v>22</v>
      </c>
      <c r="K1285" s="34" t="s">
        <v>48</v>
      </c>
      <c r="L1285" s="34" t="s">
        <v>47</v>
      </c>
      <c r="M1285">
        <v>-1.1934995545850002</v>
      </c>
    </row>
    <row r="1286" spans="1:13" x14ac:dyDescent="0.3">
      <c r="A1286" s="34" t="s">
        <v>662</v>
      </c>
      <c r="B1286">
        <v>-1</v>
      </c>
      <c r="C1286">
        <v>2050</v>
      </c>
      <c r="D1286" s="34" t="s">
        <v>346</v>
      </c>
      <c r="E1286" s="34" t="s">
        <v>407</v>
      </c>
      <c r="F1286" s="34" t="s">
        <v>620</v>
      </c>
      <c r="G1286" s="34" t="s">
        <v>30</v>
      </c>
      <c r="H1286" s="34" t="s">
        <v>21</v>
      </c>
      <c r="I1286" s="34" t="s">
        <v>19</v>
      </c>
      <c r="J1286" s="34" t="s">
        <v>22</v>
      </c>
      <c r="K1286" s="34" t="s">
        <v>46</v>
      </c>
      <c r="L1286" s="34" t="s">
        <v>47</v>
      </c>
      <c r="M1286">
        <v>9.1807658045000004E-2</v>
      </c>
    </row>
    <row r="1287" spans="1:13" x14ac:dyDescent="0.3">
      <c r="A1287" s="34" t="s">
        <v>662</v>
      </c>
      <c r="B1287">
        <v>-1</v>
      </c>
      <c r="C1287">
        <v>2050</v>
      </c>
      <c r="D1287" s="34" t="s">
        <v>346</v>
      </c>
      <c r="E1287" s="34" t="s">
        <v>407</v>
      </c>
      <c r="F1287" s="34" t="s">
        <v>620</v>
      </c>
      <c r="G1287" s="34" t="s">
        <v>30</v>
      </c>
      <c r="H1287" s="34" t="s">
        <v>21</v>
      </c>
      <c r="I1287" s="34" t="s">
        <v>19</v>
      </c>
      <c r="J1287" s="34" t="s">
        <v>22</v>
      </c>
      <c r="K1287" s="34" t="s">
        <v>48</v>
      </c>
      <c r="L1287" s="34" t="s">
        <v>47</v>
      </c>
      <c r="M1287">
        <v>-9.1807658045000004E-2</v>
      </c>
    </row>
    <row r="1288" spans="1:13" x14ac:dyDescent="0.3">
      <c r="A1288" s="34" t="s">
        <v>662</v>
      </c>
      <c r="B1288">
        <v>-1</v>
      </c>
      <c r="C1288">
        <v>2050</v>
      </c>
      <c r="D1288" s="34" t="s">
        <v>346</v>
      </c>
      <c r="E1288" s="34" t="s">
        <v>407</v>
      </c>
      <c r="F1288" s="34" t="s">
        <v>620</v>
      </c>
      <c r="G1288" s="34" t="s">
        <v>11</v>
      </c>
      <c r="H1288" s="34" t="s">
        <v>12</v>
      </c>
      <c r="I1288" s="34" t="s">
        <v>13</v>
      </c>
      <c r="J1288" s="34" t="s">
        <v>14</v>
      </c>
      <c r="K1288" s="34" t="s">
        <v>46</v>
      </c>
      <c r="L1288" s="34" t="s">
        <v>47</v>
      </c>
      <c r="M1288">
        <v>0.76502800954799977</v>
      </c>
    </row>
    <row r="1289" spans="1:13" x14ac:dyDescent="0.3">
      <c r="A1289" s="34" t="s">
        <v>662</v>
      </c>
      <c r="B1289">
        <v>-1</v>
      </c>
      <c r="C1289">
        <v>2050</v>
      </c>
      <c r="D1289" s="34" t="s">
        <v>346</v>
      </c>
      <c r="E1289" s="34" t="s">
        <v>407</v>
      </c>
      <c r="F1289" s="34" t="s">
        <v>620</v>
      </c>
      <c r="G1289" s="34" t="s">
        <v>11</v>
      </c>
      <c r="H1289" s="34" t="s">
        <v>12</v>
      </c>
      <c r="I1289" s="34" t="s">
        <v>13</v>
      </c>
      <c r="J1289" s="34" t="s">
        <v>14</v>
      </c>
      <c r="K1289" s="34" t="s">
        <v>48</v>
      </c>
      <c r="L1289" s="34" t="s">
        <v>47</v>
      </c>
      <c r="M1289">
        <v>-0.19119961954799974</v>
      </c>
    </row>
    <row r="1290" spans="1:13" x14ac:dyDescent="0.3">
      <c r="A1290" s="34" t="s">
        <v>662</v>
      </c>
      <c r="B1290">
        <v>-1</v>
      </c>
      <c r="C1290">
        <v>2050</v>
      </c>
      <c r="D1290" s="34" t="s">
        <v>346</v>
      </c>
      <c r="E1290" s="34" t="s">
        <v>407</v>
      </c>
      <c r="F1290" s="34" t="s">
        <v>620</v>
      </c>
      <c r="G1290" s="34" t="s">
        <v>16</v>
      </c>
      <c r="H1290" s="34" t="s">
        <v>12</v>
      </c>
      <c r="I1290" s="34" t="s">
        <v>13</v>
      </c>
      <c r="J1290" s="34" t="s">
        <v>14</v>
      </c>
      <c r="K1290" s="34" t="s">
        <v>49</v>
      </c>
      <c r="L1290" s="34" t="s">
        <v>47</v>
      </c>
      <c r="M1290">
        <v>7.6729840960666946</v>
      </c>
    </row>
    <row r="1291" spans="1:13" x14ac:dyDescent="0.3">
      <c r="A1291" s="34" t="s">
        <v>662</v>
      </c>
      <c r="B1291">
        <v>-1</v>
      </c>
      <c r="C1291">
        <v>2050</v>
      </c>
      <c r="D1291" s="34" t="s">
        <v>346</v>
      </c>
      <c r="E1291" s="34" t="s">
        <v>407</v>
      </c>
      <c r="F1291" s="34" t="s">
        <v>620</v>
      </c>
      <c r="G1291" s="34" t="s">
        <v>41</v>
      </c>
      <c r="H1291" s="34" t="s">
        <v>40</v>
      </c>
      <c r="I1291" s="34" t="s">
        <v>13</v>
      </c>
      <c r="J1291" s="34" t="s">
        <v>42</v>
      </c>
      <c r="K1291" s="34" t="s">
        <v>46</v>
      </c>
      <c r="L1291" s="34" t="s">
        <v>47</v>
      </c>
      <c r="M1291">
        <v>0.29833355691480595</v>
      </c>
    </row>
    <row r="1292" spans="1:13" x14ac:dyDescent="0.3">
      <c r="A1292" s="34" t="s">
        <v>662</v>
      </c>
      <c r="B1292">
        <v>-1</v>
      </c>
      <c r="C1292">
        <v>2050</v>
      </c>
      <c r="D1292" s="34" t="s">
        <v>346</v>
      </c>
      <c r="E1292" s="34" t="s">
        <v>407</v>
      </c>
      <c r="F1292" s="34" t="s">
        <v>620</v>
      </c>
      <c r="G1292" s="34" t="s">
        <v>41</v>
      </c>
      <c r="H1292" s="34" t="s">
        <v>40</v>
      </c>
      <c r="I1292" s="34" t="s">
        <v>13</v>
      </c>
      <c r="J1292" s="34" t="s">
        <v>42</v>
      </c>
      <c r="K1292" s="34" t="s">
        <v>48</v>
      </c>
      <c r="L1292" s="34" t="s">
        <v>47</v>
      </c>
      <c r="M1292">
        <v>-0.29833355691480595</v>
      </c>
    </row>
    <row r="1293" spans="1:13" x14ac:dyDescent="0.3">
      <c r="A1293" s="34" t="s">
        <v>662</v>
      </c>
      <c r="B1293">
        <v>-1</v>
      </c>
      <c r="C1293">
        <v>2050</v>
      </c>
      <c r="D1293" s="34" t="s">
        <v>346</v>
      </c>
      <c r="E1293" s="34" t="s">
        <v>407</v>
      </c>
      <c r="F1293" s="34" t="s">
        <v>620</v>
      </c>
      <c r="G1293" s="34" t="s">
        <v>645</v>
      </c>
      <c r="H1293" s="34" t="s">
        <v>23</v>
      </c>
      <c r="I1293" s="34" t="s">
        <v>19</v>
      </c>
      <c r="J1293" s="34" t="s">
        <v>24</v>
      </c>
      <c r="K1293" s="34" t="s">
        <v>49</v>
      </c>
      <c r="L1293" s="34" t="s">
        <v>47</v>
      </c>
      <c r="M1293">
        <v>24.648579825801061</v>
      </c>
    </row>
    <row r="1294" spans="1:13" x14ac:dyDescent="0.3">
      <c r="A1294" s="34" t="s">
        <v>662</v>
      </c>
      <c r="B1294">
        <v>-1</v>
      </c>
      <c r="C1294">
        <v>2050</v>
      </c>
      <c r="D1294" s="34" t="s">
        <v>348</v>
      </c>
      <c r="E1294" s="34" t="s">
        <v>349</v>
      </c>
      <c r="F1294" s="34" t="s">
        <v>569</v>
      </c>
      <c r="G1294" s="34" t="s">
        <v>31</v>
      </c>
      <c r="H1294" s="34" t="s">
        <v>18</v>
      </c>
      <c r="I1294" s="34" t="s">
        <v>19</v>
      </c>
      <c r="J1294" s="34" t="s">
        <v>32</v>
      </c>
      <c r="K1294" s="34" t="s">
        <v>46</v>
      </c>
      <c r="L1294" s="34" t="s">
        <v>47</v>
      </c>
      <c r="M1294">
        <v>8.152000000000001</v>
      </c>
    </row>
    <row r="1295" spans="1:13" x14ac:dyDescent="0.3">
      <c r="A1295" s="34" t="s">
        <v>662</v>
      </c>
      <c r="B1295">
        <v>-1</v>
      </c>
      <c r="C1295">
        <v>2050</v>
      </c>
      <c r="D1295" s="34" t="s">
        <v>348</v>
      </c>
      <c r="E1295" s="34" t="s">
        <v>349</v>
      </c>
      <c r="F1295" s="34" t="s">
        <v>569</v>
      </c>
      <c r="G1295" s="34" t="s">
        <v>180</v>
      </c>
      <c r="H1295" s="34" t="s">
        <v>18</v>
      </c>
      <c r="I1295" s="34" t="s">
        <v>19</v>
      </c>
      <c r="J1295" s="34" t="s">
        <v>181</v>
      </c>
      <c r="K1295" s="34" t="s">
        <v>46</v>
      </c>
      <c r="L1295" s="34" t="s">
        <v>47</v>
      </c>
      <c r="M1295">
        <v>4.0529999999999999</v>
      </c>
    </row>
    <row r="1296" spans="1:13" x14ac:dyDescent="0.3">
      <c r="A1296" s="34" t="s">
        <v>662</v>
      </c>
      <c r="B1296">
        <v>-1</v>
      </c>
      <c r="C1296">
        <v>2050</v>
      </c>
      <c r="D1296" s="34" t="s">
        <v>348</v>
      </c>
      <c r="E1296" s="34" t="s">
        <v>349</v>
      </c>
      <c r="F1296" s="34" t="s">
        <v>569</v>
      </c>
      <c r="G1296" s="34" t="s">
        <v>307</v>
      </c>
      <c r="H1296" s="34" t="s">
        <v>26</v>
      </c>
      <c r="I1296" s="34" t="s">
        <v>19</v>
      </c>
      <c r="J1296" s="34" t="s">
        <v>27</v>
      </c>
      <c r="K1296" s="34" t="s">
        <v>46</v>
      </c>
      <c r="L1296" s="34" t="s">
        <v>47</v>
      </c>
      <c r="M1296">
        <v>0.42199999999999999</v>
      </c>
    </row>
    <row r="1297" spans="1:13" x14ac:dyDescent="0.3">
      <c r="A1297" s="34" t="s">
        <v>662</v>
      </c>
      <c r="B1297">
        <v>-1</v>
      </c>
      <c r="C1297">
        <v>2050</v>
      </c>
      <c r="D1297" s="34" t="s">
        <v>348</v>
      </c>
      <c r="E1297" s="34" t="s">
        <v>349</v>
      </c>
      <c r="F1297" s="34" t="s">
        <v>569</v>
      </c>
      <c r="G1297" s="34" t="s">
        <v>307</v>
      </c>
      <c r="H1297" s="34" t="s">
        <v>26</v>
      </c>
      <c r="I1297" s="34" t="s">
        <v>19</v>
      </c>
      <c r="J1297" s="34" t="s">
        <v>27</v>
      </c>
      <c r="K1297" s="34" t="s">
        <v>48</v>
      </c>
      <c r="L1297" s="34" t="s">
        <v>47</v>
      </c>
      <c r="M1297">
        <v>-0.4220000000000001</v>
      </c>
    </row>
    <row r="1298" spans="1:13" x14ac:dyDescent="0.3">
      <c r="A1298" s="34" t="s">
        <v>662</v>
      </c>
      <c r="B1298">
        <v>-1</v>
      </c>
      <c r="C1298">
        <v>2050</v>
      </c>
      <c r="D1298" s="34" t="s">
        <v>348</v>
      </c>
      <c r="E1298" s="34" t="s">
        <v>349</v>
      </c>
      <c r="F1298" s="34" t="s">
        <v>569</v>
      </c>
      <c r="G1298" s="34" t="s">
        <v>253</v>
      </c>
      <c r="H1298" s="34" t="s">
        <v>254</v>
      </c>
      <c r="I1298" s="34" t="s">
        <v>19</v>
      </c>
      <c r="J1298" s="34" t="s">
        <v>27</v>
      </c>
      <c r="K1298" s="34" t="s">
        <v>46</v>
      </c>
      <c r="L1298" s="34" t="s">
        <v>47</v>
      </c>
      <c r="M1298">
        <v>3.3330000000000002</v>
      </c>
    </row>
    <row r="1299" spans="1:13" x14ac:dyDescent="0.3">
      <c r="A1299" s="34" t="s">
        <v>662</v>
      </c>
      <c r="B1299">
        <v>-1</v>
      </c>
      <c r="C1299">
        <v>2050</v>
      </c>
      <c r="D1299" s="34" t="s">
        <v>348</v>
      </c>
      <c r="E1299" s="34" t="s">
        <v>349</v>
      </c>
      <c r="F1299" s="34" t="s">
        <v>569</v>
      </c>
      <c r="G1299" s="34" t="s">
        <v>52</v>
      </c>
      <c r="H1299" s="34" t="s">
        <v>53</v>
      </c>
      <c r="I1299" s="34" t="s">
        <v>19</v>
      </c>
      <c r="J1299" s="34" t="s">
        <v>27</v>
      </c>
      <c r="K1299" s="34" t="s">
        <v>46</v>
      </c>
      <c r="L1299" s="34" t="s">
        <v>47</v>
      </c>
      <c r="M1299">
        <v>0.19600000000000001</v>
      </c>
    </row>
    <row r="1300" spans="1:13" x14ac:dyDescent="0.3">
      <c r="A1300" s="34" t="s">
        <v>662</v>
      </c>
      <c r="B1300">
        <v>-1</v>
      </c>
      <c r="C1300">
        <v>2050</v>
      </c>
      <c r="D1300" s="34" t="s">
        <v>348</v>
      </c>
      <c r="E1300" s="34" t="s">
        <v>349</v>
      </c>
      <c r="F1300" s="34" t="s">
        <v>569</v>
      </c>
      <c r="G1300" s="34" t="s">
        <v>52</v>
      </c>
      <c r="H1300" s="34" t="s">
        <v>53</v>
      </c>
      <c r="I1300" s="34" t="s">
        <v>19</v>
      </c>
      <c r="J1300" s="34" t="s">
        <v>27</v>
      </c>
      <c r="K1300" s="34" t="s">
        <v>48</v>
      </c>
      <c r="L1300" s="34" t="s">
        <v>47</v>
      </c>
      <c r="M1300">
        <v>-0.19600000000000004</v>
      </c>
    </row>
    <row r="1301" spans="1:13" x14ac:dyDescent="0.3">
      <c r="A1301" s="34" t="s">
        <v>662</v>
      </c>
      <c r="B1301">
        <v>-1</v>
      </c>
      <c r="C1301">
        <v>2050</v>
      </c>
      <c r="D1301" s="34" t="s">
        <v>348</v>
      </c>
      <c r="E1301" s="34" t="s">
        <v>349</v>
      </c>
      <c r="F1301" s="34" t="s">
        <v>569</v>
      </c>
      <c r="G1301" s="34" t="s">
        <v>16</v>
      </c>
      <c r="H1301" s="34" t="s">
        <v>12</v>
      </c>
      <c r="I1301" s="34" t="s">
        <v>13</v>
      </c>
      <c r="J1301" s="34" t="s">
        <v>14</v>
      </c>
      <c r="K1301" s="34" t="s">
        <v>49</v>
      </c>
      <c r="L1301" s="34" t="s">
        <v>47</v>
      </c>
      <c r="M1301">
        <v>6.5677791503659284</v>
      </c>
    </row>
    <row r="1302" spans="1:13" x14ac:dyDescent="0.3">
      <c r="A1302" s="34" t="s">
        <v>662</v>
      </c>
      <c r="B1302">
        <v>-1</v>
      </c>
      <c r="C1302">
        <v>2050</v>
      </c>
      <c r="D1302" s="34" t="s">
        <v>348</v>
      </c>
      <c r="E1302" s="34" t="s">
        <v>349</v>
      </c>
      <c r="F1302" s="34" t="s">
        <v>569</v>
      </c>
      <c r="G1302" s="34" t="s">
        <v>41</v>
      </c>
      <c r="H1302" s="34" t="s">
        <v>40</v>
      </c>
      <c r="I1302" s="34" t="s">
        <v>13</v>
      </c>
      <c r="J1302" s="34" t="s">
        <v>42</v>
      </c>
      <c r="K1302" s="34" t="s">
        <v>46</v>
      </c>
      <c r="L1302" s="34" t="s">
        <v>47</v>
      </c>
      <c r="M1302">
        <v>0.26593013759196149</v>
      </c>
    </row>
    <row r="1303" spans="1:13" x14ac:dyDescent="0.3">
      <c r="A1303" s="34" t="s">
        <v>662</v>
      </c>
      <c r="B1303">
        <v>-1</v>
      </c>
      <c r="C1303">
        <v>2050</v>
      </c>
      <c r="D1303" s="34" t="s">
        <v>348</v>
      </c>
      <c r="E1303" s="34" t="s">
        <v>349</v>
      </c>
      <c r="F1303" s="34" t="s">
        <v>569</v>
      </c>
      <c r="G1303" s="34" t="s">
        <v>41</v>
      </c>
      <c r="H1303" s="34" t="s">
        <v>40</v>
      </c>
      <c r="I1303" s="34" t="s">
        <v>13</v>
      </c>
      <c r="J1303" s="34" t="s">
        <v>42</v>
      </c>
      <c r="K1303" s="34" t="s">
        <v>49</v>
      </c>
      <c r="L1303" s="34" t="s">
        <v>47</v>
      </c>
      <c r="M1303">
        <v>-7.958078640513122E-17</v>
      </c>
    </row>
    <row r="1304" spans="1:13" x14ac:dyDescent="0.3">
      <c r="A1304" s="34" t="s">
        <v>662</v>
      </c>
      <c r="B1304">
        <v>-1</v>
      </c>
      <c r="C1304">
        <v>2050</v>
      </c>
      <c r="D1304" s="34" t="s">
        <v>348</v>
      </c>
      <c r="E1304" s="34" t="s">
        <v>349</v>
      </c>
      <c r="F1304" s="34" t="s">
        <v>569</v>
      </c>
      <c r="G1304" s="34" t="s">
        <v>41</v>
      </c>
      <c r="H1304" s="34" t="s">
        <v>40</v>
      </c>
      <c r="I1304" s="34" t="s">
        <v>13</v>
      </c>
      <c r="J1304" s="34" t="s">
        <v>42</v>
      </c>
      <c r="K1304" s="34" t="s">
        <v>48</v>
      </c>
      <c r="L1304" s="34" t="s">
        <v>47</v>
      </c>
      <c r="M1304">
        <v>-0.26593013759196138</v>
      </c>
    </row>
    <row r="1305" spans="1:13" x14ac:dyDescent="0.3">
      <c r="A1305" s="34" t="s">
        <v>662</v>
      </c>
      <c r="B1305">
        <v>-1</v>
      </c>
      <c r="C1305">
        <v>2050</v>
      </c>
      <c r="D1305" s="34" t="s">
        <v>348</v>
      </c>
      <c r="E1305" s="34" t="s">
        <v>349</v>
      </c>
      <c r="F1305" s="34" t="s">
        <v>621</v>
      </c>
      <c r="G1305" s="34" t="s">
        <v>28</v>
      </c>
      <c r="H1305" s="34" t="s">
        <v>23</v>
      </c>
      <c r="I1305" s="34" t="s">
        <v>19</v>
      </c>
      <c r="J1305" s="34" t="s">
        <v>24</v>
      </c>
      <c r="K1305" s="34" t="s">
        <v>46</v>
      </c>
      <c r="L1305" s="34" t="s">
        <v>47</v>
      </c>
      <c r="M1305">
        <v>1.6640000000000001</v>
      </c>
    </row>
    <row r="1306" spans="1:13" x14ac:dyDescent="0.3">
      <c r="A1306" s="34" t="s">
        <v>662</v>
      </c>
      <c r="B1306">
        <v>-1</v>
      </c>
      <c r="C1306">
        <v>2050</v>
      </c>
      <c r="D1306" s="34" t="s">
        <v>348</v>
      </c>
      <c r="E1306" s="34" t="s">
        <v>349</v>
      </c>
      <c r="F1306" s="34" t="s">
        <v>621</v>
      </c>
      <c r="G1306" s="34" t="s">
        <v>28</v>
      </c>
      <c r="H1306" s="34" t="s">
        <v>23</v>
      </c>
      <c r="I1306" s="34" t="s">
        <v>19</v>
      </c>
      <c r="J1306" s="34" t="s">
        <v>24</v>
      </c>
      <c r="K1306" s="34" t="s">
        <v>48</v>
      </c>
      <c r="L1306" s="34" t="s">
        <v>47</v>
      </c>
      <c r="M1306">
        <v>-1.6640000000000001</v>
      </c>
    </row>
    <row r="1307" spans="1:13" x14ac:dyDescent="0.3">
      <c r="A1307" s="34" t="s">
        <v>662</v>
      </c>
      <c r="B1307">
        <v>-1</v>
      </c>
      <c r="C1307">
        <v>2050</v>
      </c>
      <c r="D1307" s="34" t="s">
        <v>348</v>
      </c>
      <c r="E1307" s="34" t="s">
        <v>349</v>
      </c>
      <c r="F1307" s="34" t="s">
        <v>621</v>
      </c>
      <c r="G1307" s="34" t="s">
        <v>29</v>
      </c>
      <c r="H1307" s="34" t="s">
        <v>21</v>
      </c>
      <c r="I1307" s="34" t="s">
        <v>19</v>
      </c>
      <c r="J1307" s="34" t="s">
        <v>22</v>
      </c>
      <c r="K1307" s="34" t="s">
        <v>46</v>
      </c>
      <c r="L1307" s="34" t="s">
        <v>47</v>
      </c>
      <c r="M1307">
        <v>2.2499999999999999E-2</v>
      </c>
    </row>
    <row r="1308" spans="1:13" x14ac:dyDescent="0.3">
      <c r="A1308" s="34" t="s">
        <v>662</v>
      </c>
      <c r="B1308">
        <v>-1</v>
      </c>
      <c r="C1308">
        <v>2050</v>
      </c>
      <c r="D1308" s="34" t="s">
        <v>348</v>
      </c>
      <c r="E1308" s="34" t="s">
        <v>349</v>
      </c>
      <c r="F1308" s="34" t="s">
        <v>621</v>
      </c>
      <c r="G1308" s="34" t="s">
        <v>29</v>
      </c>
      <c r="H1308" s="34" t="s">
        <v>21</v>
      </c>
      <c r="I1308" s="34" t="s">
        <v>19</v>
      </c>
      <c r="J1308" s="34" t="s">
        <v>22</v>
      </c>
      <c r="K1308" s="34" t="s">
        <v>48</v>
      </c>
      <c r="L1308" s="34" t="s">
        <v>47</v>
      </c>
      <c r="M1308">
        <v>-2.2499999999999999E-2</v>
      </c>
    </row>
    <row r="1309" spans="1:13" x14ac:dyDescent="0.3">
      <c r="A1309" s="34" t="s">
        <v>662</v>
      </c>
      <c r="B1309">
        <v>-1</v>
      </c>
      <c r="C1309">
        <v>2050</v>
      </c>
      <c r="D1309" s="34" t="s">
        <v>348</v>
      </c>
      <c r="E1309" s="34" t="s">
        <v>349</v>
      </c>
      <c r="F1309" s="34" t="s">
        <v>621</v>
      </c>
      <c r="G1309" s="34" t="s">
        <v>20</v>
      </c>
      <c r="H1309" s="34" t="s">
        <v>21</v>
      </c>
      <c r="I1309" s="34" t="s">
        <v>19</v>
      </c>
      <c r="J1309" s="34" t="s">
        <v>22</v>
      </c>
      <c r="K1309" s="34" t="s">
        <v>46</v>
      </c>
      <c r="L1309" s="34" t="s">
        <v>47</v>
      </c>
      <c r="M1309">
        <v>4.8750000000000002E-2</v>
      </c>
    </row>
    <row r="1310" spans="1:13" x14ac:dyDescent="0.3">
      <c r="A1310" s="34" t="s">
        <v>662</v>
      </c>
      <c r="B1310">
        <v>-1</v>
      </c>
      <c r="C1310">
        <v>2050</v>
      </c>
      <c r="D1310" s="34" t="s">
        <v>348</v>
      </c>
      <c r="E1310" s="34" t="s">
        <v>349</v>
      </c>
      <c r="F1310" s="34" t="s">
        <v>621</v>
      </c>
      <c r="G1310" s="34" t="s">
        <v>20</v>
      </c>
      <c r="H1310" s="34" t="s">
        <v>21</v>
      </c>
      <c r="I1310" s="34" t="s">
        <v>19</v>
      </c>
      <c r="J1310" s="34" t="s">
        <v>22</v>
      </c>
      <c r="K1310" s="34" t="s">
        <v>48</v>
      </c>
      <c r="L1310" s="34" t="s">
        <v>47</v>
      </c>
      <c r="M1310">
        <v>-4.8750000000000002E-2</v>
      </c>
    </row>
    <row r="1311" spans="1:13" x14ac:dyDescent="0.3">
      <c r="A1311" s="34" t="s">
        <v>662</v>
      </c>
      <c r="B1311">
        <v>-1</v>
      </c>
      <c r="C1311">
        <v>2050</v>
      </c>
      <c r="D1311" s="34" t="s">
        <v>348</v>
      </c>
      <c r="E1311" s="34" t="s">
        <v>349</v>
      </c>
      <c r="F1311" s="34" t="s">
        <v>621</v>
      </c>
      <c r="G1311" s="34" t="s">
        <v>30</v>
      </c>
      <c r="H1311" s="34" t="s">
        <v>21</v>
      </c>
      <c r="I1311" s="34" t="s">
        <v>19</v>
      </c>
      <c r="J1311" s="34" t="s">
        <v>22</v>
      </c>
      <c r="K1311" s="34" t="s">
        <v>46</v>
      </c>
      <c r="L1311" s="34" t="s">
        <v>47</v>
      </c>
      <c r="M1311">
        <v>3.7499999999999999E-3</v>
      </c>
    </row>
    <row r="1312" spans="1:13" x14ac:dyDescent="0.3">
      <c r="A1312" s="34" t="s">
        <v>662</v>
      </c>
      <c r="B1312">
        <v>-1</v>
      </c>
      <c r="C1312">
        <v>2050</v>
      </c>
      <c r="D1312" s="34" t="s">
        <v>348</v>
      </c>
      <c r="E1312" s="34" t="s">
        <v>349</v>
      </c>
      <c r="F1312" s="34" t="s">
        <v>621</v>
      </c>
      <c r="G1312" s="34" t="s">
        <v>30</v>
      </c>
      <c r="H1312" s="34" t="s">
        <v>21</v>
      </c>
      <c r="I1312" s="34" t="s">
        <v>19</v>
      </c>
      <c r="J1312" s="34" t="s">
        <v>22</v>
      </c>
      <c r="K1312" s="34" t="s">
        <v>48</v>
      </c>
      <c r="L1312" s="34" t="s">
        <v>47</v>
      </c>
      <c r="M1312">
        <v>-3.7499999999999999E-3</v>
      </c>
    </row>
    <row r="1313" spans="1:13" x14ac:dyDescent="0.3">
      <c r="A1313" s="34" t="s">
        <v>662</v>
      </c>
      <c r="B1313">
        <v>-1</v>
      </c>
      <c r="C1313">
        <v>2050</v>
      </c>
      <c r="D1313" s="34" t="s">
        <v>348</v>
      </c>
      <c r="E1313" s="34" t="s">
        <v>349</v>
      </c>
      <c r="F1313" s="34" t="s">
        <v>621</v>
      </c>
      <c r="G1313" s="34" t="s">
        <v>645</v>
      </c>
      <c r="H1313" s="34" t="s">
        <v>23</v>
      </c>
      <c r="I1313" s="34" t="s">
        <v>19</v>
      </c>
      <c r="J1313" s="34" t="s">
        <v>24</v>
      </c>
      <c r="K1313" s="34" t="s">
        <v>49</v>
      </c>
      <c r="L1313" s="34" t="s">
        <v>47</v>
      </c>
      <c r="M1313">
        <v>55.616557766630649</v>
      </c>
    </row>
    <row r="1314" spans="1:13" x14ac:dyDescent="0.3">
      <c r="A1314" s="34" t="s">
        <v>662</v>
      </c>
      <c r="B1314">
        <v>-1</v>
      </c>
      <c r="C1314">
        <v>2050</v>
      </c>
      <c r="D1314" s="34" t="s">
        <v>350</v>
      </c>
      <c r="E1314" s="34" t="s">
        <v>351</v>
      </c>
      <c r="F1314" s="34" t="s">
        <v>570</v>
      </c>
      <c r="G1314" s="34" t="s">
        <v>247</v>
      </c>
      <c r="H1314" s="34" t="s">
        <v>209</v>
      </c>
      <c r="I1314" s="34" t="s">
        <v>19</v>
      </c>
      <c r="J1314" s="34" t="s">
        <v>27</v>
      </c>
      <c r="K1314" s="34" t="s">
        <v>46</v>
      </c>
      <c r="L1314" s="34" t="s">
        <v>47</v>
      </c>
      <c r="M1314">
        <v>8.5000000000000006E-2</v>
      </c>
    </row>
    <row r="1315" spans="1:13" x14ac:dyDescent="0.3">
      <c r="A1315" s="34" t="s">
        <v>662</v>
      </c>
      <c r="B1315">
        <v>-1</v>
      </c>
      <c r="C1315">
        <v>2050</v>
      </c>
      <c r="D1315" s="34" t="s">
        <v>350</v>
      </c>
      <c r="E1315" s="34" t="s">
        <v>351</v>
      </c>
      <c r="F1315" s="34" t="s">
        <v>570</v>
      </c>
      <c r="G1315" s="34" t="s">
        <v>247</v>
      </c>
      <c r="H1315" s="34" t="s">
        <v>209</v>
      </c>
      <c r="I1315" s="34" t="s">
        <v>19</v>
      </c>
      <c r="J1315" s="34" t="s">
        <v>27</v>
      </c>
      <c r="K1315" s="34" t="s">
        <v>48</v>
      </c>
      <c r="L1315" s="34" t="s">
        <v>47</v>
      </c>
      <c r="M1315">
        <v>-8.5000000000000006E-2</v>
      </c>
    </row>
    <row r="1316" spans="1:13" x14ac:dyDescent="0.3">
      <c r="A1316" s="34" t="s">
        <v>662</v>
      </c>
      <c r="B1316">
        <v>-1</v>
      </c>
      <c r="C1316">
        <v>2050</v>
      </c>
      <c r="D1316" s="34" t="s">
        <v>350</v>
      </c>
      <c r="E1316" s="34" t="s">
        <v>351</v>
      </c>
      <c r="F1316" s="34" t="s">
        <v>570</v>
      </c>
      <c r="G1316" s="34" t="s">
        <v>44</v>
      </c>
      <c r="H1316" s="34" t="s">
        <v>45</v>
      </c>
      <c r="I1316" s="34" t="s">
        <v>19</v>
      </c>
      <c r="J1316" s="34" t="s">
        <v>27</v>
      </c>
      <c r="K1316" s="34" t="s">
        <v>46</v>
      </c>
      <c r="L1316" s="34" t="s">
        <v>47</v>
      </c>
      <c r="M1316">
        <v>1E-3</v>
      </c>
    </row>
    <row r="1317" spans="1:13" x14ac:dyDescent="0.3">
      <c r="A1317" s="34" t="s">
        <v>662</v>
      </c>
      <c r="B1317">
        <v>-1</v>
      </c>
      <c r="C1317">
        <v>2050</v>
      </c>
      <c r="D1317" s="34" t="s">
        <v>350</v>
      </c>
      <c r="E1317" s="34" t="s">
        <v>351</v>
      </c>
      <c r="F1317" s="34" t="s">
        <v>570</v>
      </c>
      <c r="G1317" s="34" t="s">
        <v>44</v>
      </c>
      <c r="H1317" s="34" t="s">
        <v>45</v>
      </c>
      <c r="I1317" s="34" t="s">
        <v>19</v>
      </c>
      <c r="J1317" s="34" t="s">
        <v>27</v>
      </c>
      <c r="K1317" s="34" t="s">
        <v>48</v>
      </c>
      <c r="L1317" s="34" t="s">
        <v>47</v>
      </c>
      <c r="M1317">
        <v>-1E-3</v>
      </c>
    </row>
    <row r="1318" spans="1:13" x14ac:dyDescent="0.3">
      <c r="A1318" s="34" t="s">
        <v>662</v>
      </c>
      <c r="B1318">
        <v>-1</v>
      </c>
      <c r="C1318">
        <v>2050</v>
      </c>
      <c r="D1318" s="34" t="s">
        <v>350</v>
      </c>
      <c r="E1318" s="34" t="s">
        <v>351</v>
      </c>
      <c r="F1318" s="34" t="s">
        <v>570</v>
      </c>
      <c r="G1318" s="34" t="s">
        <v>282</v>
      </c>
      <c r="H1318" s="34" t="s">
        <v>237</v>
      </c>
      <c r="I1318" s="34" t="s">
        <v>19</v>
      </c>
      <c r="J1318" s="34" t="s">
        <v>27</v>
      </c>
      <c r="K1318" s="34" t="s">
        <v>46</v>
      </c>
      <c r="L1318" s="34" t="s">
        <v>47</v>
      </c>
      <c r="M1318">
        <v>8.4000000000000005E-2</v>
      </c>
    </row>
    <row r="1319" spans="1:13" x14ac:dyDescent="0.3">
      <c r="A1319" s="34" t="s">
        <v>662</v>
      </c>
      <c r="B1319">
        <v>-1</v>
      </c>
      <c r="C1319">
        <v>2050</v>
      </c>
      <c r="D1319" s="34" t="s">
        <v>350</v>
      </c>
      <c r="E1319" s="34" t="s">
        <v>351</v>
      </c>
      <c r="F1319" s="34" t="s">
        <v>570</v>
      </c>
      <c r="G1319" s="34" t="s">
        <v>282</v>
      </c>
      <c r="H1319" s="34" t="s">
        <v>237</v>
      </c>
      <c r="I1319" s="34" t="s">
        <v>19</v>
      </c>
      <c r="J1319" s="34" t="s">
        <v>27</v>
      </c>
      <c r="K1319" s="34" t="s">
        <v>48</v>
      </c>
      <c r="L1319" s="34" t="s">
        <v>47</v>
      </c>
      <c r="M1319">
        <v>-8.4000000000000005E-2</v>
      </c>
    </row>
    <row r="1320" spans="1:13" x14ac:dyDescent="0.3">
      <c r="A1320" s="34" t="s">
        <v>662</v>
      </c>
      <c r="B1320">
        <v>-1</v>
      </c>
      <c r="C1320">
        <v>2050</v>
      </c>
      <c r="D1320" s="34" t="s">
        <v>350</v>
      </c>
      <c r="E1320" s="34" t="s">
        <v>351</v>
      </c>
      <c r="F1320" s="34" t="s">
        <v>570</v>
      </c>
      <c r="G1320" s="34" t="s">
        <v>185</v>
      </c>
      <c r="H1320" s="34" t="s">
        <v>18</v>
      </c>
      <c r="I1320" s="34" t="s">
        <v>19</v>
      </c>
      <c r="J1320" s="34" t="s">
        <v>32</v>
      </c>
      <c r="K1320" s="34" t="s">
        <v>46</v>
      </c>
      <c r="L1320" s="34" t="s">
        <v>47</v>
      </c>
      <c r="M1320">
        <v>8.4359999999999999</v>
      </c>
    </row>
    <row r="1321" spans="1:13" x14ac:dyDescent="0.3">
      <c r="A1321" s="34" t="s">
        <v>662</v>
      </c>
      <c r="B1321">
        <v>-1</v>
      </c>
      <c r="C1321">
        <v>2050</v>
      </c>
      <c r="D1321" s="34" t="s">
        <v>350</v>
      </c>
      <c r="E1321" s="34" t="s">
        <v>351</v>
      </c>
      <c r="F1321" s="34" t="s">
        <v>570</v>
      </c>
      <c r="G1321" s="34" t="s">
        <v>180</v>
      </c>
      <c r="H1321" s="34" t="s">
        <v>18</v>
      </c>
      <c r="I1321" s="34" t="s">
        <v>19</v>
      </c>
      <c r="J1321" s="34" t="s">
        <v>181</v>
      </c>
      <c r="K1321" s="34" t="s">
        <v>46</v>
      </c>
      <c r="L1321" s="34" t="s">
        <v>47</v>
      </c>
      <c r="M1321">
        <v>5.7140000000000004</v>
      </c>
    </row>
    <row r="1322" spans="1:13" x14ac:dyDescent="0.3">
      <c r="A1322" s="34" t="s">
        <v>662</v>
      </c>
      <c r="B1322">
        <v>-1</v>
      </c>
      <c r="C1322">
        <v>2050</v>
      </c>
      <c r="D1322" s="34" t="s">
        <v>350</v>
      </c>
      <c r="E1322" s="34" t="s">
        <v>351</v>
      </c>
      <c r="F1322" s="34" t="s">
        <v>570</v>
      </c>
      <c r="G1322" s="34" t="s">
        <v>54</v>
      </c>
      <c r="H1322" s="34" t="s">
        <v>39</v>
      </c>
      <c r="I1322" s="34" t="s">
        <v>19</v>
      </c>
      <c r="J1322" s="34" t="s">
        <v>27</v>
      </c>
      <c r="K1322" s="34" t="s">
        <v>46</v>
      </c>
      <c r="L1322" s="34" t="s">
        <v>47</v>
      </c>
      <c r="M1322">
        <v>0.59799999999999998</v>
      </c>
    </row>
    <row r="1323" spans="1:13" x14ac:dyDescent="0.3">
      <c r="A1323" s="34" t="s">
        <v>662</v>
      </c>
      <c r="B1323">
        <v>-1</v>
      </c>
      <c r="C1323">
        <v>2050</v>
      </c>
      <c r="D1323" s="34" t="s">
        <v>350</v>
      </c>
      <c r="E1323" s="34" t="s">
        <v>351</v>
      </c>
      <c r="F1323" s="34" t="s">
        <v>570</v>
      </c>
      <c r="G1323" s="34" t="s">
        <v>54</v>
      </c>
      <c r="H1323" s="34" t="s">
        <v>39</v>
      </c>
      <c r="I1323" s="34" t="s">
        <v>19</v>
      </c>
      <c r="J1323" s="34" t="s">
        <v>27</v>
      </c>
      <c r="K1323" s="34" t="s">
        <v>48</v>
      </c>
      <c r="L1323" s="34" t="s">
        <v>47</v>
      </c>
      <c r="M1323">
        <v>-0.59799999999999986</v>
      </c>
    </row>
    <row r="1324" spans="1:13" x14ac:dyDescent="0.3">
      <c r="A1324" s="34" t="s">
        <v>662</v>
      </c>
      <c r="B1324">
        <v>-1</v>
      </c>
      <c r="C1324">
        <v>2050</v>
      </c>
      <c r="D1324" s="34" t="s">
        <v>350</v>
      </c>
      <c r="E1324" s="34" t="s">
        <v>351</v>
      </c>
      <c r="F1324" s="34" t="s">
        <v>570</v>
      </c>
      <c r="G1324" s="34" t="s">
        <v>276</v>
      </c>
      <c r="H1324" s="34" t="s">
        <v>237</v>
      </c>
      <c r="I1324" s="34" t="s">
        <v>19</v>
      </c>
      <c r="J1324" s="34" t="s">
        <v>27</v>
      </c>
      <c r="K1324" s="34" t="s">
        <v>46</v>
      </c>
      <c r="L1324" s="34" t="s">
        <v>47</v>
      </c>
      <c r="M1324">
        <v>8.4000000000000005E-2</v>
      </c>
    </row>
    <row r="1325" spans="1:13" x14ac:dyDescent="0.3">
      <c r="A1325" s="34" t="s">
        <v>662</v>
      </c>
      <c r="B1325">
        <v>-1</v>
      </c>
      <c r="C1325">
        <v>2050</v>
      </c>
      <c r="D1325" s="34" t="s">
        <v>350</v>
      </c>
      <c r="E1325" s="34" t="s">
        <v>351</v>
      </c>
      <c r="F1325" s="34" t="s">
        <v>570</v>
      </c>
      <c r="G1325" s="34" t="s">
        <v>276</v>
      </c>
      <c r="H1325" s="34" t="s">
        <v>237</v>
      </c>
      <c r="I1325" s="34" t="s">
        <v>19</v>
      </c>
      <c r="J1325" s="34" t="s">
        <v>27</v>
      </c>
      <c r="K1325" s="34" t="s">
        <v>48</v>
      </c>
      <c r="L1325" s="34" t="s">
        <v>47</v>
      </c>
      <c r="M1325">
        <v>-8.4000000000000005E-2</v>
      </c>
    </row>
    <row r="1326" spans="1:13" x14ac:dyDescent="0.3">
      <c r="A1326" s="34" t="s">
        <v>662</v>
      </c>
      <c r="B1326">
        <v>-1</v>
      </c>
      <c r="C1326">
        <v>2050</v>
      </c>
      <c r="D1326" s="34" t="s">
        <v>350</v>
      </c>
      <c r="E1326" s="34" t="s">
        <v>351</v>
      </c>
      <c r="F1326" s="34" t="s">
        <v>570</v>
      </c>
      <c r="G1326" s="34" t="s">
        <v>307</v>
      </c>
      <c r="H1326" s="34" t="s">
        <v>26</v>
      </c>
      <c r="I1326" s="34" t="s">
        <v>19</v>
      </c>
      <c r="J1326" s="34" t="s">
        <v>27</v>
      </c>
      <c r="K1326" s="34" t="s">
        <v>46</v>
      </c>
      <c r="L1326" s="34" t="s">
        <v>47</v>
      </c>
      <c r="M1326">
        <v>2.1999999999999999E-2</v>
      </c>
    </row>
    <row r="1327" spans="1:13" x14ac:dyDescent="0.3">
      <c r="A1327" s="34" t="s">
        <v>662</v>
      </c>
      <c r="B1327">
        <v>-1</v>
      </c>
      <c r="C1327">
        <v>2050</v>
      </c>
      <c r="D1327" s="34" t="s">
        <v>350</v>
      </c>
      <c r="E1327" s="34" t="s">
        <v>351</v>
      </c>
      <c r="F1327" s="34" t="s">
        <v>570</v>
      </c>
      <c r="G1327" s="34" t="s">
        <v>307</v>
      </c>
      <c r="H1327" s="34" t="s">
        <v>26</v>
      </c>
      <c r="I1327" s="34" t="s">
        <v>19</v>
      </c>
      <c r="J1327" s="34" t="s">
        <v>27</v>
      </c>
      <c r="K1327" s="34" t="s">
        <v>48</v>
      </c>
      <c r="L1327" s="34" t="s">
        <v>47</v>
      </c>
      <c r="M1327">
        <v>-2.2000000000000009E-2</v>
      </c>
    </row>
    <row r="1328" spans="1:13" x14ac:dyDescent="0.3">
      <c r="A1328" s="34" t="s">
        <v>662</v>
      </c>
      <c r="B1328">
        <v>-1</v>
      </c>
      <c r="C1328">
        <v>2050</v>
      </c>
      <c r="D1328" s="34" t="s">
        <v>350</v>
      </c>
      <c r="E1328" s="34" t="s">
        <v>351</v>
      </c>
      <c r="F1328" s="34" t="s">
        <v>570</v>
      </c>
      <c r="G1328" s="34" t="s">
        <v>11</v>
      </c>
      <c r="H1328" s="34" t="s">
        <v>12</v>
      </c>
      <c r="I1328" s="34" t="s">
        <v>13</v>
      </c>
      <c r="J1328" s="34" t="s">
        <v>14</v>
      </c>
      <c r="K1328" s="34" t="s">
        <v>46</v>
      </c>
      <c r="L1328" s="34" t="s">
        <v>47</v>
      </c>
      <c r="M1328">
        <v>1.3330000000000031</v>
      </c>
    </row>
    <row r="1329" spans="1:13" x14ac:dyDescent="0.3">
      <c r="A1329" s="34" t="s">
        <v>662</v>
      </c>
      <c r="B1329">
        <v>-1</v>
      </c>
      <c r="C1329">
        <v>2050</v>
      </c>
      <c r="D1329" s="34" t="s">
        <v>350</v>
      </c>
      <c r="E1329" s="34" t="s">
        <v>351</v>
      </c>
      <c r="F1329" s="34" t="s">
        <v>570</v>
      </c>
      <c r="G1329" s="34" t="s">
        <v>11</v>
      </c>
      <c r="H1329" s="34" t="s">
        <v>12</v>
      </c>
      <c r="I1329" s="34" t="s">
        <v>13</v>
      </c>
      <c r="J1329" s="34" t="s">
        <v>14</v>
      </c>
      <c r="K1329" s="34" t="s">
        <v>48</v>
      </c>
      <c r="L1329" s="34" t="s">
        <v>47</v>
      </c>
      <c r="M1329">
        <v>-0.33300000000000024</v>
      </c>
    </row>
    <row r="1330" spans="1:13" x14ac:dyDescent="0.3">
      <c r="A1330" s="34" t="s">
        <v>662</v>
      </c>
      <c r="B1330">
        <v>-1</v>
      </c>
      <c r="C1330">
        <v>2050</v>
      </c>
      <c r="D1330" s="34" t="s">
        <v>350</v>
      </c>
      <c r="E1330" s="34" t="s">
        <v>351</v>
      </c>
      <c r="F1330" s="34" t="s">
        <v>570</v>
      </c>
      <c r="G1330" s="34" t="s">
        <v>41</v>
      </c>
      <c r="H1330" s="34" t="s">
        <v>40</v>
      </c>
      <c r="I1330" s="34" t="s">
        <v>13</v>
      </c>
      <c r="J1330" s="34" t="s">
        <v>42</v>
      </c>
      <c r="K1330" s="34" t="s">
        <v>46</v>
      </c>
      <c r="L1330" s="34" t="s">
        <v>47</v>
      </c>
      <c r="M1330">
        <v>0.59983550897254112</v>
      </c>
    </row>
    <row r="1331" spans="1:13" x14ac:dyDescent="0.3">
      <c r="A1331" s="34" t="s">
        <v>662</v>
      </c>
      <c r="B1331">
        <v>-1</v>
      </c>
      <c r="C1331">
        <v>2050</v>
      </c>
      <c r="D1331" s="34" t="s">
        <v>350</v>
      </c>
      <c r="E1331" s="34" t="s">
        <v>351</v>
      </c>
      <c r="F1331" s="34" t="s">
        <v>570</v>
      </c>
      <c r="G1331" s="34" t="s">
        <v>41</v>
      </c>
      <c r="H1331" s="34" t="s">
        <v>40</v>
      </c>
      <c r="I1331" s="34" t="s">
        <v>13</v>
      </c>
      <c r="J1331" s="34" t="s">
        <v>42</v>
      </c>
      <c r="K1331" s="34" t="s">
        <v>48</v>
      </c>
      <c r="L1331" s="34" t="s">
        <v>47</v>
      </c>
      <c r="M1331">
        <v>-0.59983550897254112</v>
      </c>
    </row>
    <row r="1332" spans="1:13" x14ac:dyDescent="0.3">
      <c r="A1332" s="34" t="s">
        <v>662</v>
      </c>
      <c r="B1332">
        <v>-1</v>
      </c>
      <c r="C1332">
        <v>2050</v>
      </c>
      <c r="D1332" s="34" t="s">
        <v>350</v>
      </c>
      <c r="E1332" s="34" t="s">
        <v>351</v>
      </c>
      <c r="F1332" s="34" t="s">
        <v>622</v>
      </c>
      <c r="G1332" s="34" t="s">
        <v>28</v>
      </c>
      <c r="H1332" s="34" t="s">
        <v>23</v>
      </c>
      <c r="I1332" s="34" t="s">
        <v>19</v>
      </c>
      <c r="J1332" s="34" t="s">
        <v>24</v>
      </c>
      <c r="K1332" s="34" t="s">
        <v>46</v>
      </c>
      <c r="L1332" s="34" t="s">
        <v>47</v>
      </c>
      <c r="M1332">
        <v>1.1930000000000001</v>
      </c>
    </row>
    <row r="1333" spans="1:13" x14ac:dyDescent="0.3">
      <c r="A1333" s="34" t="s">
        <v>662</v>
      </c>
      <c r="B1333">
        <v>-1</v>
      </c>
      <c r="C1333">
        <v>2050</v>
      </c>
      <c r="D1333" s="34" t="s">
        <v>350</v>
      </c>
      <c r="E1333" s="34" t="s">
        <v>351</v>
      </c>
      <c r="F1333" s="34" t="s">
        <v>622</v>
      </c>
      <c r="G1333" s="34" t="s">
        <v>28</v>
      </c>
      <c r="H1333" s="34" t="s">
        <v>23</v>
      </c>
      <c r="I1333" s="34" t="s">
        <v>19</v>
      </c>
      <c r="J1333" s="34" t="s">
        <v>24</v>
      </c>
      <c r="K1333" s="34" t="s">
        <v>48</v>
      </c>
      <c r="L1333" s="34" t="s">
        <v>47</v>
      </c>
      <c r="M1333">
        <v>-1.1929999999999998</v>
      </c>
    </row>
    <row r="1334" spans="1:13" x14ac:dyDescent="0.3">
      <c r="A1334" s="34" t="s">
        <v>662</v>
      </c>
      <c r="B1334">
        <v>-1</v>
      </c>
      <c r="C1334">
        <v>2050</v>
      </c>
      <c r="D1334" s="34" t="s">
        <v>350</v>
      </c>
      <c r="E1334" s="34" t="s">
        <v>351</v>
      </c>
      <c r="F1334" s="34" t="s">
        <v>622</v>
      </c>
      <c r="G1334" s="34" t="s">
        <v>29</v>
      </c>
      <c r="H1334" s="34" t="s">
        <v>21</v>
      </c>
      <c r="I1334" s="34" t="s">
        <v>19</v>
      </c>
      <c r="J1334" s="34" t="s">
        <v>22</v>
      </c>
      <c r="K1334" s="34" t="s">
        <v>46</v>
      </c>
      <c r="L1334" s="34" t="s">
        <v>47</v>
      </c>
      <c r="M1334">
        <v>0.86610000000000009</v>
      </c>
    </row>
    <row r="1335" spans="1:13" x14ac:dyDescent="0.3">
      <c r="A1335" s="34" t="s">
        <v>662</v>
      </c>
      <c r="B1335">
        <v>-1</v>
      </c>
      <c r="C1335">
        <v>2050</v>
      </c>
      <c r="D1335" s="34" t="s">
        <v>350</v>
      </c>
      <c r="E1335" s="34" t="s">
        <v>351</v>
      </c>
      <c r="F1335" s="34" t="s">
        <v>622</v>
      </c>
      <c r="G1335" s="34" t="s">
        <v>29</v>
      </c>
      <c r="H1335" s="34" t="s">
        <v>21</v>
      </c>
      <c r="I1335" s="34" t="s">
        <v>19</v>
      </c>
      <c r="J1335" s="34" t="s">
        <v>22</v>
      </c>
      <c r="K1335" s="34" t="s">
        <v>48</v>
      </c>
      <c r="L1335" s="34" t="s">
        <v>47</v>
      </c>
      <c r="M1335">
        <v>-0.8661000000000002</v>
      </c>
    </row>
    <row r="1336" spans="1:13" x14ac:dyDescent="0.3">
      <c r="A1336" s="34" t="s">
        <v>662</v>
      </c>
      <c r="B1336">
        <v>-1</v>
      </c>
      <c r="C1336">
        <v>2050</v>
      </c>
      <c r="D1336" s="34" t="s">
        <v>350</v>
      </c>
      <c r="E1336" s="34" t="s">
        <v>351</v>
      </c>
      <c r="F1336" s="34" t="s">
        <v>622</v>
      </c>
      <c r="G1336" s="34" t="s">
        <v>20</v>
      </c>
      <c r="H1336" s="34" t="s">
        <v>21</v>
      </c>
      <c r="I1336" s="34" t="s">
        <v>19</v>
      </c>
      <c r="J1336" s="34" t="s">
        <v>22</v>
      </c>
      <c r="K1336" s="34" t="s">
        <v>46</v>
      </c>
      <c r="L1336" s="34" t="s">
        <v>47</v>
      </c>
      <c r="M1336">
        <v>1.8765499999999999</v>
      </c>
    </row>
    <row r="1337" spans="1:13" x14ac:dyDescent="0.3">
      <c r="A1337" s="34" t="s">
        <v>662</v>
      </c>
      <c r="B1337">
        <v>-1</v>
      </c>
      <c r="C1337">
        <v>2050</v>
      </c>
      <c r="D1337" s="34" t="s">
        <v>350</v>
      </c>
      <c r="E1337" s="34" t="s">
        <v>351</v>
      </c>
      <c r="F1337" s="34" t="s">
        <v>622</v>
      </c>
      <c r="G1337" s="34" t="s">
        <v>20</v>
      </c>
      <c r="H1337" s="34" t="s">
        <v>21</v>
      </c>
      <c r="I1337" s="34" t="s">
        <v>19</v>
      </c>
      <c r="J1337" s="34" t="s">
        <v>22</v>
      </c>
      <c r="K1337" s="34" t="s">
        <v>48</v>
      </c>
      <c r="L1337" s="34" t="s">
        <v>47</v>
      </c>
      <c r="M1337">
        <v>-1.8765499999999997</v>
      </c>
    </row>
    <row r="1338" spans="1:13" x14ac:dyDescent="0.3">
      <c r="A1338" s="34" t="s">
        <v>662</v>
      </c>
      <c r="B1338">
        <v>-1</v>
      </c>
      <c r="C1338">
        <v>2050</v>
      </c>
      <c r="D1338" s="34" t="s">
        <v>350</v>
      </c>
      <c r="E1338" s="34" t="s">
        <v>351</v>
      </c>
      <c r="F1338" s="34" t="s">
        <v>622</v>
      </c>
      <c r="G1338" s="34" t="s">
        <v>30</v>
      </c>
      <c r="H1338" s="34" t="s">
        <v>21</v>
      </c>
      <c r="I1338" s="34" t="s">
        <v>19</v>
      </c>
      <c r="J1338" s="34" t="s">
        <v>22</v>
      </c>
      <c r="K1338" s="34" t="s">
        <v>46</v>
      </c>
      <c r="L1338" s="34" t="s">
        <v>47</v>
      </c>
      <c r="M1338">
        <v>0.14435000000000001</v>
      </c>
    </row>
    <row r="1339" spans="1:13" x14ac:dyDescent="0.3">
      <c r="A1339" s="34" t="s">
        <v>662</v>
      </c>
      <c r="B1339">
        <v>-1</v>
      </c>
      <c r="C1339">
        <v>2050</v>
      </c>
      <c r="D1339" s="34" t="s">
        <v>350</v>
      </c>
      <c r="E1339" s="34" t="s">
        <v>351</v>
      </c>
      <c r="F1339" s="34" t="s">
        <v>622</v>
      </c>
      <c r="G1339" s="34" t="s">
        <v>30</v>
      </c>
      <c r="H1339" s="34" t="s">
        <v>21</v>
      </c>
      <c r="I1339" s="34" t="s">
        <v>19</v>
      </c>
      <c r="J1339" s="34" t="s">
        <v>22</v>
      </c>
      <c r="K1339" s="34" t="s">
        <v>48</v>
      </c>
      <c r="L1339" s="34" t="s">
        <v>47</v>
      </c>
      <c r="M1339">
        <v>-0.14435000000000001</v>
      </c>
    </row>
    <row r="1340" spans="1:13" x14ac:dyDescent="0.3">
      <c r="A1340" s="34" t="s">
        <v>662</v>
      </c>
      <c r="B1340">
        <v>-1</v>
      </c>
      <c r="C1340">
        <v>2050</v>
      </c>
      <c r="D1340" s="34" t="s">
        <v>350</v>
      </c>
      <c r="E1340" s="34" t="s">
        <v>351</v>
      </c>
      <c r="F1340" s="34" t="s">
        <v>622</v>
      </c>
      <c r="G1340" s="34" t="s">
        <v>644</v>
      </c>
      <c r="H1340" s="34" t="s">
        <v>21</v>
      </c>
      <c r="I1340" s="34" t="s">
        <v>19</v>
      </c>
      <c r="J1340" s="34" t="s">
        <v>22</v>
      </c>
      <c r="K1340" s="34" t="s">
        <v>49</v>
      </c>
      <c r="L1340" s="34" t="s">
        <v>47</v>
      </c>
      <c r="M1340">
        <v>9.6509999999999998</v>
      </c>
    </row>
    <row r="1341" spans="1:13" x14ac:dyDescent="0.3">
      <c r="A1341" s="34" t="s">
        <v>662</v>
      </c>
      <c r="B1341">
        <v>-1</v>
      </c>
      <c r="C1341">
        <v>2050</v>
      </c>
      <c r="D1341" s="34" t="s">
        <v>352</v>
      </c>
      <c r="E1341" s="34" t="s">
        <v>353</v>
      </c>
      <c r="F1341" s="34" t="s">
        <v>571</v>
      </c>
      <c r="G1341" s="34" t="s">
        <v>43</v>
      </c>
      <c r="H1341" s="34" t="s">
        <v>40</v>
      </c>
      <c r="I1341" s="34" t="s">
        <v>19</v>
      </c>
      <c r="J1341" s="34" t="s">
        <v>27</v>
      </c>
      <c r="K1341" s="34" t="s">
        <v>46</v>
      </c>
      <c r="L1341" s="34" t="s">
        <v>47</v>
      </c>
      <c r="M1341">
        <v>1.226</v>
      </c>
    </row>
    <row r="1342" spans="1:13" x14ac:dyDescent="0.3">
      <c r="A1342" s="34" t="s">
        <v>662</v>
      </c>
      <c r="B1342">
        <v>-1</v>
      </c>
      <c r="C1342">
        <v>2050</v>
      </c>
      <c r="D1342" s="34" t="s">
        <v>352</v>
      </c>
      <c r="E1342" s="34" t="s">
        <v>353</v>
      </c>
      <c r="F1342" s="34" t="s">
        <v>571</v>
      </c>
      <c r="G1342" s="34" t="s">
        <v>43</v>
      </c>
      <c r="H1342" s="34" t="s">
        <v>40</v>
      </c>
      <c r="I1342" s="34" t="s">
        <v>19</v>
      </c>
      <c r="J1342" s="34" t="s">
        <v>27</v>
      </c>
      <c r="K1342" s="34" t="s">
        <v>48</v>
      </c>
      <c r="L1342" s="34" t="s">
        <v>47</v>
      </c>
      <c r="M1342">
        <v>-1.226</v>
      </c>
    </row>
    <row r="1343" spans="1:13" x14ac:dyDescent="0.3">
      <c r="A1343" s="34" t="s">
        <v>662</v>
      </c>
      <c r="B1343">
        <v>-1</v>
      </c>
      <c r="C1343">
        <v>2050</v>
      </c>
      <c r="D1343" s="34" t="s">
        <v>352</v>
      </c>
      <c r="E1343" s="34" t="s">
        <v>353</v>
      </c>
      <c r="F1343" s="34" t="s">
        <v>571</v>
      </c>
      <c r="G1343" s="34" t="s">
        <v>247</v>
      </c>
      <c r="H1343" s="34" t="s">
        <v>209</v>
      </c>
      <c r="I1343" s="34" t="s">
        <v>19</v>
      </c>
      <c r="J1343" s="34" t="s">
        <v>27</v>
      </c>
      <c r="K1343" s="34" t="s">
        <v>46</v>
      </c>
      <c r="L1343" s="34" t="s">
        <v>47</v>
      </c>
      <c r="M1343">
        <v>0.4</v>
      </c>
    </row>
    <row r="1344" spans="1:13" x14ac:dyDescent="0.3">
      <c r="A1344" s="34" t="s">
        <v>662</v>
      </c>
      <c r="B1344">
        <v>-1</v>
      </c>
      <c r="C1344">
        <v>2050</v>
      </c>
      <c r="D1344" s="34" t="s">
        <v>352</v>
      </c>
      <c r="E1344" s="34" t="s">
        <v>353</v>
      </c>
      <c r="F1344" s="34" t="s">
        <v>571</v>
      </c>
      <c r="G1344" s="34" t="s">
        <v>247</v>
      </c>
      <c r="H1344" s="34" t="s">
        <v>209</v>
      </c>
      <c r="I1344" s="34" t="s">
        <v>19</v>
      </c>
      <c r="J1344" s="34" t="s">
        <v>27</v>
      </c>
      <c r="K1344" s="34" t="s">
        <v>48</v>
      </c>
      <c r="L1344" s="34" t="s">
        <v>47</v>
      </c>
      <c r="M1344">
        <v>-0.4</v>
      </c>
    </row>
    <row r="1345" spans="1:13" x14ac:dyDescent="0.3">
      <c r="A1345" s="34" t="s">
        <v>662</v>
      </c>
      <c r="B1345">
        <v>-1</v>
      </c>
      <c r="C1345">
        <v>2050</v>
      </c>
      <c r="D1345" s="34" t="s">
        <v>352</v>
      </c>
      <c r="E1345" s="34" t="s">
        <v>353</v>
      </c>
      <c r="F1345" s="34" t="s">
        <v>571</v>
      </c>
      <c r="G1345" s="34" t="s">
        <v>282</v>
      </c>
      <c r="H1345" s="34" t="s">
        <v>237</v>
      </c>
      <c r="I1345" s="34" t="s">
        <v>19</v>
      </c>
      <c r="J1345" s="34" t="s">
        <v>27</v>
      </c>
      <c r="K1345" s="34" t="s">
        <v>46</v>
      </c>
      <c r="L1345" s="34" t="s">
        <v>47</v>
      </c>
      <c r="M1345">
        <v>0.19</v>
      </c>
    </row>
    <row r="1346" spans="1:13" x14ac:dyDescent="0.3">
      <c r="A1346" s="34" t="s">
        <v>662</v>
      </c>
      <c r="B1346">
        <v>-1</v>
      </c>
      <c r="C1346">
        <v>2050</v>
      </c>
      <c r="D1346" s="34" t="s">
        <v>352</v>
      </c>
      <c r="E1346" s="34" t="s">
        <v>353</v>
      </c>
      <c r="F1346" s="34" t="s">
        <v>571</v>
      </c>
      <c r="G1346" s="34" t="s">
        <v>282</v>
      </c>
      <c r="H1346" s="34" t="s">
        <v>237</v>
      </c>
      <c r="I1346" s="34" t="s">
        <v>19</v>
      </c>
      <c r="J1346" s="34" t="s">
        <v>27</v>
      </c>
      <c r="K1346" s="34" t="s">
        <v>48</v>
      </c>
      <c r="L1346" s="34" t="s">
        <v>47</v>
      </c>
      <c r="M1346">
        <v>-0.19</v>
      </c>
    </row>
    <row r="1347" spans="1:13" x14ac:dyDescent="0.3">
      <c r="A1347" s="34" t="s">
        <v>662</v>
      </c>
      <c r="B1347">
        <v>-1</v>
      </c>
      <c r="C1347">
        <v>2050</v>
      </c>
      <c r="D1347" s="34" t="s">
        <v>352</v>
      </c>
      <c r="E1347" s="34" t="s">
        <v>353</v>
      </c>
      <c r="F1347" s="34" t="s">
        <v>571</v>
      </c>
      <c r="G1347" s="34" t="s">
        <v>31</v>
      </c>
      <c r="H1347" s="34" t="s">
        <v>18</v>
      </c>
      <c r="I1347" s="34" t="s">
        <v>19</v>
      </c>
      <c r="J1347" s="34" t="s">
        <v>32</v>
      </c>
      <c r="K1347" s="34" t="s">
        <v>46</v>
      </c>
      <c r="L1347" s="34" t="s">
        <v>47</v>
      </c>
      <c r="M1347">
        <v>0.753</v>
      </c>
    </row>
    <row r="1348" spans="1:13" x14ac:dyDescent="0.3">
      <c r="A1348" s="34" t="s">
        <v>662</v>
      </c>
      <c r="B1348">
        <v>-1</v>
      </c>
      <c r="C1348">
        <v>2050</v>
      </c>
      <c r="D1348" s="34" t="s">
        <v>352</v>
      </c>
      <c r="E1348" s="34" t="s">
        <v>353</v>
      </c>
      <c r="F1348" s="34" t="s">
        <v>571</v>
      </c>
      <c r="G1348" s="34" t="s">
        <v>180</v>
      </c>
      <c r="H1348" s="34" t="s">
        <v>18</v>
      </c>
      <c r="I1348" s="34" t="s">
        <v>19</v>
      </c>
      <c r="J1348" s="34" t="s">
        <v>181</v>
      </c>
      <c r="K1348" s="34" t="s">
        <v>46</v>
      </c>
      <c r="L1348" s="34" t="s">
        <v>47</v>
      </c>
      <c r="M1348">
        <v>0.33400000000000002</v>
      </c>
    </row>
    <row r="1349" spans="1:13" x14ac:dyDescent="0.3">
      <c r="A1349" s="34" t="s">
        <v>662</v>
      </c>
      <c r="B1349">
        <v>-1</v>
      </c>
      <c r="C1349">
        <v>2050</v>
      </c>
      <c r="D1349" s="34" t="s">
        <v>352</v>
      </c>
      <c r="E1349" s="34" t="s">
        <v>353</v>
      </c>
      <c r="F1349" s="34" t="s">
        <v>571</v>
      </c>
      <c r="G1349" s="34" t="s">
        <v>54</v>
      </c>
      <c r="H1349" s="34" t="s">
        <v>39</v>
      </c>
      <c r="I1349" s="34" t="s">
        <v>19</v>
      </c>
      <c r="J1349" s="34" t="s">
        <v>27</v>
      </c>
      <c r="K1349" s="34" t="s">
        <v>46</v>
      </c>
      <c r="L1349" s="34" t="s">
        <v>47</v>
      </c>
      <c r="M1349">
        <v>9.65</v>
      </c>
    </row>
    <row r="1350" spans="1:13" x14ac:dyDescent="0.3">
      <c r="A1350" s="34" t="s">
        <v>662</v>
      </c>
      <c r="B1350">
        <v>-1</v>
      </c>
      <c r="C1350">
        <v>2050</v>
      </c>
      <c r="D1350" s="34" t="s">
        <v>352</v>
      </c>
      <c r="E1350" s="34" t="s">
        <v>353</v>
      </c>
      <c r="F1350" s="34" t="s">
        <v>571</v>
      </c>
      <c r="G1350" s="34" t="s">
        <v>54</v>
      </c>
      <c r="H1350" s="34" t="s">
        <v>39</v>
      </c>
      <c r="I1350" s="34" t="s">
        <v>19</v>
      </c>
      <c r="J1350" s="34" t="s">
        <v>27</v>
      </c>
      <c r="K1350" s="34" t="s">
        <v>48</v>
      </c>
      <c r="L1350" s="34" t="s">
        <v>47</v>
      </c>
      <c r="M1350">
        <v>-9.65</v>
      </c>
    </row>
    <row r="1351" spans="1:13" x14ac:dyDescent="0.3">
      <c r="A1351" s="34" t="s">
        <v>662</v>
      </c>
      <c r="B1351">
        <v>-1</v>
      </c>
      <c r="C1351">
        <v>2050</v>
      </c>
      <c r="D1351" s="34" t="s">
        <v>352</v>
      </c>
      <c r="E1351" s="34" t="s">
        <v>353</v>
      </c>
      <c r="F1351" s="34" t="s">
        <v>571</v>
      </c>
      <c r="G1351" s="34" t="s">
        <v>296</v>
      </c>
      <c r="H1351" s="34" t="s">
        <v>39</v>
      </c>
      <c r="I1351" s="34" t="s">
        <v>203</v>
      </c>
      <c r="J1351" s="34" t="s">
        <v>204</v>
      </c>
      <c r="K1351" s="34" t="s">
        <v>46</v>
      </c>
      <c r="L1351" s="34" t="s">
        <v>47</v>
      </c>
      <c r="M1351">
        <v>3.333333333333333</v>
      </c>
    </row>
    <row r="1352" spans="1:13" x14ac:dyDescent="0.3">
      <c r="A1352" s="34" t="s">
        <v>662</v>
      </c>
      <c r="B1352">
        <v>-1</v>
      </c>
      <c r="C1352">
        <v>2050</v>
      </c>
      <c r="D1352" s="34" t="s">
        <v>352</v>
      </c>
      <c r="E1352" s="34" t="s">
        <v>353</v>
      </c>
      <c r="F1352" s="34" t="s">
        <v>571</v>
      </c>
      <c r="G1352" s="34" t="s">
        <v>296</v>
      </c>
      <c r="H1352" s="34" t="s">
        <v>39</v>
      </c>
      <c r="I1352" s="34" t="s">
        <v>203</v>
      </c>
      <c r="J1352" s="34" t="s">
        <v>204</v>
      </c>
      <c r="K1352" s="34" t="s">
        <v>48</v>
      </c>
      <c r="L1352" s="34" t="s">
        <v>47</v>
      </c>
      <c r="M1352">
        <v>-3.333333333333333</v>
      </c>
    </row>
    <row r="1353" spans="1:13" x14ac:dyDescent="0.3">
      <c r="A1353" s="34" t="s">
        <v>662</v>
      </c>
      <c r="B1353">
        <v>-1</v>
      </c>
      <c r="C1353">
        <v>2050</v>
      </c>
      <c r="D1353" s="34" t="s">
        <v>352</v>
      </c>
      <c r="E1353" s="34" t="s">
        <v>353</v>
      </c>
      <c r="F1353" s="34" t="s">
        <v>571</v>
      </c>
      <c r="G1353" s="34" t="s">
        <v>296</v>
      </c>
      <c r="H1353" s="34" t="s">
        <v>39</v>
      </c>
      <c r="I1353" s="34" t="s">
        <v>19</v>
      </c>
      <c r="J1353" s="34" t="s">
        <v>204</v>
      </c>
      <c r="K1353" s="34" t="s">
        <v>46</v>
      </c>
      <c r="L1353" s="34" t="s">
        <v>47</v>
      </c>
      <c r="M1353">
        <v>3</v>
      </c>
    </row>
    <row r="1354" spans="1:13" x14ac:dyDescent="0.3">
      <c r="A1354" s="34" t="s">
        <v>662</v>
      </c>
      <c r="B1354">
        <v>-1</v>
      </c>
      <c r="C1354">
        <v>2050</v>
      </c>
      <c r="D1354" s="34" t="s">
        <v>352</v>
      </c>
      <c r="E1354" s="34" t="s">
        <v>353</v>
      </c>
      <c r="F1354" s="34" t="s">
        <v>571</v>
      </c>
      <c r="G1354" s="34" t="s">
        <v>296</v>
      </c>
      <c r="H1354" s="34" t="s">
        <v>39</v>
      </c>
      <c r="I1354" s="34" t="s">
        <v>19</v>
      </c>
      <c r="J1354" s="34" t="s">
        <v>204</v>
      </c>
      <c r="K1354" s="34" t="s">
        <v>48</v>
      </c>
      <c r="L1354" s="34" t="s">
        <v>47</v>
      </c>
      <c r="M1354">
        <v>-3</v>
      </c>
    </row>
    <row r="1355" spans="1:13" x14ac:dyDescent="0.3">
      <c r="A1355" s="34" t="s">
        <v>662</v>
      </c>
      <c r="B1355">
        <v>-1</v>
      </c>
      <c r="C1355">
        <v>2050</v>
      </c>
      <c r="D1355" s="34" t="s">
        <v>352</v>
      </c>
      <c r="E1355" s="34" t="s">
        <v>353</v>
      </c>
      <c r="F1355" s="34" t="s">
        <v>571</v>
      </c>
      <c r="G1355" s="34" t="s">
        <v>276</v>
      </c>
      <c r="H1355" s="34" t="s">
        <v>237</v>
      </c>
      <c r="I1355" s="34" t="s">
        <v>19</v>
      </c>
      <c r="J1355" s="34" t="s">
        <v>27</v>
      </c>
      <c r="K1355" s="34" t="s">
        <v>46</v>
      </c>
      <c r="L1355" s="34" t="s">
        <v>47</v>
      </c>
      <c r="M1355">
        <v>0.19</v>
      </c>
    </row>
    <row r="1356" spans="1:13" x14ac:dyDescent="0.3">
      <c r="A1356" s="34" t="s">
        <v>662</v>
      </c>
      <c r="B1356">
        <v>-1</v>
      </c>
      <c r="C1356">
        <v>2050</v>
      </c>
      <c r="D1356" s="34" t="s">
        <v>352</v>
      </c>
      <c r="E1356" s="34" t="s">
        <v>353</v>
      </c>
      <c r="F1356" s="34" t="s">
        <v>571</v>
      </c>
      <c r="G1356" s="34" t="s">
        <v>276</v>
      </c>
      <c r="H1356" s="34" t="s">
        <v>237</v>
      </c>
      <c r="I1356" s="34" t="s">
        <v>19</v>
      </c>
      <c r="J1356" s="34" t="s">
        <v>27</v>
      </c>
      <c r="K1356" s="34" t="s">
        <v>48</v>
      </c>
      <c r="L1356" s="34" t="s">
        <v>47</v>
      </c>
      <c r="M1356">
        <v>-0.19</v>
      </c>
    </row>
    <row r="1357" spans="1:13" x14ac:dyDescent="0.3">
      <c r="A1357" s="34" t="s">
        <v>662</v>
      </c>
      <c r="B1357">
        <v>-1</v>
      </c>
      <c r="C1357">
        <v>2050</v>
      </c>
      <c r="D1357" s="34" t="s">
        <v>352</v>
      </c>
      <c r="E1357" s="34" t="s">
        <v>353</v>
      </c>
      <c r="F1357" s="34" t="s">
        <v>571</v>
      </c>
      <c r="G1357" s="34" t="s">
        <v>307</v>
      </c>
      <c r="H1357" s="34" t="s">
        <v>26</v>
      </c>
      <c r="I1357" s="34" t="s">
        <v>19</v>
      </c>
      <c r="J1357" s="34" t="s">
        <v>27</v>
      </c>
      <c r="K1357" s="34" t="s">
        <v>46</v>
      </c>
      <c r="L1357" s="34" t="s">
        <v>47</v>
      </c>
      <c r="M1357">
        <v>0.1</v>
      </c>
    </row>
    <row r="1358" spans="1:13" x14ac:dyDescent="0.3">
      <c r="A1358" s="34" t="s">
        <v>662</v>
      </c>
      <c r="B1358">
        <v>-1</v>
      </c>
      <c r="C1358">
        <v>2050</v>
      </c>
      <c r="D1358" s="34" t="s">
        <v>352</v>
      </c>
      <c r="E1358" s="34" t="s">
        <v>353</v>
      </c>
      <c r="F1358" s="34" t="s">
        <v>571</v>
      </c>
      <c r="G1358" s="34" t="s">
        <v>307</v>
      </c>
      <c r="H1358" s="34" t="s">
        <v>26</v>
      </c>
      <c r="I1358" s="34" t="s">
        <v>19</v>
      </c>
      <c r="J1358" s="34" t="s">
        <v>27</v>
      </c>
      <c r="K1358" s="34" t="s">
        <v>48</v>
      </c>
      <c r="L1358" s="34" t="s">
        <v>47</v>
      </c>
      <c r="M1358">
        <v>-0.1</v>
      </c>
    </row>
    <row r="1359" spans="1:13" x14ac:dyDescent="0.3">
      <c r="A1359" s="34" t="s">
        <v>662</v>
      </c>
      <c r="B1359">
        <v>-1</v>
      </c>
      <c r="C1359">
        <v>2050</v>
      </c>
      <c r="D1359" s="34" t="s">
        <v>352</v>
      </c>
      <c r="E1359" s="34" t="s">
        <v>353</v>
      </c>
      <c r="F1359" s="34" t="s">
        <v>571</v>
      </c>
      <c r="G1359" s="34" t="s">
        <v>253</v>
      </c>
      <c r="H1359" s="34" t="s">
        <v>254</v>
      </c>
      <c r="I1359" s="34" t="s">
        <v>19</v>
      </c>
      <c r="J1359" s="34" t="s">
        <v>27</v>
      </c>
      <c r="K1359" s="34" t="s">
        <v>46</v>
      </c>
      <c r="L1359" s="34" t="s">
        <v>47</v>
      </c>
      <c r="M1359">
        <v>4.04</v>
      </c>
    </row>
    <row r="1360" spans="1:13" x14ac:dyDescent="0.3">
      <c r="A1360" s="34" t="s">
        <v>662</v>
      </c>
      <c r="B1360">
        <v>-1</v>
      </c>
      <c r="C1360">
        <v>2050</v>
      </c>
      <c r="D1360" s="34" t="s">
        <v>352</v>
      </c>
      <c r="E1360" s="34" t="s">
        <v>353</v>
      </c>
      <c r="F1360" s="34" t="s">
        <v>571</v>
      </c>
      <c r="G1360" s="34" t="s">
        <v>253</v>
      </c>
      <c r="H1360" s="34" t="s">
        <v>254</v>
      </c>
      <c r="I1360" s="34" t="s">
        <v>19</v>
      </c>
      <c r="J1360" s="34" t="s">
        <v>27</v>
      </c>
      <c r="K1360" s="34" t="s">
        <v>48</v>
      </c>
      <c r="L1360" s="34" t="s">
        <v>47</v>
      </c>
      <c r="M1360">
        <v>-4.04</v>
      </c>
    </row>
    <row r="1361" spans="1:13" x14ac:dyDescent="0.3">
      <c r="A1361" s="34" t="s">
        <v>662</v>
      </c>
      <c r="B1361">
        <v>-1</v>
      </c>
      <c r="C1361">
        <v>2050</v>
      </c>
      <c r="D1361" s="34" t="s">
        <v>352</v>
      </c>
      <c r="E1361" s="34" t="s">
        <v>353</v>
      </c>
      <c r="F1361" s="34" t="s">
        <v>571</v>
      </c>
      <c r="G1361" s="34" t="s">
        <v>52</v>
      </c>
      <c r="H1361" s="34" t="s">
        <v>53</v>
      </c>
      <c r="I1361" s="34" t="s">
        <v>19</v>
      </c>
      <c r="J1361" s="34" t="s">
        <v>27</v>
      </c>
      <c r="K1361" s="34" t="s">
        <v>46</v>
      </c>
      <c r="L1361" s="34" t="s">
        <v>47</v>
      </c>
      <c r="M1361">
        <v>0.4</v>
      </c>
    </row>
    <row r="1362" spans="1:13" x14ac:dyDescent="0.3">
      <c r="A1362" s="34" t="s">
        <v>662</v>
      </c>
      <c r="B1362">
        <v>-1</v>
      </c>
      <c r="C1362">
        <v>2050</v>
      </c>
      <c r="D1362" s="34" t="s">
        <v>352</v>
      </c>
      <c r="E1362" s="34" t="s">
        <v>353</v>
      </c>
      <c r="F1362" s="34" t="s">
        <v>571</v>
      </c>
      <c r="G1362" s="34" t="s">
        <v>52</v>
      </c>
      <c r="H1362" s="34" t="s">
        <v>53</v>
      </c>
      <c r="I1362" s="34" t="s">
        <v>19</v>
      </c>
      <c r="J1362" s="34" t="s">
        <v>27</v>
      </c>
      <c r="K1362" s="34" t="s">
        <v>48</v>
      </c>
      <c r="L1362" s="34" t="s">
        <v>47</v>
      </c>
      <c r="M1362">
        <v>-0.4</v>
      </c>
    </row>
    <row r="1363" spans="1:13" x14ac:dyDescent="0.3">
      <c r="A1363" s="34" t="s">
        <v>662</v>
      </c>
      <c r="B1363">
        <v>-1</v>
      </c>
      <c r="C1363">
        <v>2050</v>
      </c>
      <c r="D1363" s="34" t="s">
        <v>352</v>
      </c>
      <c r="E1363" s="34" t="s">
        <v>353</v>
      </c>
      <c r="F1363" s="34" t="s">
        <v>571</v>
      </c>
      <c r="G1363" s="34" t="s">
        <v>16</v>
      </c>
      <c r="H1363" s="34" t="s">
        <v>12</v>
      </c>
      <c r="I1363" s="34" t="s">
        <v>13</v>
      </c>
      <c r="J1363" s="34" t="s">
        <v>14</v>
      </c>
      <c r="K1363" s="34" t="s">
        <v>49</v>
      </c>
      <c r="L1363" s="34" t="s">
        <v>47</v>
      </c>
      <c r="M1363">
        <v>1.4136441901428258</v>
      </c>
    </row>
    <row r="1364" spans="1:13" x14ac:dyDescent="0.3">
      <c r="A1364" s="34" t="s">
        <v>662</v>
      </c>
      <c r="B1364">
        <v>-1</v>
      </c>
      <c r="C1364">
        <v>2050</v>
      </c>
      <c r="D1364" s="34" t="s">
        <v>352</v>
      </c>
      <c r="E1364" s="34" t="s">
        <v>353</v>
      </c>
      <c r="F1364" s="34" t="s">
        <v>571</v>
      </c>
      <c r="G1364" s="34" t="s">
        <v>41</v>
      </c>
      <c r="H1364" s="34" t="s">
        <v>40</v>
      </c>
      <c r="I1364" s="34" t="s">
        <v>13</v>
      </c>
      <c r="J1364" s="34" t="s">
        <v>42</v>
      </c>
      <c r="K1364" s="34" t="s">
        <v>46</v>
      </c>
      <c r="L1364" s="34" t="s">
        <v>47</v>
      </c>
      <c r="M1364">
        <v>0.77060031926043604</v>
      </c>
    </row>
    <row r="1365" spans="1:13" x14ac:dyDescent="0.3">
      <c r="A1365" s="34" t="s">
        <v>662</v>
      </c>
      <c r="B1365">
        <v>-1</v>
      </c>
      <c r="C1365">
        <v>2050</v>
      </c>
      <c r="D1365" s="34" t="s">
        <v>352</v>
      </c>
      <c r="E1365" s="34" t="s">
        <v>353</v>
      </c>
      <c r="F1365" s="34" t="s">
        <v>571</v>
      </c>
      <c r="G1365" s="34" t="s">
        <v>41</v>
      </c>
      <c r="H1365" s="34" t="s">
        <v>40</v>
      </c>
      <c r="I1365" s="34" t="s">
        <v>13</v>
      </c>
      <c r="J1365" s="34" t="s">
        <v>42</v>
      </c>
      <c r="K1365" s="34" t="s">
        <v>48</v>
      </c>
      <c r="L1365" s="34" t="s">
        <v>47</v>
      </c>
      <c r="M1365">
        <v>-0.77060031926043604</v>
      </c>
    </row>
    <row r="1366" spans="1:13" x14ac:dyDescent="0.3">
      <c r="A1366" s="34" t="s">
        <v>662</v>
      </c>
      <c r="B1366">
        <v>-1</v>
      </c>
      <c r="C1366">
        <v>2050</v>
      </c>
      <c r="D1366" s="34" t="s">
        <v>352</v>
      </c>
      <c r="E1366" s="34" t="s">
        <v>353</v>
      </c>
      <c r="F1366" s="34" t="s">
        <v>623</v>
      </c>
      <c r="G1366" s="34" t="s">
        <v>28</v>
      </c>
      <c r="H1366" s="34" t="s">
        <v>23</v>
      </c>
      <c r="I1366" s="34" t="s">
        <v>19</v>
      </c>
      <c r="J1366" s="34" t="s">
        <v>24</v>
      </c>
      <c r="K1366" s="34" t="s">
        <v>46</v>
      </c>
      <c r="L1366" s="34" t="s">
        <v>47</v>
      </c>
      <c r="M1366">
        <v>2.0489999999999999</v>
      </c>
    </row>
    <row r="1367" spans="1:13" x14ac:dyDescent="0.3">
      <c r="A1367" s="34" t="s">
        <v>662</v>
      </c>
      <c r="B1367">
        <v>-1</v>
      </c>
      <c r="C1367">
        <v>2050</v>
      </c>
      <c r="D1367" s="34" t="s">
        <v>352</v>
      </c>
      <c r="E1367" s="34" t="s">
        <v>353</v>
      </c>
      <c r="F1367" s="34" t="s">
        <v>623</v>
      </c>
      <c r="G1367" s="34" t="s">
        <v>28</v>
      </c>
      <c r="H1367" s="34" t="s">
        <v>23</v>
      </c>
      <c r="I1367" s="34" t="s">
        <v>19</v>
      </c>
      <c r="J1367" s="34" t="s">
        <v>24</v>
      </c>
      <c r="K1367" s="34" t="s">
        <v>48</v>
      </c>
      <c r="L1367" s="34" t="s">
        <v>47</v>
      </c>
      <c r="M1367">
        <v>-2.0490000000000004</v>
      </c>
    </row>
    <row r="1368" spans="1:13" x14ac:dyDescent="0.3">
      <c r="A1368" s="34" t="s">
        <v>662</v>
      </c>
      <c r="B1368">
        <v>-1</v>
      </c>
      <c r="C1368">
        <v>2050</v>
      </c>
      <c r="D1368" s="34" t="s">
        <v>352</v>
      </c>
      <c r="E1368" s="34" t="s">
        <v>353</v>
      </c>
      <c r="F1368" s="34" t="s">
        <v>623</v>
      </c>
      <c r="G1368" s="34" t="s">
        <v>29</v>
      </c>
      <c r="H1368" s="34" t="s">
        <v>21</v>
      </c>
      <c r="I1368" s="34" t="s">
        <v>19</v>
      </c>
      <c r="J1368" s="34" t="s">
        <v>22</v>
      </c>
      <c r="K1368" s="34" t="s">
        <v>46</v>
      </c>
      <c r="L1368" s="34" t="s">
        <v>47</v>
      </c>
      <c r="M1368">
        <v>9.4799999999999995E-2</v>
      </c>
    </row>
    <row r="1369" spans="1:13" x14ac:dyDescent="0.3">
      <c r="A1369" s="34" t="s">
        <v>662</v>
      </c>
      <c r="B1369">
        <v>-1</v>
      </c>
      <c r="C1369">
        <v>2050</v>
      </c>
      <c r="D1369" s="34" t="s">
        <v>352</v>
      </c>
      <c r="E1369" s="34" t="s">
        <v>353</v>
      </c>
      <c r="F1369" s="34" t="s">
        <v>623</v>
      </c>
      <c r="G1369" s="34" t="s">
        <v>29</v>
      </c>
      <c r="H1369" s="34" t="s">
        <v>21</v>
      </c>
      <c r="I1369" s="34" t="s">
        <v>19</v>
      </c>
      <c r="J1369" s="34" t="s">
        <v>22</v>
      </c>
      <c r="K1369" s="34" t="s">
        <v>48</v>
      </c>
      <c r="L1369" s="34" t="s">
        <v>47</v>
      </c>
      <c r="M1369">
        <v>-9.4799999999999982E-2</v>
      </c>
    </row>
    <row r="1370" spans="1:13" x14ac:dyDescent="0.3">
      <c r="A1370" s="34" t="s">
        <v>662</v>
      </c>
      <c r="B1370">
        <v>-1</v>
      </c>
      <c r="C1370">
        <v>2050</v>
      </c>
      <c r="D1370" s="34" t="s">
        <v>352</v>
      </c>
      <c r="E1370" s="34" t="s">
        <v>353</v>
      </c>
      <c r="F1370" s="34" t="s">
        <v>623</v>
      </c>
      <c r="G1370" s="34" t="s">
        <v>20</v>
      </c>
      <c r="H1370" s="34" t="s">
        <v>21</v>
      </c>
      <c r="I1370" s="34" t="s">
        <v>19</v>
      </c>
      <c r="J1370" s="34" t="s">
        <v>22</v>
      </c>
      <c r="K1370" s="34" t="s">
        <v>46</v>
      </c>
      <c r="L1370" s="34" t="s">
        <v>47</v>
      </c>
      <c r="M1370">
        <v>0.2054</v>
      </c>
    </row>
    <row r="1371" spans="1:13" x14ac:dyDescent="0.3">
      <c r="A1371" s="34" t="s">
        <v>662</v>
      </c>
      <c r="B1371">
        <v>-1</v>
      </c>
      <c r="C1371">
        <v>2050</v>
      </c>
      <c r="D1371" s="34" t="s">
        <v>352</v>
      </c>
      <c r="E1371" s="34" t="s">
        <v>353</v>
      </c>
      <c r="F1371" s="34" t="s">
        <v>623</v>
      </c>
      <c r="G1371" s="34" t="s">
        <v>20</v>
      </c>
      <c r="H1371" s="34" t="s">
        <v>21</v>
      </c>
      <c r="I1371" s="34" t="s">
        <v>19</v>
      </c>
      <c r="J1371" s="34" t="s">
        <v>22</v>
      </c>
      <c r="K1371" s="34" t="s">
        <v>48</v>
      </c>
      <c r="L1371" s="34" t="s">
        <v>47</v>
      </c>
      <c r="M1371">
        <v>-0.20540000000000005</v>
      </c>
    </row>
    <row r="1372" spans="1:13" x14ac:dyDescent="0.3">
      <c r="A1372" s="34" t="s">
        <v>662</v>
      </c>
      <c r="B1372">
        <v>-1</v>
      </c>
      <c r="C1372">
        <v>2050</v>
      </c>
      <c r="D1372" s="34" t="s">
        <v>352</v>
      </c>
      <c r="E1372" s="34" t="s">
        <v>353</v>
      </c>
      <c r="F1372" s="34" t="s">
        <v>623</v>
      </c>
      <c r="G1372" s="34" t="s">
        <v>30</v>
      </c>
      <c r="H1372" s="34" t="s">
        <v>21</v>
      </c>
      <c r="I1372" s="34" t="s">
        <v>19</v>
      </c>
      <c r="J1372" s="34" t="s">
        <v>22</v>
      </c>
      <c r="K1372" s="34" t="s">
        <v>46</v>
      </c>
      <c r="L1372" s="34" t="s">
        <v>47</v>
      </c>
      <c r="M1372">
        <v>1.5800000000000002E-2</v>
      </c>
    </row>
    <row r="1373" spans="1:13" x14ac:dyDescent="0.3">
      <c r="A1373" s="34" t="s">
        <v>662</v>
      </c>
      <c r="B1373">
        <v>-1</v>
      </c>
      <c r="C1373">
        <v>2050</v>
      </c>
      <c r="D1373" s="34" t="s">
        <v>352</v>
      </c>
      <c r="E1373" s="34" t="s">
        <v>353</v>
      </c>
      <c r="F1373" s="34" t="s">
        <v>623</v>
      </c>
      <c r="G1373" s="34" t="s">
        <v>30</v>
      </c>
      <c r="H1373" s="34" t="s">
        <v>21</v>
      </c>
      <c r="I1373" s="34" t="s">
        <v>19</v>
      </c>
      <c r="J1373" s="34" t="s">
        <v>22</v>
      </c>
      <c r="K1373" s="34" t="s">
        <v>48</v>
      </c>
      <c r="L1373" s="34" t="s">
        <v>47</v>
      </c>
      <c r="M1373">
        <v>-1.5799999999999995E-2</v>
      </c>
    </row>
    <row r="1374" spans="1:13" x14ac:dyDescent="0.3">
      <c r="A1374" s="34" t="s">
        <v>662</v>
      </c>
      <c r="B1374">
        <v>-1</v>
      </c>
      <c r="C1374">
        <v>2050</v>
      </c>
      <c r="D1374" s="34" t="s">
        <v>352</v>
      </c>
      <c r="E1374" s="34" t="s">
        <v>353</v>
      </c>
      <c r="F1374" s="34" t="s">
        <v>623</v>
      </c>
      <c r="G1374" s="34" t="s">
        <v>644</v>
      </c>
      <c r="H1374" s="34" t="s">
        <v>21</v>
      </c>
      <c r="I1374" s="34" t="s">
        <v>19</v>
      </c>
      <c r="J1374" s="34" t="s">
        <v>22</v>
      </c>
      <c r="K1374" s="34" t="s">
        <v>49</v>
      </c>
      <c r="L1374" s="34" t="s">
        <v>47</v>
      </c>
      <c r="M1374">
        <v>18.846</v>
      </c>
    </row>
    <row r="1375" spans="1:13" x14ac:dyDescent="0.3">
      <c r="A1375" s="34" t="s">
        <v>662</v>
      </c>
      <c r="B1375">
        <v>-1</v>
      </c>
      <c r="C1375">
        <v>2050</v>
      </c>
      <c r="D1375" s="34" t="s">
        <v>352</v>
      </c>
      <c r="E1375" s="34" t="s">
        <v>353</v>
      </c>
      <c r="F1375" s="34" t="s">
        <v>623</v>
      </c>
      <c r="G1375" s="34" t="s">
        <v>645</v>
      </c>
      <c r="H1375" s="34" t="s">
        <v>23</v>
      </c>
      <c r="I1375" s="34" t="s">
        <v>19</v>
      </c>
      <c r="J1375" s="34" t="s">
        <v>24</v>
      </c>
      <c r="K1375" s="34" t="s">
        <v>49</v>
      </c>
      <c r="L1375" s="34" t="s">
        <v>47</v>
      </c>
      <c r="M1375">
        <v>9.9730197906404729</v>
      </c>
    </row>
    <row r="1376" spans="1:13" x14ac:dyDescent="0.3">
      <c r="A1376" s="34" t="s">
        <v>662</v>
      </c>
      <c r="B1376">
        <v>-1</v>
      </c>
      <c r="C1376">
        <v>2050</v>
      </c>
      <c r="D1376" s="34" t="s">
        <v>354</v>
      </c>
      <c r="E1376" s="34" t="s">
        <v>355</v>
      </c>
      <c r="F1376" s="34" t="s">
        <v>572</v>
      </c>
      <c r="G1376" s="34" t="s">
        <v>43</v>
      </c>
      <c r="H1376" s="34" t="s">
        <v>40</v>
      </c>
      <c r="I1376" s="34" t="s">
        <v>19</v>
      </c>
      <c r="J1376" s="34" t="s">
        <v>27</v>
      </c>
      <c r="K1376" s="34" t="s">
        <v>46</v>
      </c>
      <c r="L1376" s="34" t="s">
        <v>47</v>
      </c>
      <c r="M1376">
        <v>24.523499000000001</v>
      </c>
    </row>
    <row r="1377" spans="1:13" x14ac:dyDescent="0.3">
      <c r="A1377" s="34" t="s">
        <v>662</v>
      </c>
      <c r="B1377">
        <v>-1</v>
      </c>
      <c r="C1377">
        <v>2050</v>
      </c>
      <c r="D1377" s="34" t="s">
        <v>354</v>
      </c>
      <c r="E1377" s="34" t="s">
        <v>355</v>
      </c>
      <c r="F1377" s="34" t="s">
        <v>572</v>
      </c>
      <c r="G1377" s="34" t="s">
        <v>43</v>
      </c>
      <c r="H1377" s="34" t="s">
        <v>40</v>
      </c>
      <c r="I1377" s="34" t="s">
        <v>19</v>
      </c>
      <c r="J1377" s="34" t="s">
        <v>27</v>
      </c>
      <c r="K1377" s="34" t="s">
        <v>48</v>
      </c>
      <c r="L1377" s="34" t="s">
        <v>47</v>
      </c>
      <c r="M1377">
        <v>-24.523499000000001</v>
      </c>
    </row>
    <row r="1378" spans="1:13" x14ac:dyDescent="0.3">
      <c r="A1378" s="34" t="s">
        <v>662</v>
      </c>
      <c r="B1378">
        <v>-1</v>
      </c>
      <c r="C1378">
        <v>2050</v>
      </c>
      <c r="D1378" s="34" t="s">
        <v>354</v>
      </c>
      <c r="E1378" s="34" t="s">
        <v>355</v>
      </c>
      <c r="F1378" s="34" t="s">
        <v>572</v>
      </c>
      <c r="G1378" s="34" t="s">
        <v>31</v>
      </c>
      <c r="H1378" s="34" t="s">
        <v>18</v>
      </c>
      <c r="I1378" s="34" t="s">
        <v>19</v>
      </c>
      <c r="J1378" s="34" t="s">
        <v>32</v>
      </c>
      <c r="K1378" s="34" t="s">
        <v>46</v>
      </c>
      <c r="L1378" s="34" t="s">
        <v>47</v>
      </c>
      <c r="M1378">
        <v>10.97</v>
      </c>
    </row>
    <row r="1379" spans="1:13" x14ac:dyDescent="0.3">
      <c r="A1379" s="34" t="s">
        <v>662</v>
      </c>
      <c r="B1379">
        <v>-1</v>
      </c>
      <c r="C1379">
        <v>2050</v>
      </c>
      <c r="D1379" s="34" t="s">
        <v>354</v>
      </c>
      <c r="E1379" s="34" t="s">
        <v>355</v>
      </c>
      <c r="F1379" s="34" t="s">
        <v>572</v>
      </c>
      <c r="G1379" s="34" t="s">
        <v>180</v>
      </c>
      <c r="H1379" s="34" t="s">
        <v>18</v>
      </c>
      <c r="I1379" s="34" t="s">
        <v>19</v>
      </c>
      <c r="J1379" s="34" t="s">
        <v>181</v>
      </c>
      <c r="K1379" s="34" t="s">
        <v>46</v>
      </c>
      <c r="L1379" s="34" t="s">
        <v>47</v>
      </c>
      <c r="M1379">
        <v>3.35</v>
      </c>
    </row>
    <row r="1380" spans="1:13" x14ac:dyDescent="0.3">
      <c r="A1380" s="34" t="s">
        <v>662</v>
      </c>
      <c r="B1380">
        <v>-1</v>
      </c>
      <c r="C1380">
        <v>2050</v>
      </c>
      <c r="D1380" s="34" t="s">
        <v>354</v>
      </c>
      <c r="E1380" s="34" t="s">
        <v>355</v>
      </c>
      <c r="F1380" s="34" t="s">
        <v>572</v>
      </c>
      <c r="G1380" s="34" t="s">
        <v>54</v>
      </c>
      <c r="H1380" s="34" t="s">
        <v>39</v>
      </c>
      <c r="I1380" s="34" t="s">
        <v>19</v>
      </c>
      <c r="J1380" s="34" t="s">
        <v>27</v>
      </c>
      <c r="K1380" s="34" t="s">
        <v>46</v>
      </c>
      <c r="L1380" s="34" t="s">
        <v>47</v>
      </c>
      <c r="M1380">
        <v>9.2112020000000001</v>
      </c>
    </row>
    <row r="1381" spans="1:13" x14ac:dyDescent="0.3">
      <c r="A1381" s="34" t="s">
        <v>662</v>
      </c>
      <c r="B1381">
        <v>-1</v>
      </c>
      <c r="C1381">
        <v>2050</v>
      </c>
      <c r="D1381" s="34" t="s">
        <v>354</v>
      </c>
      <c r="E1381" s="34" t="s">
        <v>355</v>
      </c>
      <c r="F1381" s="34" t="s">
        <v>572</v>
      </c>
      <c r="G1381" s="34" t="s">
        <v>54</v>
      </c>
      <c r="H1381" s="34" t="s">
        <v>39</v>
      </c>
      <c r="I1381" s="34" t="s">
        <v>19</v>
      </c>
      <c r="J1381" s="34" t="s">
        <v>27</v>
      </c>
      <c r="K1381" s="34" t="s">
        <v>48</v>
      </c>
      <c r="L1381" s="34" t="s">
        <v>47</v>
      </c>
      <c r="M1381">
        <v>-9.2112020000000001</v>
      </c>
    </row>
    <row r="1382" spans="1:13" x14ac:dyDescent="0.3">
      <c r="A1382" s="34" t="s">
        <v>662</v>
      </c>
      <c r="B1382">
        <v>-1</v>
      </c>
      <c r="C1382">
        <v>2050</v>
      </c>
      <c r="D1382" s="34" t="s">
        <v>354</v>
      </c>
      <c r="E1382" s="34" t="s">
        <v>355</v>
      </c>
      <c r="F1382" s="34" t="s">
        <v>572</v>
      </c>
      <c r="G1382" s="34" t="s">
        <v>307</v>
      </c>
      <c r="H1382" s="34" t="s">
        <v>26</v>
      </c>
      <c r="I1382" s="34" t="s">
        <v>19</v>
      </c>
      <c r="J1382" s="34" t="s">
        <v>27</v>
      </c>
      <c r="K1382" s="34" t="s">
        <v>46</v>
      </c>
      <c r="L1382" s="34" t="s">
        <v>47</v>
      </c>
      <c r="M1382">
        <v>5.2512460000000001</v>
      </c>
    </row>
    <row r="1383" spans="1:13" x14ac:dyDescent="0.3">
      <c r="A1383" s="34" t="s">
        <v>662</v>
      </c>
      <c r="B1383">
        <v>-1</v>
      </c>
      <c r="C1383">
        <v>2050</v>
      </c>
      <c r="D1383" s="34" t="s">
        <v>354</v>
      </c>
      <c r="E1383" s="34" t="s">
        <v>355</v>
      </c>
      <c r="F1383" s="34" t="s">
        <v>572</v>
      </c>
      <c r="G1383" s="34" t="s">
        <v>307</v>
      </c>
      <c r="H1383" s="34" t="s">
        <v>26</v>
      </c>
      <c r="I1383" s="34" t="s">
        <v>19</v>
      </c>
      <c r="J1383" s="34" t="s">
        <v>27</v>
      </c>
      <c r="K1383" s="34" t="s">
        <v>48</v>
      </c>
      <c r="L1383" s="34" t="s">
        <v>47</v>
      </c>
      <c r="M1383">
        <v>-5.2460000000000013</v>
      </c>
    </row>
    <row r="1384" spans="1:13" x14ac:dyDescent="0.3">
      <c r="A1384" s="34" t="s">
        <v>662</v>
      </c>
      <c r="B1384">
        <v>-1</v>
      </c>
      <c r="C1384">
        <v>2050</v>
      </c>
      <c r="D1384" s="34" t="s">
        <v>354</v>
      </c>
      <c r="E1384" s="34" t="s">
        <v>355</v>
      </c>
      <c r="F1384" s="34" t="s">
        <v>572</v>
      </c>
      <c r="G1384" s="34" t="s">
        <v>253</v>
      </c>
      <c r="H1384" s="34" t="s">
        <v>254</v>
      </c>
      <c r="I1384" s="34" t="s">
        <v>19</v>
      </c>
      <c r="J1384" s="34" t="s">
        <v>27</v>
      </c>
      <c r="K1384" s="34" t="s">
        <v>46</v>
      </c>
      <c r="L1384" s="34" t="s">
        <v>47</v>
      </c>
      <c r="M1384">
        <v>7.117</v>
      </c>
    </row>
    <row r="1385" spans="1:13" x14ac:dyDescent="0.3">
      <c r="A1385" s="34" t="s">
        <v>662</v>
      </c>
      <c r="B1385">
        <v>-1</v>
      </c>
      <c r="C1385">
        <v>2050</v>
      </c>
      <c r="D1385" s="34" t="s">
        <v>354</v>
      </c>
      <c r="E1385" s="34" t="s">
        <v>355</v>
      </c>
      <c r="F1385" s="34" t="s">
        <v>572</v>
      </c>
      <c r="G1385" s="34" t="s">
        <v>253</v>
      </c>
      <c r="H1385" s="34" t="s">
        <v>254</v>
      </c>
      <c r="I1385" s="34" t="s">
        <v>19</v>
      </c>
      <c r="J1385" s="34" t="s">
        <v>27</v>
      </c>
      <c r="K1385" s="34" t="s">
        <v>48</v>
      </c>
      <c r="L1385" s="34" t="s">
        <v>47</v>
      </c>
      <c r="M1385">
        <v>-7.117</v>
      </c>
    </row>
    <row r="1386" spans="1:13" x14ac:dyDescent="0.3">
      <c r="A1386" s="34" t="s">
        <v>662</v>
      </c>
      <c r="B1386">
        <v>-1</v>
      </c>
      <c r="C1386">
        <v>2050</v>
      </c>
      <c r="D1386" s="34" t="s">
        <v>354</v>
      </c>
      <c r="E1386" s="34" t="s">
        <v>355</v>
      </c>
      <c r="F1386" s="34" t="s">
        <v>572</v>
      </c>
      <c r="G1386" s="34" t="s">
        <v>52</v>
      </c>
      <c r="H1386" s="34" t="s">
        <v>53</v>
      </c>
      <c r="I1386" s="34" t="s">
        <v>19</v>
      </c>
      <c r="J1386" s="34" t="s">
        <v>27</v>
      </c>
      <c r="K1386" s="34" t="s">
        <v>46</v>
      </c>
      <c r="L1386" s="34" t="s">
        <v>47</v>
      </c>
      <c r="M1386">
        <v>0.99599500000000007</v>
      </c>
    </row>
    <row r="1387" spans="1:13" x14ac:dyDescent="0.3">
      <c r="A1387" s="34" t="s">
        <v>662</v>
      </c>
      <c r="B1387">
        <v>-1</v>
      </c>
      <c r="C1387">
        <v>2050</v>
      </c>
      <c r="D1387" s="34" t="s">
        <v>354</v>
      </c>
      <c r="E1387" s="34" t="s">
        <v>355</v>
      </c>
      <c r="F1387" s="34" t="s">
        <v>572</v>
      </c>
      <c r="G1387" s="34" t="s">
        <v>52</v>
      </c>
      <c r="H1387" s="34" t="s">
        <v>53</v>
      </c>
      <c r="I1387" s="34" t="s">
        <v>19</v>
      </c>
      <c r="J1387" s="34" t="s">
        <v>27</v>
      </c>
      <c r="K1387" s="34" t="s">
        <v>48</v>
      </c>
      <c r="L1387" s="34" t="s">
        <v>47</v>
      </c>
      <c r="M1387">
        <v>-0.99599500000000007</v>
      </c>
    </row>
    <row r="1388" spans="1:13" x14ac:dyDescent="0.3">
      <c r="A1388" s="34" t="s">
        <v>662</v>
      </c>
      <c r="B1388">
        <v>-1</v>
      </c>
      <c r="C1388">
        <v>2050</v>
      </c>
      <c r="D1388" s="34" t="s">
        <v>354</v>
      </c>
      <c r="E1388" s="34" t="s">
        <v>355</v>
      </c>
      <c r="F1388" s="34" t="s">
        <v>572</v>
      </c>
      <c r="G1388" s="34" t="s">
        <v>11</v>
      </c>
      <c r="H1388" s="34" t="s">
        <v>12</v>
      </c>
      <c r="I1388" s="34" t="s">
        <v>13</v>
      </c>
      <c r="J1388" s="34" t="s">
        <v>14</v>
      </c>
      <c r="K1388" s="34" t="s">
        <v>46</v>
      </c>
      <c r="L1388" s="34" t="s">
        <v>47</v>
      </c>
      <c r="M1388">
        <v>5.3329999999999984</v>
      </c>
    </row>
    <row r="1389" spans="1:13" x14ac:dyDescent="0.3">
      <c r="A1389" s="34" t="s">
        <v>662</v>
      </c>
      <c r="B1389">
        <v>-1</v>
      </c>
      <c r="C1389">
        <v>2050</v>
      </c>
      <c r="D1389" s="34" t="s">
        <v>354</v>
      </c>
      <c r="E1389" s="34" t="s">
        <v>355</v>
      </c>
      <c r="F1389" s="34" t="s">
        <v>572</v>
      </c>
      <c r="G1389" s="34" t="s">
        <v>11</v>
      </c>
      <c r="H1389" s="34" t="s">
        <v>12</v>
      </c>
      <c r="I1389" s="34" t="s">
        <v>13</v>
      </c>
      <c r="J1389" s="34" t="s">
        <v>14</v>
      </c>
      <c r="K1389" s="34" t="s">
        <v>48</v>
      </c>
      <c r="L1389" s="34" t="s">
        <v>47</v>
      </c>
      <c r="M1389">
        <v>-1.3330000000000004</v>
      </c>
    </row>
    <row r="1390" spans="1:13" x14ac:dyDescent="0.3">
      <c r="A1390" s="34" t="s">
        <v>662</v>
      </c>
      <c r="B1390">
        <v>-1</v>
      </c>
      <c r="C1390">
        <v>2050</v>
      </c>
      <c r="D1390" s="34" t="s">
        <v>354</v>
      </c>
      <c r="E1390" s="34" t="s">
        <v>355</v>
      </c>
      <c r="F1390" s="34" t="s">
        <v>572</v>
      </c>
      <c r="G1390" s="34" t="s">
        <v>16</v>
      </c>
      <c r="H1390" s="34" t="s">
        <v>12</v>
      </c>
      <c r="I1390" s="34" t="s">
        <v>13</v>
      </c>
      <c r="J1390" s="34" t="s">
        <v>14</v>
      </c>
      <c r="K1390" s="34" t="s">
        <v>49</v>
      </c>
      <c r="L1390" s="34" t="s">
        <v>47</v>
      </c>
      <c r="M1390">
        <v>102.43555847642044</v>
      </c>
    </row>
    <row r="1391" spans="1:13" x14ac:dyDescent="0.3">
      <c r="A1391" s="34" t="s">
        <v>662</v>
      </c>
      <c r="B1391">
        <v>-1</v>
      </c>
      <c r="C1391">
        <v>2050</v>
      </c>
      <c r="D1391" s="34" t="s">
        <v>354</v>
      </c>
      <c r="E1391" s="34" t="s">
        <v>355</v>
      </c>
      <c r="F1391" s="34" t="s">
        <v>572</v>
      </c>
      <c r="G1391" s="34" t="s">
        <v>392</v>
      </c>
      <c r="H1391" s="34" t="s">
        <v>13</v>
      </c>
      <c r="I1391" s="34" t="s">
        <v>13</v>
      </c>
      <c r="J1391" s="34" t="s">
        <v>17</v>
      </c>
      <c r="K1391" s="34" t="s">
        <v>49</v>
      </c>
      <c r="L1391" s="34" t="s">
        <v>47</v>
      </c>
      <c r="M1391">
        <v>75.815474717741466</v>
      </c>
    </row>
    <row r="1392" spans="1:13" x14ac:dyDescent="0.3">
      <c r="A1392" s="34" t="s">
        <v>662</v>
      </c>
      <c r="B1392">
        <v>-1</v>
      </c>
      <c r="C1392">
        <v>2050</v>
      </c>
      <c r="D1392" s="34" t="s">
        <v>354</v>
      </c>
      <c r="E1392" s="34" t="s">
        <v>355</v>
      </c>
      <c r="F1392" s="34" t="s">
        <v>572</v>
      </c>
      <c r="G1392" s="34" t="s">
        <v>41</v>
      </c>
      <c r="H1392" s="34" t="s">
        <v>40</v>
      </c>
      <c r="I1392" s="34" t="s">
        <v>13</v>
      </c>
      <c r="J1392" s="34" t="s">
        <v>42</v>
      </c>
      <c r="K1392" s="34" t="s">
        <v>46</v>
      </c>
      <c r="L1392" s="34" t="s">
        <v>47</v>
      </c>
      <c r="M1392">
        <v>2.5814054323348197</v>
      </c>
    </row>
    <row r="1393" spans="1:13" x14ac:dyDescent="0.3">
      <c r="A1393" s="34" t="s">
        <v>662</v>
      </c>
      <c r="B1393">
        <v>-1</v>
      </c>
      <c r="C1393">
        <v>2050</v>
      </c>
      <c r="D1393" s="34" t="s">
        <v>354</v>
      </c>
      <c r="E1393" s="34" t="s">
        <v>355</v>
      </c>
      <c r="F1393" s="34" t="s">
        <v>572</v>
      </c>
      <c r="G1393" s="34" t="s">
        <v>41</v>
      </c>
      <c r="H1393" s="34" t="s">
        <v>40</v>
      </c>
      <c r="I1393" s="34" t="s">
        <v>13</v>
      </c>
      <c r="J1393" s="34" t="s">
        <v>42</v>
      </c>
      <c r="K1393" s="34" t="s">
        <v>49</v>
      </c>
      <c r="L1393" s="34" t="s">
        <v>47</v>
      </c>
      <c r="M1393">
        <v>-1.2732925824820995E-15</v>
      </c>
    </row>
    <row r="1394" spans="1:13" x14ac:dyDescent="0.3">
      <c r="A1394" s="34" t="s">
        <v>662</v>
      </c>
      <c r="B1394">
        <v>-1</v>
      </c>
      <c r="C1394">
        <v>2050</v>
      </c>
      <c r="D1394" s="34" t="s">
        <v>354</v>
      </c>
      <c r="E1394" s="34" t="s">
        <v>355</v>
      </c>
      <c r="F1394" s="34" t="s">
        <v>572</v>
      </c>
      <c r="G1394" s="34" t="s">
        <v>41</v>
      </c>
      <c r="H1394" s="34" t="s">
        <v>40</v>
      </c>
      <c r="I1394" s="34" t="s">
        <v>13</v>
      </c>
      <c r="J1394" s="34" t="s">
        <v>42</v>
      </c>
      <c r="K1394" s="34" t="s">
        <v>48</v>
      </c>
      <c r="L1394" s="34" t="s">
        <v>47</v>
      </c>
      <c r="M1394">
        <v>-2.5814054323348183</v>
      </c>
    </row>
    <row r="1395" spans="1:13" x14ac:dyDescent="0.3">
      <c r="A1395" s="34" t="s">
        <v>662</v>
      </c>
      <c r="B1395">
        <v>-1</v>
      </c>
      <c r="C1395">
        <v>2050</v>
      </c>
      <c r="D1395" s="34" t="s">
        <v>354</v>
      </c>
      <c r="E1395" s="34" t="s">
        <v>355</v>
      </c>
      <c r="F1395" s="34" t="s">
        <v>624</v>
      </c>
      <c r="G1395" s="34" t="s">
        <v>28</v>
      </c>
      <c r="H1395" s="34" t="s">
        <v>23</v>
      </c>
      <c r="I1395" s="34" t="s">
        <v>19</v>
      </c>
      <c r="J1395" s="34" t="s">
        <v>24</v>
      </c>
      <c r="K1395" s="34" t="s">
        <v>46</v>
      </c>
      <c r="L1395" s="34" t="s">
        <v>47</v>
      </c>
      <c r="M1395">
        <v>9.8849999999999998</v>
      </c>
    </row>
    <row r="1396" spans="1:13" x14ac:dyDescent="0.3">
      <c r="A1396" s="34" t="s">
        <v>662</v>
      </c>
      <c r="B1396">
        <v>-1</v>
      </c>
      <c r="C1396">
        <v>2050</v>
      </c>
      <c r="D1396" s="34" t="s">
        <v>354</v>
      </c>
      <c r="E1396" s="34" t="s">
        <v>355</v>
      </c>
      <c r="F1396" s="34" t="s">
        <v>624</v>
      </c>
      <c r="G1396" s="34" t="s">
        <v>28</v>
      </c>
      <c r="H1396" s="34" t="s">
        <v>23</v>
      </c>
      <c r="I1396" s="34" t="s">
        <v>19</v>
      </c>
      <c r="J1396" s="34" t="s">
        <v>24</v>
      </c>
      <c r="K1396" s="34" t="s">
        <v>48</v>
      </c>
      <c r="L1396" s="34" t="s">
        <v>47</v>
      </c>
      <c r="M1396">
        <v>-9.8849999999999998</v>
      </c>
    </row>
    <row r="1397" spans="1:13" x14ac:dyDescent="0.3">
      <c r="A1397" s="34" t="s">
        <v>662</v>
      </c>
      <c r="B1397">
        <v>-1</v>
      </c>
      <c r="C1397">
        <v>2050</v>
      </c>
      <c r="D1397" s="34" t="s">
        <v>354</v>
      </c>
      <c r="E1397" s="34" t="s">
        <v>355</v>
      </c>
      <c r="F1397" s="34" t="s">
        <v>624</v>
      </c>
      <c r="G1397" s="34" t="s">
        <v>29</v>
      </c>
      <c r="H1397" s="34" t="s">
        <v>21</v>
      </c>
      <c r="I1397" s="34" t="s">
        <v>19</v>
      </c>
      <c r="J1397" s="34" t="s">
        <v>22</v>
      </c>
      <c r="K1397" s="34" t="s">
        <v>46</v>
      </c>
      <c r="L1397" s="34" t="s">
        <v>47</v>
      </c>
      <c r="M1397">
        <v>7.5022054000000002</v>
      </c>
    </row>
    <row r="1398" spans="1:13" x14ac:dyDescent="0.3">
      <c r="A1398" s="34" t="s">
        <v>662</v>
      </c>
      <c r="B1398">
        <v>-1</v>
      </c>
      <c r="C1398">
        <v>2050</v>
      </c>
      <c r="D1398" s="34" t="s">
        <v>354</v>
      </c>
      <c r="E1398" s="34" t="s">
        <v>355</v>
      </c>
      <c r="F1398" s="34" t="s">
        <v>624</v>
      </c>
      <c r="G1398" s="34" t="s">
        <v>29</v>
      </c>
      <c r="H1398" s="34" t="s">
        <v>21</v>
      </c>
      <c r="I1398" s="34" t="s">
        <v>19</v>
      </c>
      <c r="J1398" s="34" t="s">
        <v>22</v>
      </c>
      <c r="K1398" s="34" t="s">
        <v>48</v>
      </c>
      <c r="L1398" s="34" t="s">
        <v>47</v>
      </c>
      <c r="M1398">
        <v>-7.5022054000000011</v>
      </c>
    </row>
    <row r="1399" spans="1:13" x14ac:dyDescent="0.3">
      <c r="A1399" s="34" t="s">
        <v>662</v>
      </c>
      <c r="B1399">
        <v>-1</v>
      </c>
      <c r="C1399">
        <v>2050</v>
      </c>
      <c r="D1399" s="34" t="s">
        <v>354</v>
      </c>
      <c r="E1399" s="34" t="s">
        <v>355</v>
      </c>
      <c r="F1399" s="34" t="s">
        <v>624</v>
      </c>
      <c r="G1399" s="34" t="s">
        <v>20</v>
      </c>
      <c r="H1399" s="34" t="s">
        <v>21</v>
      </c>
      <c r="I1399" s="34" t="s">
        <v>19</v>
      </c>
      <c r="J1399" s="34" t="s">
        <v>22</v>
      </c>
      <c r="K1399" s="34" t="s">
        <v>46</v>
      </c>
      <c r="L1399" s="34" t="s">
        <v>47</v>
      </c>
      <c r="M1399">
        <v>18.377831199999999</v>
      </c>
    </row>
    <row r="1400" spans="1:13" x14ac:dyDescent="0.3">
      <c r="A1400" s="34" t="s">
        <v>662</v>
      </c>
      <c r="B1400">
        <v>-1</v>
      </c>
      <c r="C1400">
        <v>2050</v>
      </c>
      <c r="D1400" s="34" t="s">
        <v>354</v>
      </c>
      <c r="E1400" s="34" t="s">
        <v>355</v>
      </c>
      <c r="F1400" s="34" t="s">
        <v>624</v>
      </c>
      <c r="G1400" s="34" t="s">
        <v>20</v>
      </c>
      <c r="H1400" s="34" t="s">
        <v>21</v>
      </c>
      <c r="I1400" s="34" t="s">
        <v>19</v>
      </c>
      <c r="J1400" s="34" t="s">
        <v>22</v>
      </c>
      <c r="K1400" s="34" t="s">
        <v>48</v>
      </c>
      <c r="L1400" s="34" t="s">
        <v>47</v>
      </c>
      <c r="M1400">
        <v>-18.377831199999999</v>
      </c>
    </row>
    <row r="1401" spans="1:13" x14ac:dyDescent="0.3">
      <c r="A1401" s="34" t="s">
        <v>662</v>
      </c>
      <c r="B1401">
        <v>-1</v>
      </c>
      <c r="C1401">
        <v>2050</v>
      </c>
      <c r="D1401" s="34" t="s">
        <v>354</v>
      </c>
      <c r="E1401" s="34" t="s">
        <v>355</v>
      </c>
      <c r="F1401" s="34" t="s">
        <v>624</v>
      </c>
      <c r="G1401" s="34" t="s">
        <v>30</v>
      </c>
      <c r="H1401" s="34" t="s">
        <v>21</v>
      </c>
      <c r="I1401" s="34" t="s">
        <v>19</v>
      </c>
      <c r="J1401" s="34" t="s">
        <v>22</v>
      </c>
      <c r="K1401" s="34" t="s">
        <v>46</v>
      </c>
      <c r="L1401" s="34" t="s">
        <v>47</v>
      </c>
      <c r="M1401">
        <v>1.3293334000000001</v>
      </c>
    </row>
    <row r="1402" spans="1:13" x14ac:dyDescent="0.3">
      <c r="A1402" s="34" t="s">
        <v>662</v>
      </c>
      <c r="B1402">
        <v>-1</v>
      </c>
      <c r="C1402">
        <v>2050</v>
      </c>
      <c r="D1402" s="34" t="s">
        <v>354</v>
      </c>
      <c r="E1402" s="34" t="s">
        <v>355</v>
      </c>
      <c r="F1402" s="34" t="s">
        <v>624</v>
      </c>
      <c r="G1402" s="34" t="s">
        <v>30</v>
      </c>
      <c r="H1402" s="34" t="s">
        <v>21</v>
      </c>
      <c r="I1402" s="34" t="s">
        <v>19</v>
      </c>
      <c r="J1402" s="34" t="s">
        <v>22</v>
      </c>
      <c r="K1402" s="34" t="s">
        <v>48</v>
      </c>
      <c r="L1402" s="34" t="s">
        <v>47</v>
      </c>
      <c r="M1402">
        <v>-1.3293334000000001</v>
      </c>
    </row>
    <row r="1403" spans="1:13" x14ac:dyDescent="0.3">
      <c r="A1403" s="34" t="s">
        <v>662</v>
      </c>
      <c r="B1403">
        <v>-1</v>
      </c>
      <c r="C1403">
        <v>2050</v>
      </c>
      <c r="D1403" s="34" t="s">
        <v>354</v>
      </c>
      <c r="E1403" s="34" t="s">
        <v>355</v>
      </c>
      <c r="F1403" s="34" t="s">
        <v>624</v>
      </c>
      <c r="G1403" s="34" t="s">
        <v>644</v>
      </c>
      <c r="H1403" s="34" t="s">
        <v>21</v>
      </c>
      <c r="I1403" s="34" t="s">
        <v>19</v>
      </c>
      <c r="J1403" s="34" t="s">
        <v>22</v>
      </c>
      <c r="K1403" s="34" t="s">
        <v>49</v>
      </c>
      <c r="L1403" s="34" t="s">
        <v>47</v>
      </c>
      <c r="M1403">
        <v>55.77153327314668</v>
      </c>
    </row>
    <row r="1404" spans="1:13" x14ac:dyDescent="0.3">
      <c r="A1404" s="34" t="s">
        <v>662</v>
      </c>
      <c r="B1404">
        <v>-1</v>
      </c>
      <c r="C1404">
        <v>2050</v>
      </c>
      <c r="D1404" s="34" t="s">
        <v>354</v>
      </c>
      <c r="E1404" s="34" t="s">
        <v>355</v>
      </c>
      <c r="F1404" s="34" t="s">
        <v>624</v>
      </c>
      <c r="G1404" s="34" t="s">
        <v>645</v>
      </c>
      <c r="H1404" s="34" t="s">
        <v>23</v>
      </c>
      <c r="I1404" s="34" t="s">
        <v>19</v>
      </c>
      <c r="J1404" s="34" t="s">
        <v>24</v>
      </c>
      <c r="K1404" s="34" t="s">
        <v>49</v>
      </c>
      <c r="L1404" s="34" t="s">
        <v>47</v>
      </c>
      <c r="M1404">
        <v>274.84032892799411</v>
      </c>
    </row>
    <row r="1405" spans="1:13" x14ac:dyDescent="0.3">
      <c r="A1405" s="34" t="s">
        <v>662</v>
      </c>
      <c r="B1405">
        <v>-1</v>
      </c>
      <c r="C1405">
        <v>2050</v>
      </c>
      <c r="D1405" s="34" t="s">
        <v>356</v>
      </c>
      <c r="E1405" s="34" t="s">
        <v>357</v>
      </c>
      <c r="F1405" s="34" t="s">
        <v>573</v>
      </c>
      <c r="G1405" s="34" t="s">
        <v>43</v>
      </c>
      <c r="H1405" s="34" t="s">
        <v>40</v>
      </c>
      <c r="I1405" s="34" t="s">
        <v>19</v>
      </c>
      <c r="J1405" s="34" t="s">
        <v>27</v>
      </c>
      <c r="K1405" s="34" t="s">
        <v>46</v>
      </c>
      <c r="L1405" s="34" t="s">
        <v>47</v>
      </c>
      <c r="M1405">
        <v>3.8290000000000002</v>
      </c>
    </row>
    <row r="1406" spans="1:13" x14ac:dyDescent="0.3">
      <c r="A1406" s="34" t="s">
        <v>662</v>
      </c>
      <c r="B1406">
        <v>-1</v>
      </c>
      <c r="C1406">
        <v>2050</v>
      </c>
      <c r="D1406" s="34" t="s">
        <v>356</v>
      </c>
      <c r="E1406" s="34" t="s">
        <v>357</v>
      </c>
      <c r="F1406" s="34" t="s">
        <v>573</v>
      </c>
      <c r="G1406" s="34" t="s">
        <v>43</v>
      </c>
      <c r="H1406" s="34" t="s">
        <v>40</v>
      </c>
      <c r="I1406" s="34" t="s">
        <v>19</v>
      </c>
      <c r="J1406" s="34" t="s">
        <v>27</v>
      </c>
      <c r="K1406" s="34" t="s">
        <v>48</v>
      </c>
      <c r="L1406" s="34" t="s">
        <v>47</v>
      </c>
      <c r="M1406">
        <v>-3.8289999999999984</v>
      </c>
    </row>
    <row r="1407" spans="1:13" x14ac:dyDescent="0.3">
      <c r="A1407" s="34" t="s">
        <v>662</v>
      </c>
      <c r="B1407">
        <v>-1</v>
      </c>
      <c r="C1407">
        <v>2050</v>
      </c>
      <c r="D1407" s="34" t="s">
        <v>356</v>
      </c>
      <c r="E1407" s="34" t="s">
        <v>357</v>
      </c>
      <c r="F1407" s="34" t="s">
        <v>573</v>
      </c>
      <c r="G1407" s="34" t="s">
        <v>319</v>
      </c>
      <c r="H1407" s="34" t="s">
        <v>12</v>
      </c>
      <c r="I1407" s="34" t="s">
        <v>19</v>
      </c>
      <c r="J1407" s="34" t="s">
        <v>258</v>
      </c>
      <c r="K1407" s="34" t="s">
        <v>46</v>
      </c>
      <c r="L1407" s="34" t="s">
        <v>47</v>
      </c>
      <c r="M1407">
        <v>0.31404255319148933</v>
      </c>
    </row>
    <row r="1408" spans="1:13" x14ac:dyDescent="0.3">
      <c r="A1408" s="34" t="s">
        <v>662</v>
      </c>
      <c r="B1408">
        <v>-1</v>
      </c>
      <c r="C1408">
        <v>2050</v>
      </c>
      <c r="D1408" s="34" t="s">
        <v>356</v>
      </c>
      <c r="E1408" s="34" t="s">
        <v>357</v>
      </c>
      <c r="F1408" s="34" t="s">
        <v>573</v>
      </c>
      <c r="G1408" s="34" t="s">
        <v>31</v>
      </c>
      <c r="H1408" s="34" t="s">
        <v>18</v>
      </c>
      <c r="I1408" s="34" t="s">
        <v>19</v>
      </c>
      <c r="J1408" s="34" t="s">
        <v>32</v>
      </c>
      <c r="K1408" s="34" t="s">
        <v>46</v>
      </c>
      <c r="L1408" s="34" t="s">
        <v>47</v>
      </c>
      <c r="M1408">
        <v>3.492</v>
      </c>
    </row>
    <row r="1409" spans="1:13" x14ac:dyDescent="0.3">
      <c r="A1409" s="34" t="s">
        <v>662</v>
      </c>
      <c r="B1409">
        <v>-1</v>
      </c>
      <c r="C1409">
        <v>2050</v>
      </c>
      <c r="D1409" s="34" t="s">
        <v>356</v>
      </c>
      <c r="E1409" s="34" t="s">
        <v>357</v>
      </c>
      <c r="F1409" s="34" t="s">
        <v>573</v>
      </c>
      <c r="G1409" s="34" t="s">
        <v>180</v>
      </c>
      <c r="H1409" s="34" t="s">
        <v>18</v>
      </c>
      <c r="I1409" s="34" t="s">
        <v>19</v>
      </c>
      <c r="J1409" s="34" t="s">
        <v>181</v>
      </c>
      <c r="K1409" s="34" t="s">
        <v>46</v>
      </c>
      <c r="L1409" s="34" t="s">
        <v>47</v>
      </c>
      <c r="M1409">
        <v>0.77200000000000002</v>
      </c>
    </row>
    <row r="1410" spans="1:13" x14ac:dyDescent="0.3">
      <c r="A1410" s="34" t="s">
        <v>662</v>
      </c>
      <c r="B1410">
        <v>-1</v>
      </c>
      <c r="C1410">
        <v>2050</v>
      </c>
      <c r="D1410" s="34" t="s">
        <v>356</v>
      </c>
      <c r="E1410" s="34" t="s">
        <v>357</v>
      </c>
      <c r="F1410" s="34" t="s">
        <v>573</v>
      </c>
      <c r="G1410" s="34" t="s">
        <v>54</v>
      </c>
      <c r="H1410" s="34" t="s">
        <v>39</v>
      </c>
      <c r="I1410" s="34" t="s">
        <v>19</v>
      </c>
      <c r="J1410" s="34" t="s">
        <v>27</v>
      </c>
      <c r="K1410" s="34" t="s">
        <v>46</v>
      </c>
      <c r="L1410" s="34" t="s">
        <v>47</v>
      </c>
      <c r="M1410">
        <v>1.756</v>
      </c>
    </row>
    <row r="1411" spans="1:13" x14ac:dyDescent="0.3">
      <c r="A1411" s="34" t="s">
        <v>662</v>
      </c>
      <c r="B1411">
        <v>-1</v>
      </c>
      <c r="C1411">
        <v>2050</v>
      </c>
      <c r="D1411" s="34" t="s">
        <v>356</v>
      </c>
      <c r="E1411" s="34" t="s">
        <v>357</v>
      </c>
      <c r="F1411" s="34" t="s">
        <v>573</v>
      </c>
      <c r="G1411" s="34" t="s">
        <v>54</v>
      </c>
      <c r="H1411" s="34" t="s">
        <v>39</v>
      </c>
      <c r="I1411" s="34" t="s">
        <v>19</v>
      </c>
      <c r="J1411" s="34" t="s">
        <v>27</v>
      </c>
      <c r="K1411" s="34" t="s">
        <v>48</v>
      </c>
      <c r="L1411" s="34" t="s">
        <v>47</v>
      </c>
      <c r="M1411">
        <v>-1.7559999999999998</v>
      </c>
    </row>
    <row r="1412" spans="1:13" x14ac:dyDescent="0.3">
      <c r="A1412" s="34" t="s">
        <v>662</v>
      </c>
      <c r="B1412">
        <v>-1</v>
      </c>
      <c r="C1412">
        <v>2050</v>
      </c>
      <c r="D1412" s="34" t="s">
        <v>356</v>
      </c>
      <c r="E1412" s="34" t="s">
        <v>357</v>
      </c>
      <c r="F1412" s="34" t="s">
        <v>573</v>
      </c>
      <c r="G1412" s="34" t="s">
        <v>307</v>
      </c>
      <c r="H1412" s="34" t="s">
        <v>26</v>
      </c>
      <c r="I1412" s="34" t="s">
        <v>19</v>
      </c>
      <c r="J1412" s="34" t="s">
        <v>27</v>
      </c>
      <c r="K1412" s="34" t="s">
        <v>46</v>
      </c>
      <c r="L1412" s="34" t="s">
        <v>47</v>
      </c>
      <c r="M1412">
        <v>0.78600000000000003</v>
      </c>
    </row>
    <row r="1413" spans="1:13" x14ac:dyDescent="0.3">
      <c r="A1413" s="34" t="s">
        <v>662</v>
      </c>
      <c r="B1413">
        <v>-1</v>
      </c>
      <c r="C1413">
        <v>2050</v>
      </c>
      <c r="D1413" s="34" t="s">
        <v>356</v>
      </c>
      <c r="E1413" s="34" t="s">
        <v>357</v>
      </c>
      <c r="F1413" s="34" t="s">
        <v>573</v>
      </c>
      <c r="G1413" s="34" t="s">
        <v>307</v>
      </c>
      <c r="H1413" s="34" t="s">
        <v>26</v>
      </c>
      <c r="I1413" s="34" t="s">
        <v>19</v>
      </c>
      <c r="J1413" s="34" t="s">
        <v>27</v>
      </c>
      <c r="K1413" s="34" t="s">
        <v>48</v>
      </c>
      <c r="L1413" s="34" t="s">
        <v>47</v>
      </c>
      <c r="M1413">
        <v>-0.78599999999999981</v>
      </c>
    </row>
    <row r="1414" spans="1:13" x14ac:dyDescent="0.3">
      <c r="A1414" s="34" t="s">
        <v>662</v>
      </c>
      <c r="B1414">
        <v>-1</v>
      </c>
      <c r="C1414">
        <v>2050</v>
      </c>
      <c r="D1414" s="34" t="s">
        <v>356</v>
      </c>
      <c r="E1414" s="34" t="s">
        <v>357</v>
      </c>
      <c r="F1414" s="34" t="s">
        <v>573</v>
      </c>
      <c r="G1414" s="34" t="s">
        <v>52</v>
      </c>
      <c r="H1414" s="34" t="s">
        <v>53</v>
      </c>
      <c r="I1414" s="34" t="s">
        <v>19</v>
      </c>
      <c r="J1414" s="34" t="s">
        <v>27</v>
      </c>
      <c r="K1414" s="34" t="s">
        <v>46</v>
      </c>
      <c r="L1414" s="34" t="s">
        <v>47</v>
      </c>
      <c r="M1414">
        <v>0.69800000000000006</v>
      </c>
    </row>
    <row r="1415" spans="1:13" x14ac:dyDescent="0.3">
      <c r="A1415" s="34" t="s">
        <v>662</v>
      </c>
      <c r="B1415">
        <v>-1</v>
      </c>
      <c r="C1415">
        <v>2050</v>
      </c>
      <c r="D1415" s="34" t="s">
        <v>356</v>
      </c>
      <c r="E1415" s="34" t="s">
        <v>357</v>
      </c>
      <c r="F1415" s="34" t="s">
        <v>573</v>
      </c>
      <c r="G1415" s="34" t="s">
        <v>52</v>
      </c>
      <c r="H1415" s="34" t="s">
        <v>53</v>
      </c>
      <c r="I1415" s="34" t="s">
        <v>19</v>
      </c>
      <c r="J1415" s="34" t="s">
        <v>27</v>
      </c>
      <c r="K1415" s="34" t="s">
        <v>48</v>
      </c>
      <c r="L1415" s="34" t="s">
        <v>47</v>
      </c>
      <c r="M1415">
        <v>-0.69799999999999995</v>
      </c>
    </row>
    <row r="1416" spans="1:13" x14ac:dyDescent="0.3">
      <c r="A1416" s="34" t="s">
        <v>662</v>
      </c>
      <c r="B1416">
        <v>-1</v>
      </c>
      <c r="C1416">
        <v>2050</v>
      </c>
      <c r="D1416" s="34" t="s">
        <v>356</v>
      </c>
      <c r="E1416" s="34" t="s">
        <v>357</v>
      </c>
      <c r="F1416" s="34" t="s">
        <v>573</v>
      </c>
      <c r="G1416" s="34" t="s">
        <v>11</v>
      </c>
      <c r="H1416" s="34" t="s">
        <v>12</v>
      </c>
      <c r="I1416" s="34" t="s">
        <v>13</v>
      </c>
      <c r="J1416" s="34" t="s">
        <v>14</v>
      </c>
      <c r="K1416" s="34" t="s">
        <v>46</v>
      </c>
      <c r="L1416" s="34" t="s">
        <v>47</v>
      </c>
      <c r="M1416">
        <v>3.0659999999999941</v>
      </c>
    </row>
    <row r="1417" spans="1:13" x14ac:dyDescent="0.3">
      <c r="A1417" s="34" t="s">
        <v>662</v>
      </c>
      <c r="B1417">
        <v>-1</v>
      </c>
      <c r="C1417">
        <v>2050</v>
      </c>
      <c r="D1417" s="34" t="s">
        <v>356</v>
      </c>
      <c r="E1417" s="34" t="s">
        <v>357</v>
      </c>
      <c r="F1417" s="34" t="s">
        <v>573</v>
      </c>
      <c r="G1417" s="34" t="s">
        <v>11</v>
      </c>
      <c r="H1417" s="34" t="s">
        <v>12</v>
      </c>
      <c r="I1417" s="34" t="s">
        <v>13</v>
      </c>
      <c r="J1417" s="34" t="s">
        <v>14</v>
      </c>
      <c r="K1417" s="34" t="s">
        <v>48</v>
      </c>
      <c r="L1417" s="34" t="s">
        <v>47</v>
      </c>
      <c r="M1417">
        <v>-0.76599999999999691</v>
      </c>
    </row>
    <row r="1418" spans="1:13" x14ac:dyDescent="0.3">
      <c r="A1418" s="34" t="s">
        <v>662</v>
      </c>
      <c r="B1418">
        <v>-1</v>
      </c>
      <c r="C1418">
        <v>2050</v>
      </c>
      <c r="D1418" s="34" t="s">
        <v>356</v>
      </c>
      <c r="E1418" s="34" t="s">
        <v>357</v>
      </c>
      <c r="F1418" s="34" t="s">
        <v>573</v>
      </c>
      <c r="G1418" s="34" t="s">
        <v>16</v>
      </c>
      <c r="H1418" s="34" t="s">
        <v>12</v>
      </c>
      <c r="I1418" s="34" t="s">
        <v>13</v>
      </c>
      <c r="J1418" s="34" t="s">
        <v>14</v>
      </c>
      <c r="K1418" s="34" t="s">
        <v>49</v>
      </c>
      <c r="L1418" s="34" t="s">
        <v>47</v>
      </c>
      <c r="M1418">
        <v>3.7245267566665459</v>
      </c>
    </row>
    <row r="1419" spans="1:13" x14ac:dyDescent="0.3">
      <c r="A1419" s="34" t="s">
        <v>662</v>
      </c>
      <c r="B1419">
        <v>-1</v>
      </c>
      <c r="C1419">
        <v>2050</v>
      </c>
      <c r="D1419" s="34" t="s">
        <v>356</v>
      </c>
      <c r="E1419" s="34" t="s">
        <v>357</v>
      </c>
      <c r="F1419" s="34" t="s">
        <v>573</v>
      </c>
      <c r="G1419" s="34" t="s">
        <v>392</v>
      </c>
      <c r="H1419" s="34" t="s">
        <v>13</v>
      </c>
      <c r="I1419" s="34" t="s">
        <v>13</v>
      </c>
      <c r="J1419" s="34" t="s">
        <v>17</v>
      </c>
      <c r="K1419" s="34" t="s">
        <v>49</v>
      </c>
      <c r="L1419" s="34" t="s">
        <v>47</v>
      </c>
      <c r="M1419">
        <v>4.2742381072015769</v>
      </c>
    </row>
    <row r="1420" spans="1:13" x14ac:dyDescent="0.3">
      <c r="A1420" s="34" t="s">
        <v>662</v>
      </c>
      <c r="B1420">
        <v>-1</v>
      </c>
      <c r="C1420">
        <v>2050</v>
      </c>
      <c r="D1420" s="34" t="s">
        <v>356</v>
      </c>
      <c r="E1420" s="34" t="s">
        <v>357</v>
      </c>
      <c r="F1420" s="34" t="s">
        <v>573</v>
      </c>
      <c r="G1420" s="34" t="s">
        <v>41</v>
      </c>
      <c r="H1420" s="34" t="s">
        <v>40</v>
      </c>
      <c r="I1420" s="34" t="s">
        <v>13</v>
      </c>
      <c r="J1420" s="34" t="s">
        <v>42</v>
      </c>
      <c r="K1420" s="34" t="s">
        <v>46</v>
      </c>
      <c r="L1420" s="34" t="s">
        <v>47</v>
      </c>
      <c r="M1420">
        <v>0.48152185881072912</v>
      </c>
    </row>
    <row r="1421" spans="1:13" x14ac:dyDescent="0.3">
      <c r="A1421" s="34" t="s">
        <v>662</v>
      </c>
      <c r="B1421">
        <v>-1</v>
      </c>
      <c r="C1421">
        <v>2050</v>
      </c>
      <c r="D1421" s="34" t="s">
        <v>356</v>
      </c>
      <c r="E1421" s="34" t="s">
        <v>357</v>
      </c>
      <c r="F1421" s="34" t="s">
        <v>573</v>
      </c>
      <c r="G1421" s="34" t="s">
        <v>41</v>
      </c>
      <c r="H1421" s="34" t="s">
        <v>40</v>
      </c>
      <c r="I1421" s="34" t="s">
        <v>13</v>
      </c>
      <c r="J1421" s="34" t="s">
        <v>42</v>
      </c>
      <c r="K1421" s="34" t="s">
        <v>48</v>
      </c>
      <c r="L1421" s="34" t="s">
        <v>47</v>
      </c>
      <c r="M1421">
        <v>-0.48152185881072912</v>
      </c>
    </row>
    <row r="1422" spans="1:13" x14ac:dyDescent="0.3">
      <c r="A1422" s="34" t="s">
        <v>662</v>
      </c>
      <c r="B1422">
        <v>-1</v>
      </c>
      <c r="C1422">
        <v>2050</v>
      </c>
      <c r="D1422" s="34" t="s">
        <v>356</v>
      </c>
      <c r="E1422" s="34" t="s">
        <v>357</v>
      </c>
      <c r="F1422" s="34" t="s">
        <v>625</v>
      </c>
      <c r="G1422" s="34" t="s">
        <v>28</v>
      </c>
      <c r="H1422" s="34" t="s">
        <v>23</v>
      </c>
      <c r="I1422" s="34" t="s">
        <v>19</v>
      </c>
      <c r="J1422" s="34" t="s">
        <v>24</v>
      </c>
      <c r="K1422" s="34" t="s">
        <v>46</v>
      </c>
      <c r="L1422" s="34" t="s">
        <v>47</v>
      </c>
      <c r="M1422">
        <v>0.73</v>
      </c>
    </row>
    <row r="1423" spans="1:13" x14ac:dyDescent="0.3">
      <c r="A1423" s="34" t="s">
        <v>662</v>
      </c>
      <c r="B1423">
        <v>-1</v>
      </c>
      <c r="C1423">
        <v>2050</v>
      </c>
      <c r="D1423" s="34" t="s">
        <v>356</v>
      </c>
      <c r="E1423" s="34" t="s">
        <v>357</v>
      </c>
      <c r="F1423" s="34" t="s">
        <v>625</v>
      </c>
      <c r="G1423" s="34" t="s">
        <v>28</v>
      </c>
      <c r="H1423" s="34" t="s">
        <v>23</v>
      </c>
      <c r="I1423" s="34" t="s">
        <v>19</v>
      </c>
      <c r="J1423" s="34" t="s">
        <v>24</v>
      </c>
      <c r="K1423" s="34" t="s">
        <v>48</v>
      </c>
      <c r="L1423" s="34" t="s">
        <v>47</v>
      </c>
      <c r="M1423">
        <v>-0.73</v>
      </c>
    </row>
    <row r="1424" spans="1:13" x14ac:dyDescent="0.3">
      <c r="A1424" s="34" t="s">
        <v>662</v>
      </c>
      <c r="B1424">
        <v>-1</v>
      </c>
      <c r="C1424">
        <v>2050</v>
      </c>
      <c r="D1424" s="34" t="s">
        <v>356</v>
      </c>
      <c r="E1424" s="34" t="s">
        <v>357</v>
      </c>
      <c r="F1424" s="34" t="s">
        <v>625</v>
      </c>
      <c r="G1424" s="34" t="s">
        <v>29</v>
      </c>
      <c r="H1424" s="34" t="s">
        <v>21</v>
      </c>
      <c r="I1424" s="34" t="s">
        <v>19</v>
      </c>
      <c r="J1424" s="34" t="s">
        <v>22</v>
      </c>
      <c r="K1424" s="34" t="s">
        <v>46</v>
      </c>
      <c r="L1424" s="34" t="s">
        <v>47</v>
      </c>
      <c r="M1424">
        <v>1.4403658000000001</v>
      </c>
    </row>
    <row r="1425" spans="1:13" x14ac:dyDescent="0.3">
      <c r="A1425" s="34" t="s">
        <v>662</v>
      </c>
      <c r="B1425">
        <v>-1</v>
      </c>
      <c r="C1425">
        <v>2050</v>
      </c>
      <c r="D1425" s="34" t="s">
        <v>356</v>
      </c>
      <c r="E1425" s="34" t="s">
        <v>357</v>
      </c>
      <c r="F1425" s="34" t="s">
        <v>625</v>
      </c>
      <c r="G1425" s="34" t="s">
        <v>29</v>
      </c>
      <c r="H1425" s="34" t="s">
        <v>21</v>
      </c>
      <c r="I1425" s="34" t="s">
        <v>19</v>
      </c>
      <c r="J1425" s="34" t="s">
        <v>22</v>
      </c>
      <c r="K1425" s="34" t="s">
        <v>48</v>
      </c>
      <c r="L1425" s="34" t="s">
        <v>47</v>
      </c>
      <c r="M1425">
        <v>-1.4403658000000001</v>
      </c>
    </row>
    <row r="1426" spans="1:13" x14ac:dyDescent="0.3">
      <c r="A1426" s="34" t="s">
        <v>662</v>
      </c>
      <c r="B1426">
        <v>-1</v>
      </c>
      <c r="C1426">
        <v>2050</v>
      </c>
      <c r="D1426" s="34" t="s">
        <v>356</v>
      </c>
      <c r="E1426" s="34" t="s">
        <v>357</v>
      </c>
      <c r="F1426" s="34" t="s">
        <v>625</v>
      </c>
      <c r="G1426" s="34" t="s">
        <v>20</v>
      </c>
      <c r="H1426" s="34" t="s">
        <v>21</v>
      </c>
      <c r="I1426" s="34" t="s">
        <v>19</v>
      </c>
      <c r="J1426" s="34" t="s">
        <v>22</v>
      </c>
      <c r="K1426" s="34" t="s">
        <v>46</v>
      </c>
      <c r="L1426" s="34" t="s">
        <v>47</v>
      </c>
      <c r="M1426">
        <v>3.5284024</v>
      </c>
    </row>
    <row r="1427" spans="1:13" x14ac:dyDescent="0.3">
      <c r="A1427" s="34" t="s">
        <v>662</v>
      </c>
      <c r="B1427">
        <v>-1</v>
      </c>
      <c r="C1427">
        <v>2050</v>
      </c>
      <c r="D1427" s="34" t="s">
        <v>356</v>
      </c>
      <c r="E1427" s="34" t="s">
        <v>357</v>
      </c>
      <c r="F1427" s="34" t="s">
        <v>625</v>
      </c>
      <c r="G1427" s="34" t="s">
        <v>20</v>
      </c>
      <c r="H1427" s="34" t="s">
        <v>21</v>
      </c>
      <c r="I1427" s="34" t="s">
        <v>19</v>
      </c>
      <c r="J1427" s="34" t="s">
        <v>22</v>
      </c>
      <c r="K1427" s="34" t="s">
        <v>48</v>
      </c>
      <c r="L1427" s="34" t="s">
        <v>47</v>
      </c>
      <c r="M1427">
        <v>-3.5284023999999983</v>
      </c>
    </row>
    <row r="1428" spans="1:13" x14ac:dyDescent="0.3">
      <c r="A1428" s="34" t="s">
        <v>662</v>
      </c>
      <c r="B1428">
        <v>-1</v>
      </c>
      <c r="C1428">
        <v>2050</v>
      </c>
      <c r="D1428" s="34" t="s">
        <v>356</v>
      </c>
      <c r="E1428" s="34" t="s">
        <v>357</v>
      </c>
      <c r="F1428" s="34" t="s">
        <v>625</v>
      </c>
      <c r="G1428" s="34" t="s">
        <v>30</v>
      </c>
      <c r="H1428" s="34" t="s">
        <v>21</v>
      </c>
      <c r="I1428" s="34" t="s">
        <v>19</v>
      </c>
      <c r="J1428" s="34" t="s">
        <v>22</v>
      </c>
      <c r="K1428" s="34" t="s">
        <v>46</v>
      </c>
      <c r="L1428" s="34" t="s">
        <v>47</v>
      </c>
      <c r="M1428">
        <v>0.2552218</v>
      </c>
    </row>
    <row r="1429" spans="1:13" x14ac:dyDescent="0.3">
      <c r="A1429" s="34" t="s">
        <v>662</v>
      </c>
      <c r="B1429">
        <v>-1</v>
      </c>
      <c r="C1429">
        <v>2050</v>
      </c>
      <c r="D1429" s="34" t="s">
        <v>356</v>
      </c>
      <c r="E1429" s="34" t="s">
        <v>357</v>
      </c>
      <c r="F1429" s="34" t="s">
        <v>625</v>
      </c>
      <c r="G1429" s="34" t="s">
        <v>30</v>
      </c>
      <c r="H1429" s="34" t="s">
        <v>21</v>
      </c>
      <c r="I1429" s="34" t="s">
        <v>19</v>
      </c>
      <c r="J1429" s="34" t="s">
        <v>22</v>
      </c>
      <c r="K1429" s="34" t="s">
        <v>48</v>
      </c>
      <c r="L1429" s="34" t="s">
        <v>47</v>
      </c>
      <c r="M1429">
        <v>-0.2552218</v>
      </c>
    </row>
    <row r="1430" spans="1:13" x14ac:dyDescent="0.3">
      <c r="A1430" s="34" t="s">
        <v>662</v>
      </c>
      <c r="B1430">
        <v>-1</v>
      </c>
      <c r="C1430">
        <v>2050</v>
      </c>
      <c r="D1430" s="34" t="s">
        <v>356</v>
      </c>
      <c r="E1430" s="34" t="s">
        <v>357</v>
      </c>
      <c r="F1430" s="34" t="s">
        <v>625</v>
      </c>
      <c r="G1430" s="34" t="s">
        <v>645</v>
      </c>
      <c r="H1430" s="34" t="s">
        <v>23</v>
      </c>
      <c r="I1430" s="34" t="s">
        <v>19</v>
      </c>
      <c r="J1430" s="34" t="s">
        <v>24</v>
      </c>
      <c r="K1430" s="34" t="s">
        <v>49</v>
      </c>
      <c r="L1430" s="34" t="s">
        <v>47</v>
      </c>
      <c r="M1430">
        <v>22.96646250598701</v>
      </c>
    </row>
    <row r="1431" spans="1:13" x14ac:dyDescent="0.3">
      <c r="A1431" s="34" t="s">
        <v>662</v>
      </c>
      <c r="B1431">
        <v>-1</v>
      </c>
      <c r="C1431">
        <v>2050</v>
      </c>
      <c r="D1431" s="34" t="s">
        <v>358</v>
      </c>
      <c r="E1431" s="34" t="s">
        <v>359</v>
      </c>
      <c r="F1431" s="34" t="s">
        <v>574</v>
      </c>
      <c r="G1431" s="34" t="s">
        <v>43</v>
      </c>
      <c r="H1431" s="34" t="s">
        <v>40</v>
      </c>
      <c r="I1431" s="34" t="s">
        <v>19</v>
      </c>
      <c r="J1431" s="34" t="s">
        <v>27</v>
      </c>
      <c r="K1431" s="34" t="s">
        <v>46</v>
      </c>
      <c r="L1431" s="34" t="s">
        <v>47</v>
      </c>
      <c r="M1431">
        <v>1.1520000000000001</v>
      </c>
    </row>
    <row r="1432" spans="1:13" x14ac:dyDescent="0.3">
      <c r="A1432" s="34" t="s">
        <v>662</v>
      </c>
      <c r="B1432">
        <v>-1</v>
      </c>
      <c r="C1432">
        <v>2050</v>
      </c>
      <c r="D1432" s="34" t="s">
        <v>358</v>
      </c>
      <c r="E1432" s="34" t="s">
        <v>359</v>
      </c>
      <c r="F1432" s="34" t="s">
        <v>574</v>
      </c>
      <c r="G1432" s="34" t="s">
        <v>43</v>
      </c>
      <c r="H1432" s="34" t="s">
        <v>40</v>
      </c>
      <c r="I1432" s="34" t="s">
        <v>19</v>
      </c>
      <c r="J1432" s="34" t="s">
        <v>27</v>
      </c>
      <c r="K1432" s="34" t="s">
        <v>48</v>
      </c>
      <c r="L1432" s="34" t="s">
        <v>47</v>
      </c>
      <c r="M1432">
        <v>-1.1520000000000004</v>
      </c>
    </row>
    <row r="1433" spans="1:13" x14ac:dyDescent="0.3">
      <c r="A1433" s="34" t="s">
        <v>662</v>
      </c>
      <c r="B1433">
        <v>-1</v>
      </c>
      <c r="C1433">
        <v>2050</v>
      </c>
      <c r="D1433" s="34" t="s">
        <v>358</v>
      </c>
      <c r="E1433" s="34" t="s">
        <v>359</v>
      </c>
      <c r="F1433" s="34" t="s">
        <v>574</v>
      </c>
      <c r="G1433" s="34" t="s">
        <v>319</v>
      </c>
      <c r="H1433" s="34" t="s">
        <v>12</v>
      </c>
      <c r="I1433" s="34" t="s">
        <v>19</v>
      </c>
      <c r="J1433" s="34" t="s">
        <v>258</v>
      </c>
      <c r="K1433" s="34" t="s">
        <v>46</v>
      </c>
      <c r="L1433" s="34" t="s">
        <v>47</v>
      </c>
      <c r="M1433">
        <v>9.7446808510638291E-2</v>
      </c>
    </row>
    <row r="1434" spans="1:13" x14ac:dyDescent="0.3">
      <c r="A1434" s="34" t="s">
        <v>662</v>
      </c>
      <c r="B1434">
        <v>-1</v>
      </c>
      <c r="C1434">
        <v>2050</v>
      </c>
      <c r="D1434" s="34" t="s">
        <v>358</v>
      </c>
      <c r="E1434" s="34" t="s">
        <v>359</v>
      </c>
      <c r="F1434" s="34" t="s">
        <v>574</v>
      </c>
      <c r="G1434" s="34" t="s">
        <v>31</v>
      </c>
      <c r="H1434" s="34" t="s">
        <v>18</v>
      </c>
      <c r="I1434" s="34" t="s">
        <v>19</v>
      </c>
      <c r="J1434" s="34" t="s">
        <v>32</v>
      </c>
      <c r="K1434" s="34" t="s">
        <v>46</v>
      </c>
      <c r="L1434" s="34" t="s">
        <v>47</v>
      </c>
      <c r="M1434">
        <v>0.41799999999999998</v>
      </c>
    </row>
    <row r="1435" spans="1:13" x14ac:dyDescent="0.3">
      <c r="A1435" s="34" t="s">
        <v>662</v>
      </c>
      <c r="B1435">
        <v>-1</v>
      </c>
      <c r="C1435">
        <v>2050</v>
      </c>
      <c r="D1435" s="34" t="s">
        <v>358</v>
      </c>
      <c r="E1435" s="34" t="s">
        <v>359</v>
      </c>
      <c r="F1435" s="34" t="s">
        <v>574</v>
      </c>
      <c r="G1435" s="34" t="s">
        <v>180</v>
      </c>
      <c r="H1435" s="34" t="s">
        <v>18</v>
      </c>
      <c r="I1435" s="34" t="s">
        <v>19</v>
      </c>
      <c r="J1435" s="34" t="s">
        <v>181</v>
      </c>
      <c r="K1435" s="34" t="s">
        <v>46</v>
      </c>
      <c r="L1435" s="34" t="s">
        <v>47</v>
      </c>
      <c r="M1435">
        <v>1.21</v>
      </c>
    </row>
    <row r="1436" spans="1:13" x14ac:dyDescent="0.3">
      <c r="A1436" s="34" t="s">
        <v>662</v>
      </c>
      <c r="B1436">
        <v>-1</v>
      </c>
      <c r="C1436">
        <v>2050</v>
      </c>
      <c r="D1436" s="34" t="s">
        <v>358</v>
      </c>
      <c r="E1436" s="34" t="s">
        <v>359</v>
      </c>
      <c r="F1436" s="34" t="s">
        <v>574</v>
      </c>
      <c r="G1436" s="34" t="s">
        <v>54</v>
      </c>
      <c r="H1436" s="34" t="s">
        <v>39</v>
      </c>
      <c r="I1436" s="34" t="s">
        <v>19</v>
      </c>
      <c r="J1436" s="34" t="s">
        <v>27</v>
      </c>
      <c r="K1436" s="34" t="s">
        <v>46</v>
      </c>
      <c r="L1436" s="34" t="s">
        <v>47</v>
      </c>
      <c r="M1436">
        <v>0.309</v>
      </c>
    </row>
    <row r="1437" spans="1:13" x14ac:dyDescent="0.3">
      <c r="A1437" s="34" t="s">
        <v>662</v>
      </c>
      <c r="B1437">
        <v>-1</v>
      </c>
      <c r="C1437">
        <v>2050</v>
      </c>
      <c r="D1437" s="34" t="s">
        <v>358</v>
      </c>
      <c r="E1437" s="34" t="s">
        <v>359</v>
      </c>
      <c r="F1437" s="34" t="s">
        <v>574</v>
      </c>
      <c r="G1437" s="34" t="s">
        <v>54</v>
      </c>
      <c r="H1437" s="34" t="s">
        <v>39</v>
      </c>
      <c r="I1437" s="34" t="s">
        <v>19</v>
      </c>
      <c r="J1437" s="34" t="s">
        <v>27</v>
      </c>
      <c r="K1437" s="34" t="s">
        <v>48</v>
      </c>
      <c r="L1437" s="34" t="s">
        <v>47</v>
      </c>
      <c r="M1437">
        <v>-0.30899999999999994</v>
      </c>
    </row>
    <row r="1438" spans="1:13" x14ac:dyDescent="0.3">
      <c r="A1438" s="34" t="s">
        <v>662</v>
      </c>
      <c r="B1438">
        <v>-1</v>
      </c>
      <c r="C1438">
        <v>2050</v>
      </c>
      <c r="D1438" s="34" t="s">
        <v>358</v>
      </c>
      <c r="E1438" s="34" t="s">
        <v>359</v>
      </c>
      <c r="F1438" s="34" t="s">
        <v>574</v>
      </c>
      <c r="G1438" s="34" t="s">
        <v>276</v>
      </c>
      <c r="H1438" s="34" t="s">
        <v>237</v>
      </c>
      <c r="I1438" s="34" t="s">
        <v>19</v>
      </c>
      <c r="J1438" s="34" t="s">
        <v>27</v>
      </c>
      <c r="K1438" s="34" t="s">
        <v>46</v>
      </c>
      <c r="L1438" s="34" t="s">
        <v>47</v>
      </c>
      <c r="M1438">
        <v>0.25700000000000001</v>
      </c>
    </row>
    <row r="1439" spans="1:13" x14ac:dyDescent="0.3">
      <c r="A1439" s="34" t="s">
        <v>662</v>
      </c>
      <c r="B1439">
        <v>-1</v>
      </c>
      <c r="C1439">
        <v>2050</v>
      </c>
      <c r="D1439" s="34" t="s">
        <v>358</v>
      </c>
      <c r="E1439" s="34" t="s">
        <v>359</v>
      </c>
      <c r="F1439" s="34" t="s">
        <v>574</v>
      </c>
      <c r="G1439" s="34" t="s">
        <v>276</v>
      </c>
      <c r="H1439" s="34" t="s">
        <v>237</v>
      </c>
      <c r="I1439" s="34" t="s">
        <v>19</v>
      </c>
      <c r="J1439" s="34" t="s">
        <v>27</v>
      </c>
      <c r="K1439" s="34" t="s">
        <v>48</v>
      </c>
      <c r="L1439" s="34" t="s">
        <v>47</v>
      </c>
      <c r="M1439">
        <v>-0.25699999999999995</v>
      </c>
    </row>
    <row r="1440" spans="1:13" x14ac:dyDescent="0.3">
      <c r="A1440" s="34" t="s">
        <v>662</v>
      </c>
      <c r="B1440">
        <v>-1</v>
      </c>
      <c r="C1440">
        <v>2050</v>
      </c>
      <c r="D1440" s="34" t="s">
        <v>358</v>
      </c>
      <c r="E1440" s="34" t="s">
        <v>359</v>
      </c>
      <c r="F1440" s="34" t="s">
        <v>574</v>
      </c>
      <c r="G1440" s="34" t="s">
        <v>253</v>
      </c>
      <c r="H1440" s="34" t="s">
        <v>254</v>
      </c>
      <c r="I1440" s="34" t="s">
        <v>19</v>
      </c>
      <c r="J1440" s="34" t="s">
        <v>27</v>
      </c>
      <c r="K1440" s="34" t="s">
        <v>46</v>
      </c>
      <c r="L1440" s="34" t="s">
        <v>47</v>
      </c>
      <c r="M1440">
        <v>1.94</v>
      </c>
    </row>
    <row r="1441" spans="1:13" x14ac:dyDescent="0.3">
      <c r="A1441" s="34" t="s">
        <v>662</v>
      </c>
      <c r="B1441">
        <v>-1</v>
      </c>
      <c r="C1441">
        <v>2050</v>
      </c>
      <c r="D1441" s="34" t="s">
        <v>358</v>
      </c>
      <c r="E1441" s="34" t="s">
        <v>359</v>
      </c>
      <c r="F1441" s="34" t="s">
        <v>574</v>
      </c>
      <c r="G1441" s="34" t="s">
        <v>253</v>
      </c>
      <c r="H1441" s="34" t="s">
        <v>254</v>
      </c>
      <c r="I1441" s="34" t="s">
        <v>19</v>
      </c>
      <c r="J1441" s="34" t="s">
        <v>27</v>
      </c>
      <c r="K1441" s="34" t="s">
        <v>48</v>
      </c>
      <c r="L1441" s="34" t="s">
        <v>47</v>
      </c>
      <c r="M1441">
        <v>-1.94</v>
      </c>
    </row>
    <row r="1442" spans="1:13" x14ac:dyDescent="0.3">
      <c r="A1442" s="34" t="s">
        <v>662</v>
      </c>
      <c r="B1442">
        <v>-1</v>
      </c>
      <c r="C1442">
        <v>2050</v>
      </c>
      <c r="D1442" s="34" t="s">
        <v>358</v>
      </c>
      <c r="E1442" s="34" t="s">
        <v>359</v>
      </c>
      <c r="F1442" s="34" t="s">
        <v>574</v>
      </c>
      <c r="G1442" s="34" t="s">
        <v>52</v>
      </c>
      <c r="H1442" s="34" t="s">
        <v>53</v>
      </c>
      <c r="I1442" s="34" t="s">
        <v>19</v>
      </c>
      <c r="J1442" s="34" t="s">
        <v>27</v>
      </c>
      <c r="K1442" s="34" t="s">
        <v>46</v>
      </c>
      <c r="L1442" s="34" t="s">
        <v>47</v>
      </c>
      <c r="M1442">
        <v>0.224</v>
      </c>
    </row>
    <row r="1443" spans="1:13" x14ac:dyDescent="0.3">
      <c r="A1443" s="34" t="s">
        <v>662</v>
      </c>
      <c r="B1443">
        <v>-1</v>
      </c>
      <c r="C1443">
        <v>2050</v>
      </c>
      <c r="D1443" s="34" t="s">
        <v>358</v>
      </c>
      <c r="E1443" s="34" t="s">
        <v>359</v>
      </c>
      <c r="F1443" s="34" t="s">
        <v>574</v>
      </c>
      <c r="G1443" s="34" t="s">
        <v>52</v>
      </c>
      <c r="H1443" s="34" t="s">
        <v>53</v>
      </c>
      <c r="I1443" s="34" t="s">
        <v>19</v>
      </c>
      <c r="J1443" s="34" t="s">
        <v>27</v>
      </c>
      <c r="K1443" s="34" t="s">
        <v>48</v>
      </c>
      <c r="L1443" s="34" t="s">
        <v>47</v>
      </c>
      <c r="M1443">
        <v>-0.22399999999999995</v>
      </c>
    </row>
    <row r="1444" spans="1:13" x14ac:dyDescent="0.3">
      <c r="A1444" s="34" t="s">
        <v>662</v>
      </c>
      <c r="B1444">
        <v>-1</v>
      </c>
      <c r="C1444">
        <v>2050</v>
      </c>
      <c r="D1444" s="34" t="s">
        <v>358</v>
      </c>
      <c r="E1444" s="34" t="s">
        <v>359</v>
      </c>
      <c r="F1444" s="34" t="s">
        <v>626</v>
      </c>
      <c r="G1444" s="34" t="s">
        <v>28</v>
      </c>
      <c r="H1444" s="34" t="s">
        <v>23</v>
      </c>
      <c r="I1444" s="34" t="s">
        <v>19</v>
      </c>
      <c r="J1444" s="34" t="s">
        <v>24</v>
      </c>
      <c r="K1444" s="34" t="s">
        <v>46</v>
      </c>
      <c r="L1444" s="34" t="s">
        <v>47</v>
      </c>
      <c r="M1444">
        <v>0.53100000000000003</v>
      </c>
    </row>
    <row r="1445" spans="1:13" x14ac:dyDescent="0.3">
      <c r="A1445" s="34" t="s">
        <v>662</v>
      </c>
      <c r="B1445">
        <v>-1</v>
      </c>
      <c r="C1445">
        <v>2050</v>
      </c>
      <c r="D1445" s="34" t="s">
        <v>358</v>
      </c>
      <c r="E1445" s="34" t="s">
        <v>359</v>
      </c>
      <c r="F1445" s="34" t="s">
        <v>626</v>
      </c>
      <c r="G1445" s="34" t="s">
        <v>28</v>
      </c>
      <c r="H1445" s="34" t="s">
        <v>23</v>
      </c>
      <c r="I1445" s="34" t="s">
        <v>19</v>
      </c>
      <c r="J1445" s="34" t="s">
        <v>24</v>
      </c>
      <c r="K1445" s="34" t="s">
        <v>48</v>
      </c>
      <c r="L1445" s="34" t="s">
        <v>47</v>
      </c>
      <c r="M1445">
        <v>-0.53100000000000003</v>
      </c>
    </row>
    <row r="1446" spans="1:13" x14ac:dyDescent="0.3">
      <c r="A1446" s="34" t="s">
        <v>662</v>
      </c>
      <c r="B1446">
        <v>-1</v>
      </c>
      <c r="C1446">
        <v>2050</v>
      </c>
      <c r="D1446" s="34" t="s">
        <v>358</v>
      </c>
      <c r="E1446" s="34" t="s">
        <v>359</v>
      </c>
      <c r="F1446" s="34" t="s">
        <v>626</v>
      </c>
      <c r="G1446" s="34" t="s">
        <v>29</v>
      </c>
      <c r="H1446" s="34" t="s">
        <v>21</v>
      </c>
      <c r="I1446" s="34" t="s">
        <v>19</v>
      </c>
      <c r="J1446" s="34" t="s">
        <v>22</v>
      </c>
      <c r="K1446" s="34" t="s">
        <v>46</v>
      </c>
      <c r="L1446" s="34" t="s">
        <v>47</v>
      </c>
      <c r="M1446">
        <v>9.0000000000000008E-4</v>
      </c>
    </row>
    <row r="1447" spans="1:13" x14ac:dyDescent="0.3">
      <c r="A1447" s="34" t="s">
        <v>662</v>
      </c>
      <c r="B1447">
        <v>-1</v>
      </c>
      <c r="C1447">
        <v>2050</v>
      </c>
      <c r="D1447" s="34" t="s">
        <v>358</v>
      </c>
      <c r="E1447" s="34" t="s">
        <v>359</v>
      </c>
      <c r="F1447" s="34" t="s">
        <v>626</v>
      </c>
      <c r="G1447" s="34" t="s">
        <v>29</v>
      </c>
      <c r="H1447" s="34" t="s">
        <v>21</v>
      </c>
      <c r="I1447" s="34" t="s">
        <v>19</v>
      </c>
      <c r="J1447" s="34" t="s">
        <v>22</v>
      </c>
      <c r="K1447" s="34" t="s">
        <v>48</v>
      </c>
      <c r="L1447" s="34" t="s">
        <v>47</v>
      </c>
      <c r="M1447">
        <v>-8.9999999999999998E-4</v>
      </c>
    </row>
    <row r="1448" spans="1:13" x14ac:dyDescent="0.3">
      <c r="A1448" s="34" t="s">
        <v>662</v>
      </c>
      <c r="B1448">
        <v>-1</v>
      </c>
      <c r="C1448">
        <v>2050</v>
      </c>
      <c r="D1448" s="34" t="s">
        <v>358</v>
      </c>
      <c r="E1448" s="34" t="s">
        <v>359</v>
      </c>
      <c r="F1448" s="34" t="s">
        <v>626</v>
      </c>
      <c r="G1448" s="34" t="s">
        <v>20</v>
      </c>
      <c r="H1448" s="34" t="s">
        <v>21</v>
      </c>
      <c r="I1448" s="34" t="s">
        <v>19</v>
      </c>
      <c r="J1448" s="34" t="s">
        <v>22</v>
      </c>
      <c r="K1448" s="34" t="s">
        <v>46</v>
      </c>
      <c r="L1448" s="34" t="s">
        <v>47</v>
      </c>
      <c r="M1448">
        <v>1.9499999999999999E-3</v>
      </c>
    </row>
    <row r="1449" spans="1:13" x14ac:dyDescent="0.3">
      <c r="A1449" s="34" t="s">
        <v>662</v>
      </c>
      <c r="B1449">
        <v>-1</v>
      </c>
      <c r="C1449">
        <v>2050</v>
      </c>
      <c r="D1449" s="34" t="s">
        <v>358</v>
      </c>
      <c r="E1449" s="34" t="s">
        <v>359</v>
      </c>
      <c r="F1449" s="34" t="s">
        <v>626</v>
      </c>
      <c r="G1449" s="34" t="s">
        <v>20</v>
      </c>
      <c r="H1449" s="34" t="s">
        <v>21</v>
      </c>
      <c r="I1449" s="34" t="s">
        <v>19</v>
      </c>
      <c r="J1449" s="34" t="s">
        <v>22</v>
      </c>
      <c r="K1449" s="34" t="s">
        <v>48</v>
      </c>
      <c r="L1449" s="34" t="s">
        <v>47</v>
      </c>
      <c r="M1449">
        <v>-1.9500000000000001E-3</v>
      </c>
    </row>
    <row r="1450" spans="1:13" x14ac:dyDescent="0.3">
      <c r="A1450" s="34" t="s">
        <v>662</v>
      </c>
      <c r="B1450">
        <v>-1</v>
      </c>
      <c r="C1450">
        <v>2050</v>
      </c>
      <c r="D1450" s="34" t="s">
        <v>358</v>
      </c>
      <c r="E1450" s="34" t="s">
        <v>359</v>
      </c>
      <c r="F1450" s="34" t="s">
        <v>626</v>
      </c>
      <c r="G1450" s="34" t="s">
        <v>30</v>
      </c>
      <c r="H1450" s="34" t="s">
        <v>21</v>
      </c>
      <c r="I1450" s="34" t="s">
        <v>19</v>
      </c>
      <c r="J1450" s="34" t="s">
        <v>22</v>
      </c>
      <c r="K1450" s="34" t="s">
        <v>46</v>
      </c>
      <c r="L1450" s="34" t="s">
        <v>47</v>
      </c>
      <c r="M1450">
        <v>1.4999999999999999E-4</v>
      </c>
    </row>
    <row r="1451" spans="1:13" x14ac:dyDescent="0.3">
      <c r="A1451" s="34" t="s">
        <v>662</v>
      </c>
      <c r="B1451">
        <v>-1</v>
      </c>
      <c r="C1451">
        <v>2050</v>
      </c>
      <c r="D1451" s="34" t="s">
        <v>358</v>
      </c>
      <c r="E1451" s="34" t="s">
        <v>359</v>
      </c>
      <c r="F1451" s="34" t="s">
        <v>626</v>
      </c>
      <c r="G1451" s="34" t="s">
        <v>30</v>
      </c>
      <c r="H1451" s="34" t="s">
        <v>21</v>
      </c>
      <c r="I1451" s="34" t="s">
        <v>19</v>
      </c>
      <c r="J1451" s="34" t="s">
        <v>22</v>
      </c>
      <c r="K1451" s="34" t="s">
        <v>48</v>
      </c>
      <c r="L1451" s="34" t="s">
        <v>47</v>
      </c>
      <c r="M1451">
        <v>-1.5000000000000001E-4</v>
      </c>
    </row>
    <row r="1452" spans="1:13" x14ac:dyDescent="0.3">
      <c r="A1452" s="34" t="s">
        <v>662</v>
      </c>
      <c r="B1452">
        <v>-1</v>
      </c>
      <c r="C1452">
        <v>2050</v>
      </c>
      <c r="D1452" s="34" t="s">
        <v>358</v>
      </c>
      <c r="E1452" s="34" t="s">
        <v>359</v>
      </c>
      <c r="F1452" s="34" t="s">
        <v>626</v>
      </c>
      <c r="G1452" s="34" t="s">
        <v>645</v>
      </c>
      <c r="H1452" s="34" t="s">
        <v>23</v>
      </c>
      <c r="I1452" s="34" t="s">
        <v>19</v>
      </c>
      <c r="J1452" s="34" t="s">
        <v>24</v>
      </c>
      <c r="K1452" s="34" t="s">
        <v>49</v>
      </c>
      <c r="L1452" s="34" t="s">
        <v>47</v>
      </c>
      <c r="M1452">
        <v>6.9676889358952794</v>
      </c>
    </row>
    <row r="1453" spans="1:13" x14ac:dyDescent="0.3">
      <c r="A1453" s="34" t="s">
        <v>662</v>
      </c>
      <c r="B1453">
        <v>-1</v>
      </c>
      <c r="C1453">
        <v>2050</v>
      </c>
      <c r="D1453" s="34" t="s">
        <v>360</v>
      </c>
      <c r="E1453" s="34" t="s">
        <v>361</v>
      </c>
      <c r="F1453" s="34" t="s">
        <v>575</v>
      </c>
      <c r="G1453" s="34" t="s">
        <v>43</v>
      </c>
      <c r="H1453" s="34" t="s">
        <v>40</v>
      </c>
      <c r="I1453" s="34" t="s">
        <v>19</v>
      </c>
      <c r="J1453" s="34" t="s">
        <v>27</v>
      </c>
      <c r="K1453" s="34" t="s">
        <v>46</v>
      </c>
      <c r="L1453" s="34" t="s">
        <v>47</v>
      </c>
      <c r="M1453">
        <v>4.03</v>
      </c>
    </row>
    <row r="1454" spans="1:13" x14ac:dyDescent="0.3">
      <c r="A1454" s="34" t="s">
        <v>662</v>
      </c>
      <c r="B1454">
        <v>-1</v>
      </c>
      <c r="C1454">
        <v>2050</v>
      </c>
      <c r="D1454" s="34" t="s">
        <v>360</v>
      </c>
      <c r="E1454" s="34" t="s">
        <v>361</v>
      </c>
      <c r="F1454" s="34" t="s">
        <v>575</v>
      </c>
      <c r="G1454" s="34" t="s">
        <v>43</v>
      </c>
      <c r="H1454" s="34" t="s">
        <v>40</v>
      </c>
      <c r="I1454" s="34" t="s">
        <v>19</v>
      </c>
      <c r="J1454" s="34" t="s">
        <v>27</v>
      </c>
      <c r="K1454" s="34" t="s">
        <v>48</v>
      </c>
      <c r="L1454" s="34" t="s">
        <v>47</v>
      </c>
      <c r="M1454">
        <v>-4.03</v>
      </c>
    </row>
    <row r="1455" spans="1:13" x14ac:dyDescent="0.3">
      <c r="A1455" s="34" t="s">
        <v>662</v>
      </c>
      <c r="B1455">
        <v>-1</v>
      </c>
      <c r="C1455">
        <v>2050</v>
      </c>
      <c r="D1455" s="34" t="s">
        <v>360</v>
      </c>
      <c r="E1455" s="34" t="s">
        <v>361</v>
      </c>
      <c r="F1455" s="34" t="s">
        <v>575</v>
      </c>
      <c r="G1455" s="34" t="s">
        <v>44</v>
      </c>
      <c r="H1455" s="34" t="s">
        <v>45</v>
      </c>
      <c r="I1455" s="34" t="s">
        <v>19</v>
      </c>
      <c r="J1455" s="34" t="s">
        <v>27</v>
      </c>
      <c r="K1455" s="34" t="s">
        <v>46</v>
      </c>
      <c r="L1455" s="34" t="s">
        <v>47</v>
      </c>
      <c r="M1455">
        <v>3.0000000000000001E-3</v>
      </c>
    </row>
    <row r="1456" spans="1:13" x14ac:dyDescent="0.3">
      <c r="A1456" s="34" t="s">
        <v>662</v>
      </c>
      <c r="B1456">
        <v>-1</v>
      </c>
      <c r="C1456">
        <v>2050</v>
      </c>
      <c r="D1456" s="34" t="s">
        <v>360</v>
      </c>
      <c r="E1456" s="34" t="s">
        <v>361</v>
      </c>
      <c r="F1456" s="34" t="s">
        <v>575</v>
      </c>
      <c r="G1456" s="34" t="s">
        <v>44</v>
      </c>
      <c r="H1456" s="34" t="s">
        <v>45</v>
      </c>
      <c r="I1456" s="34" t="s">
        <v>19</v>
      </c>
      <c r="J1456" s="34" t="s">
        <v>27</v>
      </c>
      <c r="K1456" s="34" t="s">
        <v>48</v>
      </c>
      <c r="L1456" s="34" t="s">
        <v>47</v>
      </c>
      <c r="M1456">
        <v>-2.9999999999999996E-3</v>
      </c>
    </row>
    <row r="1457" spans="1:13" x14ac:dyDescent="0.3">
      <c r="A1457" s="34" t="s">
        <v>662</v>
      </c>
      <c r="B1457">
        <v>-1</v>
      </c>
      <c r="C1457">
        <v>2050</v>
      </c>
      <c r="D1457" s="34" t="s">
        <v>360</v>
      </c>
      <c r="E1457" s="34" t="s">
        <v>361</v>
      </c>
      <c r="F1457" s="34" t="s">
        <v>575</v>
      </c>
      <c r="G1457" s="34" t="s">
        <v>31</v>
      </c>
      <c r="H1457" s="34" t="s">
        <v>18</v>
      </c>
      <c r="I1457" s="34" t="s">
        <v>19</v>
      </c>
      <c r="J1457" s="34" t="s">
        <v>32</v>
      </c>
      <c r="K1457" s="34" t="s">
        <v>46</v>
      </c>
      <c r="L1457" s="34" t="s">
        <v>47</v>
      </c>
      <c r="M1457">
        <v>2.8000000000000001E-2</v>
      </c>
    </row>
    <row r="1458" spans="1:13" x14ac:dyDescent="0.3">
      <c r="A1458" s="34" t="s">
        <v>662</v>
      </c>
      <c r="B1458">
        <v>-1</v>
      </c>
      <c r="C1458">
        <v>2050</v>
      </c>
      <c r="D1458" s="34" t="s">
        <v>360</v>
      </c>
      <c r="E1458" s="34" t="s">
        <v>361</v>
      </c>
      <c r="F1458" s="34" t="s">
        <v>575</v>
      </c>
      <c r="G1458" s="34" t="s">
        <v>180</v>
      </c>
      <c r="H1458" s="34" t="s">
        <v>18</v>
      </c>
      <c r="I1458" s="34" t="s">
        <v>19</v>
      </c>
      <c r="J1458" s="34" t="s">
        <v>181</v>
      </c>
      <c r="K1458" s="34" t="s">
        <v>46</v>
      </c>
      <c r="L1458" s="34" t="s">
        <v>47</v>
      </c>
      <c r="M1458">
        <v>1.9699999999999999E-2</v>
      </c>
    </row>
    <row r="1459" spans="1:13" x14ac:dyDescent="0.3">
      <c r="A1459" s="34" t="s">
        <v>662</v>
      </c>
      <c r="B1459">
        <v>-1</v>
      </c>
      <c r="C1459">
        <v>2050</v>
      </c>
      <c r="D1459" s="34" t="s">
        <v>360</v>
      </c>
      <c r="E1459" s="34" t="s">
        <v>361</v>
      </c>
      <c r="F1459" s="34" t="s">
        <v>575</v>
      </c>
      <c r="G1459" s="34" t="s">
        <v>54</v>
      </c>
      <c r="H1459" s="34" t="s">
        <v>39</v>
      </c>
      <c r="I1459" s="34" t="s">
        <v>19</v>
      </c>
      <c r="J1459" s="34" t="s">
        <v>27</v>
      </c>
      <c r="K1459" s="34" t="s">
        <v>46</v>
      </c>
      <c r="L1459" s="34" t="s">
        <v>47</v>
      </c>
      <c r="M1459">
        <v>1.0489999999999999</v>
      </c>
    </row>
    <row r="1460" spans="1:13" x14ac:dyDescent="0.3">
      <c r="A1460" s="34" t="s">
        <v>662</v>
      </c>
      <c r="B1460">
        <v>-1</v>
      </c>
      <c r="C1460">
        <v>2050</v>
      </c>
      <c r="D1460" s="34" t="s">
        <v>360</v>
      </c>
      <c r="E1460" s="34" t="s">
        <v>361</v>
      </c>
      <c r="F1460" s="34" t="s">
        <v>575</v>
      </c>
      <c r="G1460" s="34" t="s">
        <v>54</v>
      </c>
      <c r="H1460" s="34" t="s">
        <v>39</v>
      </c>
      <c r="I1460" s="34" t="s">
        <v>19</v>
      </c>
      <c r="J1460" s="34" t="s">
        <v>27</v>
      </c>
      <c r="K1460" s="34" t="s">
        <v>48</v>
      </c>
      <c r="L1460" s="34" t="s">
        <v>47</v>
      </c>
      <c r="M1460">
        <v>-1.0490000000000002</v>
      </c>
    </row>
    <row r="1461" spans="1:13" x14ac:dyDescent="0.3">
      <c r="A1461" s="34" t="s">
        <v>662</v>
      </c>
      <c r="B1461">
        <v>-1</v>
      </c>
      <c r="C1461">
        <v>2050</v>
      </c>
      <c r="D1461" s="34" t="s">
        <v>360</v>
      </c>
      <c r="E1461" s="34" t="s">
        <v>361</v>
      </c>
      <c r="F1461" s="34" t="s">
        <v>575</v>
      </c>
      <c r="G1461" s="34" t="s">
        <v>276</v>
      </c>
      <c r="H1461" s="34" t="s">
        <v>237</v>
      </c>
      <c r="I1461" s="34" t="s">
        <v>19</v>
      </c>
      <c r="J1461" s="34" t="s">
        <v>27</v>
      </c>
      <c r="K1461" s="34" t="s">
        <v>46</v>
      </c>
      <c r="L1461" s="34" t="s">
        <v>47</v>
      </c>
      <c r="M1461">
        <v>0.42</v>
      </c>
    </row>
    <row r="1462" spans="1:13" x14ac:dyDescent="0.3">
      <c r="A1462" s="34" t="s">
        <v>662</v>
      </c>
      <c r="B1462">
        <v>-1</v>
      </c>
      <c r="C1462">
        <v>2050</v>
      </c>
      <c r="D1462" s="34" t="s">
        <v>360</v>
      </c>
      <c r="E1462" s="34" t="s">
        <v>361</v>
      </c>
      <c r="F1462" s="34" t="s">
        <v>575</v>
      </c>
      <c r="G1462" s="34" t="s">
        <v>276</v>
      </c>
      <c r="H1462" s="34" t="s">
        <v>237</v>
      </c>
      <c r="I1462" s="34" t="s">
        <v>19</v>
      </c>
      <c r="J1462" s="34" t="s">
        <v>27</v>
      </c>
      <c r="K1462" s="34" t="s">
        <v>48</v>
      </c>
      <c r="L1462" s="34" t="s">
        <v>47</v>
      </c>
      <c r="M1462">
        <v>-0.42</v>
      </c>
    </row>
    <row r="1463" spans="1:13" x14ac:dyDescent="0.3">
      <c r="A1463" s="34" t="s">
        <v>662</v>
      </c>
      <c r="B1463">
        <v>-1</v>
      </c>
      <c r="C1463">
        <v>2050</v>
      </c>
      <c r="D1463" s="34" t="s">
        <v>360</v>
      </c>
      <c r="E1463" s="34" t="s">
        <v>361</v>
      </c>
      <c r="F1463" s="34" t="s">
        <v>575</v>
      </c>
      <c r="G1463" s="34" t="s">
        <v>307</v>
      </c>
      <c r="H1463" s="34" t="s">
        <v>26</v>
      </c>
      <c r="I1463" s="34" t="s">
        <v>19</v>
      </c>
      <c r="J1463" s="34" t="s">
        <v>27</v>
      </c>
      <c r="K1463" s="34" t="s">
        <v>46</v>
      </c>
      <c r="L1463" s="34" t="s">
        <v>47</v>
      </c>
      <c r="M1463">
        <v>5.9000000000000004E-2</v>
      </c>
    </row>
    <row r="1464" spans="1:13" x14ac:dyDescent="0.3">
      <c r="A1464" s="34" t="s">
        <v>662</v>
      </c>
      <c r="B1464">
        <v>-1</v>
      </c>
      <c r="C1464">
        <v>2050</v>
      </c>
      <c r="D1464" s="34" t="s">
        <v>360</v>
      </c>
      <c r="E1464" s="34" t="s">
        <v>361</v>
      </c>
      <c r="F1464" s="34" t="s">
        <v>575</v>
      </c>
      <c r="G1464" s="34" t="s">
        <v>307</v>
      </c>
      <c r="H1464" s="34" t="s">
        <v>26</v>
      </c>
      <c r="I1464" s="34" t="s">
        <v>19</v>
      </c>
      <c r="J1464" s="34" t="s">
        <v>27</v>
      </c>
      <c r="K1464" s="34" t="s">
        <v>48</v>
      </c>
      <c r="L1464" s="34" t="s">
        <v>47</v>
      </c>
      <c r="M1464">
        <v>-5.9000000000000025E-2</v>
      </c>
    </row>
    <row r="1465" spans="1:13" x14ac:dyDescent="0.3">
      <c r="A1465" s="34" t="s">
        <v>662</v>
      </c>
      <c r="B1465">
        <v>-1</v>
      </c>
      <c r="C1465">
        <v>2050</v>
      </c>
      <c r="D1465" s="34" t="s">
        <v>360</v>
      </c>
      <c r="E1465" s="34" t="s">
        <v>361</v>
      </c>
      <c r="F1465" s="34" t="s">
        <v>575</v>
      </c>
      <c r="G1465" s="34" t="s">
        <v>253</v>
      </c>
      <c r="H1465" s="34" t="s">
        <v>254</v>
      </c>
      <c r="I1465" s="34" t="s">
        <v>19</v>
      </c>
      <c r="J1465" s="34" t="s">
        <v>27</v>
      </c>
      <c r="K1465" s="34" t="s">
        <v>46</v>
      </c>
      <c r="L1465" s="34" t="s">
        <v>47</v>
      </c>
      <c r="M1465">
        <v>1.8989</v>
      </c>
    </row>
    <row r="1466" spans="1:13" x14ac:dyDescent="0.3">
      <c r="A1466" s="34" t="s">
        <v>662</v>
      </c>
      <c r="B1466">
        <v>-1</v>
      </c>
      <c r="C1466">
        <v>2050</v>
      </c>
      <c r="D1466" s="34" t="s">
        <v>360</v>
      </c>
      <c r="E1466" s="34" t="s">
        <v>361</v>
      </c>
      <c r="F1466" s="34" t="s">
        <v>575</v>
      </c>
      <c r="G1466" s="34" t="s">
        <v>253</v>
      </c>
      <c r="H1466" s="34" t="s">
        <v>254</v>
      </c>
      <c r="I1466" s="34" t="s">
        <v>19</v>
      </c>
      <c r="J1466" s="34" t="s">
        <v>27</v>
      </c>
      <c r="K1466" s="34" t="s">
        <v>48</v>
      </c>
      <c r="L1466" s="34" t="s">
        <v>47</v>
      </c>
      <c r="M1466">
        <v>-1.7253165712291296</v>
      </c>
    </row>
    <row r="1467" spans="1:13" x14ac:dyDescent="0.3">
      <c r="A1467" s="34" t="s">
        <v>662</v>
      </c>
      <c r="B1467">
        <v>-1</v>
      </c>
      <c r="C1467">
        <v>2050</v>
      </c>
      <c r="D1467" s="34" t="s">
        <v>360</v>
      </c>
      <c r="E1467" s="34" t="s">
        <v>361</v>
      </c>
      <c r="F1467" s="34" t="s">
        <v>575</v>
      </c>
      <c r="G1467" s="34" t="s">
        <v>52</v>
      </c>
      <c r="H1467" s="34" t="s">
        <v>53</v>
      </c>
      <c r="I1467" s="34" t="s">
        <v>19</v>
      </c>
      <c r="J1467" s="34" t="s">
        <v>27</v>
      </c>
      <c r="K1467" s="34" t="s">
        <v>46</v>
      </c>
      <c r="L1467" s="34" t="s">
        <v>47</v>
      </c>
      <c r="M1467">
        <v>0.24099999999999999</v>
      </c>
    </row>
    <row r="1468" spans="1:13" x14ac:dyDescent="0.3">
      <c r="A1468" s="34" t="s">
        <v>662</v>
      </c>
      <c r="B1468">
        <v>-1</v>
      </c>
      <c r="C1468">
        <v>2050</v>
      </c>
      <c r="D1468" s="34" t="s">
        <v>360</v>
      </c>
      <c r="E1468" s="34" t="s">
        <v>361</v>
      </c>
      <c r="F1468" s="34" t="s">
        <v>575</v>
      </c>
      <c r="G1468" s="34" t="s">
        <v>52</v>
      </c>
      <c r="H1468" s="34" t="s">
        <v>53</v>
      </c>
      <c r="I1468" s="34" t="s">
        <v>19</v>
      </c>
      <c r="J1468" s="34" t="s">
        <v>27</v>
      </c>
      <c r="K1468" s="34" t="s">
        <v>48</v>
      </c>
      <c r="L1468" s="34" t="s">
        <v>47</v>
      </c>
      <c r="M1468">
        <v>-0.24100000000000013</v>
      </c>
    </row>
    <row r="1469" spans="1:13" x14ac:dyDescent="0.3">
      <c r="A1469" s="34" t="s">
        <v>662</v>
      </c>
      <c r="B1469">
        <v>-1</v>
      </c>
      <c r="C1469">
        <v>2050</v>
      </c>
      <c r="D1469" s="34" t="s">
        <v>360</v>
      </c>
      <c r="E1469" s="34" t="s">
        <v>361</v>
      </c>
      <c r="F1469" s="34" t="s">
        <v>627</v>
      </c>
      <c r="G1469" s="34" t="s">
        <v>28</v>
      </c>
      <c r="H1469" s="34" t="s">
        <v>23</v>
      </c>
      <c r="I1469" s="34" t="s">
        <v>19</v>
      </c>
      <c r="J1469" s="34" t="s">
        <v>24</v>
      </c>
      <c r="K1469" s="34" t="s">
        <v>46</v>
      </c>
      <c r="L1469" s="34" t="s">
        <v>47</v>
      </c>
      <c r="M1469">
        <v>1.407</v>
      </c>
    </row>
    <row r="1470" spans="1:13" x14ac:dyDescent="0.3">
      <c r="A1470" s="34" t="s">
        <v>662</v>
      </c>
      <c r="B1470">
        <v>-1</v>
      </c>
      <c r="C1470">
        <v>2050</v>
      </c>
      <c r="D1470" s="34" t="s">
        <v>360</v>
      </c>
      <c r="E1470" s="34" t="s">
        <v>361</v>
      </c>
      <c r="F1470" s="34" t="s">
        <v>627</v>
      </c>
      <c r="G1470" s="34" t="s">
        <v>28</v>
      </c>
      <c r="H1470" s="34" t="s">
        <v>23</v>
      </c>
      <c r="I1470" s="34" t="s">
        <v>19</v>
      </c>
      <c r="J1470" s="34" t="s">
        <v>24</v>
      </c>
      <c r="K1470" s="34" t="s">
        <v>48</v>
      </c>
      <c r="L1470" s="34" t="s">
        <v>47</v>
      </c>
      <c r="M1470">
        <v>-1.4069999999999998</v>
      </c>
    </row>
    <row r="1471" spans="1:13" x14ac:dyDescent="0.3">
      <c r="A1471" s="34" t="s">
        <v>662</v>
      </c>
      <c r="B1471">
        <v>-1</v>
      </c>
      <c r="C1471">
        <v>2050</v>
      </c>
      <c r="D1471" s="34" t="s">
        <v>360</v>
      </c>
      <c r="E1471" s="34" t="s">
        <v>361</v>
      </c>
      <c r="F1471" s="34" t="s">
        <v>627</v>
      </c>
      <c r="G1471" s="34" t="s">
        <v>29</v>
      </c>
      <c r="H1471" s="34" t="s">
        <v>21</v>
      </c>
      <c r="I1471" s="34" t="s">
        <v>19</v>
      </c>
      <c r="J1471" s="34" t="s">
        <v>22</v>
      </c>
      <c r="K1471" s="34" t="s">
        <v>46</v>
      </c>
      <c r="L1471" s="34" t="s">
        <v>47</v>
      </c>
      <c r="M1471">
        <v>9.6900000000000014E-2</v>
      </c>
    </row>
    <row r="1472" spans="1:13" x14ac:dyDescent="0.3">
      <c r="A1472" s="34" t="s">
        <v>662</v>
      </c>
      <c r="B1472">
        <v>-1</v>
      </c>
      <c r="C1472">
        <v>2050</v>
      </c>
      <c r="D1472" s="34" t="s">
        <v>360</v>
      </c>
      <c r="E1472" s="34" t="s">
        <v>361</v>
      </c>
      <c r="F1472" s="34" t="s">
        <v>627</v>
      </c>
      <c r="G1472" s="34" t="s">
        <v>29</v>
      </c>
      <c r="H1472" s="34" t="s">
        <v>21</v>
      </c>
      <c r="I1472" s="34" t="s">
        <v>19</v>
      </c>
      <c r="J1472" s="34" t="s">
        <v>22</v>
      </c>
      <c r="K1472" s="34" t="s">
        <v>48</v>
      </c>
      <c r="L1472" s="34" t="s">
        <v>47</v>
      </c>
      <c r="M1472">
        <v>-9.69E-2</v>
      </c>
    </row>
    <row r="1473" spans="1:13" x14ac:dyDescent="0.3">
      <c r="A1473" s="34" t="s">
        <v>662</v>
      </c>
      <c r="B1473">
        <v>-1</v>
      </c>
      <c r="C1473">
        <v>2050</v>
      </c>
      <c r="D1473" s="34" t="s">
        <v>360</v>
      </c>
      <c r="E1473" s="34" t="s">
        <v>361</v>
      </c>
      <c r="F1473" s="34" t="s">
        <v>627</v>
      </c>
      <c r="G1473" s="34" t="s">
        <v>20</v>
      </c>
      <c r="H1473" s="34" t="s">
        <v>21</v>
      </c>
      <c r="I1473" s="34" t="s">
        <v>19</v>
      </c>
      <c r="J1473" s="34" t="s">
        <v>22</v>
      </c>
      <c r="K1473" s="34" t="s">
        <v>46</v>
      </c>
      <c r="L1473" s="34" t="s">
        <v>47</v>
      </c>
      <c r="M1473">
        <v>0.20995</v>
      </c>
    </row>
    <row r="1474" spans="1:13" x14ac:dyDescent="0.3">
      <c r="A1474" s="34" t="s">
        <v>662</v>
      </c>
      <c r="B1474">
        <v>-1</v>
      </c>
      <c r="C1474">
        <v>2050</v>
      </c>
      <c r="D1474" s="34" t="s">
        <v>360</v>
      </c>
      <c r="E1474" s="34" t="s">
        <v>361</v>
      </c>
      <c r="F1474" s="34" t="s">
        <v>627</v>
      </c>
      <c r="G1474" s="34" t="s">
        <v>20</v>
      </c>
      <c r="H1474" s="34" t="s">
        <v>21</v>
      </c>
      <c r="I1474" s="34" t="s">
        <v>19</v>
      </c>
      <c r="J1474" s="34" t="s">
        <v>22</v>
      </c>
      <c r="K1474" s="34" t="s">
        <v>48</v>
      </c>
      <c r="L1474" s="34" t="s">
        <v>47</v>
      </c>
      <c r="M1474">
        <v>-0.20995000000000003</v>
      </c>
    </row>
    <row r="1475" spans="1:13" x14ac:dyDescent="0.3">
      <c r="A1475" s="34" t="s">
        <v>662</v>
      </c>
      <c r="B1475">
        <v>-1</v>
      </c>
      <c r="C1475">
        <v>2050</v>
      </c>
      <c r="D1475" s="34" t="s">
        <v>360</v>
      </c>
      <c r="E1475" s="34" t="s">
        <v>361</v>
      </c>
      <c r="F1475" s="34" t="s">
        <v>627</v>
      </c>
      <c r="G1475" s="34" t="s">
        <v>30</v>
      </c>
      <c r="H1475" s="34" t="s">
        <v>21</v>
      </c>
      <c r="I1475" s="34" t="s">
        <v>19</v>
      </c>
      <c r="J1475" s="34" t="s">
        <v>22</v>
      </c>
      <c r="K1475" s="34" t="s">
        <v>46</v>
      </c>
      <c r="L1475" s="34" t="s">
        <v>47</v>
      </c>
      <c r="M1475">
        <v>1.6149999999999998E-2</v>
      </c>
    </row>
    <row r="1476" spans="1:13" x14ac:dyDescent="0.3">
      <c r="A1476" s="34" t="s">
        <v>662</v>
      </c>
      <c r="B1476">
        <v>-1</v>
      </c>
      <c r="C1476">
        <v>2050</v>
      </c>
      <c r="D1476" s="34" t="s">
        <v>360</v>
      </c>
      <c r="E1476" s="34" t="s">
        <v>361</v>
      </c>
      <c r="F1476" s="34" t="s">
        <v>627</v>
      </c>
      <c r="G1476" s="34" t="s">
        <v>30</v>
      </c>
      <c r="H1476" s="34" t="s">
        <v>21</v>
      </c>
      <c r="I1476" s="34" t="s">
        <v>19</v>
      </c>
      <c r="J1476" s="34" t="s">
        <v>22</v>
      </c>
      <c r="K1476" s="34" t="s">
        <v>48</v>
      </c>
      <c r="L1476" s="34" t="s">
        <v>47</v>
      </c>
      <c r="M1476">
        <v>-1.6149999999999998E-2</v>
      </c>
    </row>
    <row r="1477" spans="1:13" x14ac:dyDescent="0.3">
      <c r="A1477" s="34" t="s">
        <v>662</v>
      </c>
      <c r="B1477">
        <v>-1</v>
      </c>
      <c r="C1477">
        <v>2050</v>
      </c>
      <c r="D1477" s="34" t="s">
        <v>360</v>
      </c>
      <c r="E1477" s="34" t="s">
        <v>361</v>
      </c>
      <c r="F1477" s="34" t="s">
        <v>627</v>
      </c>
      <c r="G1477" s="34" t="s">
        <v>644</v>
      </c>
      <c r="H1477" s="34" t="s">
        <v>21</v>
      </c>
      <c r="I1477" s="34" t="s">
        <v>19</v>
      </c>
      <c r="J1477" s="34" t="s">
        <v>22</v>
      </c>
      <c r="K1477" s="34" t="s">
        <v>49</v>
      </c>
      <c r="L1477" s="34" t="s">
        <v>47</v>
      </c>
      <c r="M1477">
        <v>0.6</v>
      </c>
    </row>
    <row r="1478" spans="1:13" x14ac:dyDescent="0.3">
      <c r="A1478" s="34" t="s">
        <v>662</v>
      </c>
      <c r="B1478">
        <v>-1</v>
      </c>
      <c r="C1478">
        <v>2050</v>
      </c>
      <c r="D1478" s="34" t="s">
        <v>362</v>
      </c>
      <c r="E1478" s="34" t="s">
        <v>363</v>
      </c>
      <c r="F1478" s="34" t="s">
        <v>576</v>
      </c>
      <c r="G1478" s="34" t="s">
        <v>43</v>
      </c>
      <c r="H1478" s="34" t="s">
        <v>40</v>
      </c>
      <c r="I1478" s="34" t="s">
        <v>19</v>
      </c>
      <c r="J1478" s="34" t="s">
        <v>27</v>
      </c>
      <c r="K1478" s="34" t="s">
        <v>46</v>
      </c>
      <c r="L1478" s="34" t="s">
        <v>47</v>
      </c>
      <c r="M1478">
        <v>0.54600000000000004</v>
      </c>
    </row>
    <row r="1479" spans="1:13" x14ac:dyDescent="0.3">
      <c r="A1479" s="34" t="s">
        <v>662</v>
      </c>
      <c r="B1479">
        <v>-1</v>
      </c>
      <c r="C1479">
        <v>2050</v>
      </c>
      <c r="D1479" s="34" t="s">
        <v>362</v>
      </c>
      <c r="E1479" s="34" t="s">
        <v>363</v>
      </c>
      <c r="F1479" s="34" t="s">
        <v>576</v>
      </c>
      <c r="G1479" s="34" t="s">
        <v>43</v>
      </c>
      <c r="H1479" s="34" t="s">
        <v>40</v>
      </c>
      <c r="I1479" s="34" t="s">
        <v>19</v>
      </c>
      <c r="J1479" s="34" t="s">
        <v>27</v>
      </c>
      <c r="K1479" s="34" t="s">
        <v>48</v>
      </c>
      <c r="L1479" s="34" t="s">
        <v>47</v>
      </c>
      <c r="M1479">
        <v>-0.54600000000000004</v>
      </c>
    </row>
    <row r="1480" spans="1:13" x14ac:dyDescent="0.3">
      <c r="A1480" s="34" t="s">
        <v>662</v>
      </c>
      <c r="B1480">
        <v>-1</v>
      </c>
      <c r="C1480">
        <v>2050</v>
      </c>
      <c r="D1480" s="34" t="s">
        <v>362</v>
      </c>
      <c r="E1480" s="34" t="s">
        <v>363</v>
      </c>
      <c r="F1480" s="34" t="s">
        <v>576</v>
      </c>
      <c r="G1480" s="34" t="s">
        <v>180</v>
      </c>
      <c r="H1480" s="34" t="s">
        <v>18</v>
      </c>
      <c r="I1480" s="34" t="s">
        <v>19</v>
      </c>
      <c r="J1480" s="34" t="s">
        <v>181</v>
      </c>
      <c r="K1480" s="34" t="s">
        <v>46</v>
      </c>
      <c r="L1480" s="34" t="s">
        <v>47</v>
      </c>
      <c r="M1480">
        <v>1.111</v>
      </c>
    </row>
    <row r="1481" spans="1:13" x14ac:dyDescent="0.3">
      <c r="A1481" s="34" t="s">
        <v>662</v>
      </c>
      <c r="B1481">
        <v>-1</v>
      </c>
      <c r="C1481">
        <v>2050</v>
      </c>
      <c r="D1481" s="34" t="s">
        <v>362</v>
      </c>
      <c r="E1481" s="34" t="s">
        <v>363</v>
      </c>
      <c r="F1481" s="34" t="s">
        <v>576</v>
      </c>
      <c r="G1481" s="34" t="s">
        <v>54</v>
      </c>
      <c r="H1481" s="34" t="s">
        <v>39</v>
      </c>
      <c r="I1481" s="34" t="s">
        <v>19</v>
      </c>
      <c r="J1481" s="34" t="s">
        <v>27</v>
      </c>
      <c r="K1481" s="34" t="s">
        <v>46</v>
      </c>
      <c r="L1481" s="34" t="s">
        <v>47</v>
      </c>
      <c r="M1481">
        <v>0.96699999999999997</v>
      </c>
    </row>
    <row r="1482" spans="1:13" x14ac:dyDescent="0.3">
      <c r="A1482" s="34" t="s">
        <v>662</v>
      </c>
      <c r="B1482">
        <v>-1</v>
      </c>
      <c r="C1482">
        <v>2050</v>
      </c>
      <c r="D1482" s="34" t="s">
        <v>362</v>
      </c>
      <c r="E1482" s="34" t="s">
        <v>363</v>
      </c>
      <c r="F1482" s="34" t="s">
        <v>576</v>
      </c>
      <c r="G1482" s="34" t="s">
        <v>54</v>
      </c>
      <c r="H1482" s="34" t="s">
        <v>39</v>
      </c>
      <c r="I1482" s="34" t="s">
        <v>19</v>
      </c>
      <c r="J1482" s="34" t="s">
        <v>27</v>
      </c>
      <c r="K1482" s="34" t="s">
        <v>48</v>
      </c>
      <c r="L1482" s="34" t="s">
        <v>47</v>
      </c>
      <c r="M1482">
        <v>-0.96700000000000019</v>
      </c>
    </row>
    <row r="1483" spans="1:13" x14ac:dyDescent="0.3">
      <c r="A1483" s="34" t="s">
        <v>662</v>
      </c>
      <c r="B1483">
        <v>-1</v>
      </c>
      <c r="C1483">
        <v>2050</v>
      </c>
      <c r="D1483" s="34" t="s">
        <v>362</v>
      </c>
      <c r="E1483" s="34" t="s">
        <v>363</v>
      </c>
      <c r="F1483" s="34" t="s">
        <v>576</v>
      </c>
      <c r="G1483" s="34" t="s">
        <v>276</v>
      </c>
      <c r="H1483" s="34" t="s">
        <v>237</v>
      </c>
      <c r="I1483" s="34" t="s">
        <v>19</v>
      </c>
      <c r="J1483" s="34" t="s">
        <v>27</v>
      </c>
      <c r="K1483" s="34" t="s">
        <v>46</v>
      </c>
      <c r="L1483" s="34" t="s">
        <v>47</v>
      </c>
      <c r="M1483">
        <v>5.8000000000000003E-2</v>
      </c>
    </row>
    <row r="1484" spans="1:13" x14ac:dyDescent="0.3">
      <c r="A1484" s="34" t="s">
        <v>662</v>
      </c>
      <c r="B1484">
        <v>-1</v>
      </c>
      <c r="C1484">
        <v>2050</v>
      </c>
      <c r="D1484" s="34" t="s">
        <v>362</v>
      </c>
      <c r="E1484" s="34" t="s">
        <v>363</v>
      </c>
      <c r="F1484" s="34" t="s">
        <v>576</v>
      </c>
      <c r="G1484" s="34" t="s">
        <v>276</v>
      </c>
      <c r="H1484" s="34" t="s">
        <v>237</v>
      </c>
      <c r="I1484" s="34" t="s">
        <v>19</v>
      </c>
      <c r="J1484" s="34" t="s">
        <v>27</v>
      </c>
      <c r="K1484" s="34" t="s">
        <v>48</v>
      </c>
      <c r="L1484" s="34" t="s">
        <v>47</v>
      </c>
      <c r="M1484">
        <v>-5.7999999999999989E-2</v>
      </c>
    </row>
    <row r="1485" spans="1:13" x14ac:dyDescent="0.3">
      <c r="A1485" s="34" t="s">
        <v>662</v>
      </c>
      <c r="B1485">
        <v>-1</v>
      </c>
      <c r="C1485">
        <v>2050</v>
      </c>
      <c r="D1485" s="34" t="s">
        <v>362</v>
      </c>
      <c r="E1485" s="34" t="s">
        <v>363</v>
      </c>
      <c r="F1485" s="34" t="s">
        <v>576</v>
      </c>
      <c r="G1485" s="34" t="s">
        <v>307</v>
      </c>
      <c r="H1485" s="34" t="s">
        <v>26</v>
      </c>
      <c r="I1485" s="34" t="s">
        <v>19</v>
      </c>
      <c r="J1485" s="34" t="s">
        <v>27</v>
      </c>
      <c r="K1485" s="34" t="s">
        <v>46</v>
      </c>
      <c r="L1485" s="34" t="s">
        <v>47</v>
      </c>
      <c r="M1485">
        <v>3.7999999999999999E-2</v>
      </c>
    </row>
    <row r="1486" spans="1:13" x14ac:dyDescent="0.3">
      <c r="A1486" s="34" t="s">
        <v>662</v>
      </c>
      <c r="B1486">
        <v>-1</v>
      </c>
      <c r="C1486">
        <v>2050</v>
      </c>
      <c r="D1486" s="34" t="s">
        <v>362</v>
      </c>
      <c r="E1486" s="34" t="s">
        <v>363</v>
      </c>
      <c r="F1486" s="34" t="s">
        <v>576</v>
      </c>
      <c r="G1486" s="34" t="s">
        <v>307</v>
      </c>
      <c r="H1486" s="34" t="s">
        <v>26</v>
      </c>
      <c r="I1486" s="34" t="s">
        <v>19</v>
      </c>
      <c r="J1486" s="34" t="s">
        <v>27</v>
      </c>
      <c r="K1486" s="34" t="s">
        <v>48</v>
      </c>
      <c r="L1486" s="34" t="s">
        <v>47</v>
      </c>
      <c r="M1486">
        <v>-3.7999999999999992E-2</v>
      </c>
    </row>
    <row r="1487" spans="1:13" x14ac:dyDescent="0.3">
      <c r="A1487" s="34" t="s">
        <v>662</v>
      </c>
      <c r="B1487">
        <v>-1</v>
      </c>
      <c r="C1487">
        <v>2050</v>
      </c>
      <c r="D1487" s="34" t="s">
        <v>362</v>
      </c>
      <c r="E1487" s="34" t="s">
        <v>363</v>
      </c>
      <c r="F1487" s="34" t="s">
        <v>576</v>
      </c>
      <c r="G1487" s="34" t="s">
        <v>253</v>
      </c>
      <c r="H1487" s="34" t="s">
        <v>254</v>
      </c>
      <c r="I1487" s="34" t="s">
        <v>19</v>
      </c>
      <c r="J1487" s="34" t="s">
        <v>27</v>
      </c>
      <c r="K1487" s="34" t="s">
        <v>46</v>
      </c>
      <c r="L1487" s="34" t="s">
        <v>47</v>
      </c>
      <c r="M1487">
        <v>0.69600000000000006</v>
      </c>
    </row>
    <row r="1488" spans="1:13" x14ac:dyDescent="0.3">
      <c r="A1488" s="34" t="s">
        <v>662</v>
      </c>
      <c r="B1488">
        <v>-1</v>
      </c>
      <c r="C1488">
        <v>2050</v>
      </c>
      <c r="D1488" s="34" t="s">
        <v>362</v>
      </c>
      <c r="E1488" s="34" t="s">
        <v>363</v>
      </c>
      <c r="F1488" s="34" t="s">
        <v>576</v>
      </c>
      <c r="G1488" s="34" t="s">
        <v>52</v>
      </c>
      <c r="H1488" s="34" t="s">
        <v>53</v>
      </c>
      <c r="I1488" s="34" t="s">
        <v>19</v>
      </c>
      <c r="J1488" s="34" t="s">
        <v>27</v>
      </c>
      <c r="K1488" s="34" t="s">
        <v>46</v>
      </c>
      <c r="L1488" s="34" t="s">
        <v>47</v>
      </c>
      <c r="M1488">
        <v>2.3E-2</v>
      </c>
    </row>
    <row r="1489" spans="1:13" x14ac:dyDescent="0.3">
      <c r="A1489" s="34" t="s">
        <v>662</v>
      </c>
      <c r="B1489">
        <v>-1</v>
      </c>
      <c r="C1489">
        <v>2050</v>
      </c>
      <c r="D1489" s="34" t="s">
        <v>362</v>
      </c>
      <c r="E1489" s="34" t="s">
        <v>363</v>
      </c>
      <c r="F1489" s="34" t="s">
        <v>576</v>
      </c>
      <c r="G1489" s="34" t="s">
        <v>52</v>
      </c>
      <c r="H1489" s="34" t="s">
        <v>53</v>
      </c>
      <c r="I1489" s="34" t="s">
        <v>19</v>
      </c>
      <c r="J1489" s="34" t="s">
        <v>27</v>
      </c>
      <c r="K1489" s="34" t="s">
        <v>48</v>
      </c>
      <c r="L1489" s="34" t="s">
        <v>47</v>
      </c>
      <c r="M1489">
        <v>-2.2999999999999993E-2</v>
      </c>
    </row>
    <row r="1490" spans="1:13" x14ac:dyDescent="0.3">
      <c r="A1490" s="34" t="s">
        <v>662</v>
      </c>
      <c r="B1490">
        <v>-1</v>
      </c>
      <c r="C1490">
        <v>2050</v>
      </c>
      <c r="D1490" s="34" t="s">
        <v>362</v>
      </c>
      <c r="E1490" s="34" t="s">
        <v>363</v>
      </c>
      <c r="F1490" s="34" t="s">
        <v>628</v>
      </c>
      <c r="G1490" s="34" t="s">
        <v>28</v>
      </c>
      <c r="H1490" s="34" t="s">
        <v>23</v>
      </c>
      <c r="I1490" s="34" t="s">
        <v>19</v>
      </c>
      <c r="J1490" s="34" t="s">
        <v>24</v>
      </c>
      <c r="K1490" s="34" t="s">
        <v>46</v>
      </c>
      <c r="L1490" s="34" t="s">
        <v>47</v>
      </c>
      <c r="M1490">
        <v>0.27800000000000002</v>
      </c>
    </row>
    <row r="1491" spans="1:13" x14ac:dyDescent="0.3">
      <c r="A1491" s="34" t="s">
        <v>662</v>
      </c>
      <c r="B1491">
        <v>-1</v>
      </c>
      <c r="C1491">
        <v>2050</v>
      </c>
      <c r="D1491" s="34" t="s">
        <v>362</v>
      </c>
      <c r="E1491" s="34" t="s">
        <v>363</v>
      </c>
      <c r="F1491" s="34" t="s">
        <v>628</v>
      </c>
      <c r="G1491" s="34" t="s">
        <v>28</v>
      </c>
      <c r="H1491" s="34" t="s">
        <v>23</v>
      </c>
      <c r="I1491" s="34" t="s">
        <v>19</v>
      </c>
      <c r="J1491" s="34" t="s">
        <v>24</v>
      </c>
      <c r="K1491" s="34" t="s">
        <v>48</v>
      </c>
      <c r="L1491" s="34" t="s">
        <v>47</v>
      </c>
      <c r="M1491">
        <v>-0.27800000000000002</v>
      </c>
    </row>
    <row r="1492" spans="1:13" x14ac:dyDescent="0.3">
      <c r="A1492" s="34" t="s">
        <v>662</v>
      </c>
      <c r="B1492">
        <v>-1</v>
      </c>
      <c r="C1492">
        <v>2050</v>
      </c>
      <c r="D1492" s="34" t="s">
        <v>362</v>
      </c>
      <c r="E1492" s="34" t="s">
        <v>363</v>
      </c>
      <c r="F1492" s="34" t="s">
        <v>628</v>
      </c>
      <c r="G1492" s="34" t="s">
        <v>29</v>
      </c>
      <c r="H1492" s="34" t="s">
        <v>21</v>
      </c>
      <c r="I1492" s="34" t="s">
        <v>19</v>
      </c>
      <c r="J1492" s="34" t="s">
        <v>22</v>
      </c>
      <c r="K1492" s="34" t="s">
        <v>46</v>
      </c>
      <c r="L1492" s="34" t="s">
        <v>47</v>
      </c>
      <c r="M1492">
        <v>9.0000000000000008E-4</v>
      </c>
    </row>
    <row r="1493" spans="1:13" x14ac:dyDescent="0.3">
      <c r="A1493" s="34" t="s">
        <v>662</v>
      </c>
      <c r="B1493">
        <v>-1</v>
      </c>
      <c r="C1493">
        <v>2050</v>
      </c>
      <c r="D1493" s="34" t="s">
        <v>362</v>
      </c>
      <c r="E1493" s="34" t="s">
        <v>363</v>
      </c>
      <c r="F1493" s="34" t="s">
        <v>628</v>
      </c>
      <c r="G1493" s="34" t="s">
        <v>29</v>
      </c>
      <c r="H1493" s="34" t="s">
        <v>21</v>
      </c>
      <c r="I1493" s="34" t="s">
        <v>19</v>
      </c>
      <c r="J1493" s="34" t="s">
        <v>22</v>
      </c>
      <c r="K1493" s="34" t="s">
        <v>48</v>
      </c>
      <c r="L1493" s="34" t="s">
        <v>47</v>
      </c>
      <c r="M1493">
        <v>-8.9999999999999998E-4</v>
      </c>
    </row>
    <row r="1494" spans="1:13" x14ac:dyDescent="0.3">
      <c r="A1494" s="34" t="s">
        <v>662</v>
      </c>
      <c r="B1494">
        <v>-1</v>
      </c>
      <c r="C1494">
        <v>2050</v>
      </c>
      <c r="D1494" s="34" t="s">
        <v>362</v>
      </c>
      <c r="E1494" s="34" t="s">
        <v>363</v>
      </c>
      <c r="F1494" s="34" t="s">
        <v>628</v>
      </c>
      <c r="G1494" s="34" t="s">
        <v>20</v>
      </c>
      <c r="H1494" s="34" t="s">
        <v>21</v>
      </c>
      <c r="I1494" s="34" t="s">
        <v>19</v>
      </c>
      <c r="J1494" s="34" t="s">
        <v>22</v>
      </c>
      <c r="K1494" s="34" t="s">
        <v>46</v>
      </c>
      <c r="L1494" s="34" t="s">
        <v>47</v>
      </c>
      <c r="M1494">
        <v>1.9499999999999999E-3</v>
      </c>
    </row>
    <row r="1495" spans="1:13" x14ac:dyDescent="0.3">
      <c r="A1495" s="34" t="s">
        <v>662</v>
      </c>
      <c r="B1495">
        <v>-1</v>
      </c>
      <c r="C1495">
        <v>2050</v>
      </c>
      <c r="D1495" s="34" t="s">
        <v>362</v>
      </c>
      <c r="E1495" s="34" t="s">
        <v>363</v>
      </c>
      <c r="F1495" s="34" t="s">
        <v>628</v>
      </c>
      <c r="G1495" s="34" t="s">
        <v>20</v>
      </c>
      <c r="H1495" s="34" t="s">
        <v>21</v>
      </c>
      <c r="I1495" s="34" t="s">
        <v>19</v>
      </c>
      <c r="J1495" s="34" t="s">
        <v>22</v>
      </c>
      <c r="K1495" s="34" t="s">
        <v>48</v>
      </c>
      <c r="L1495" s="34" t="s">
        <v>47</v>
      </c>
      <c r="M1495">
        <v>-1.9500000000000001E-3</v>
      </c>
    </row>
    <row r="1496" spans="1:13" x14ac:dyDescent="0.3">
      <c r="A1496" s="34" t="s">
        <v>662</v>
      </c>
      <c r="B1496">
        <v>-1</v>
      </c>
      <c r="C1496">
        <v>2050</v>
      </c>
      <c r="D1496" s="34" t="s">
        <v>362</v>
      </c>
      <c r="E1496" s="34" t="s">
        <v>363</v>
      </c>
      <c r="F1496" s="34" t="s">
        <v>628</v>
      </c>
      <c r="G1496" s="34" t="s">
        <v>30</v>
      </c>
      <c r="H1496" s="34" t="s">
        <v>21</v>
      </c>
      <c r="I1496" s="34" t="s">
        <v>19</v>
      </c>
      <c r="J1496" s="34" t="s">
        <v>22</v>
      </c>
      <c r="K1496" s="34" t="s">
        <v>46</v>
      </c>
      <c r="L1496" s="34" t="s">
        <v>47</v>
      </c>
      <c r="M1496">
        <v>1.4999999999999999E-4</v>
      </c>
    </row>
    <row r="1497" spans="1:13" x14ac:dyDescent="0.3">
      <c r="A1497" s="34" t="s">
        <v>662</v>
      </c>
      <c r="B1497">
        <v>-1</v>
      </c>
      <c r="C1497">
        <v>2050</v>
      </c>
      <c r="D1497" s="34" t="s">
        <v>362</v>
      </c>
      <c r="E1497" s="34" t="s">
        <v>363</v>
      </c>
      <c r="F1497" s="34" t="s">
        <v>628</v>
      </c>
      <c r="G1497" s="34" t="s">
        <v>30</v>
      </c>
      <c r="H1497" s="34" t="s">
        <v>21</v>
      </c>
      <c r="I1497" s="34" t="s">
        <v>19</v>
      </c>
      <c r="J1497" s="34" t="s">
        <v>22</v>
      </c>
      <c r="K1497" s="34" t="s">
        <v>48</v>
      </c>
      <c r="L1497" s="34" t="s">
        <v>47</v>
      </c>
      <c r="M1497">
        <v>-1.5000000000000001E-4</v>
      </c>
    </row>
    <row r="1498" spans="1:13" x14ac:dyDescent="0.3">
      <c r="A1498" s="34" t="s">
        <v>662</v>
      </c>
      <c r="B1498">
        <v>-1</v>
      </c>
      <c r="C1498">
        <v>2050</v>
      </c>
      <c r="D1498" s="34" t="s">
        <v>362</v>
      </c>
      <c r="E1498" s="34" t="s">
        <v>363</v>
      </c>
      <c r="F1498" s="34" t="s">
        <v>628</v>
      </c>
      <c r="G1498" s="34" t="s">
        <v>645</v>
      </c>
      <c r="H1498" s="34" t="s">
        <v>23</v>
      </c>
      <c r="I1498" s="34" t="s">
        <v>19</v>
      </c>
      <c r="J1498" s="34" t="s">
        <v>24</v>
      </c>
      <c r="K1498" s="34" t="s">
        <v>49</v>
      </c>
      <c r="L1498" s="34" t="s">
        <v>47</v>
      </c>
      <c r="M1498">
        <v>7.1033114739112291</v>
      </c>
    </row>
    <row r="1499" spans="1:13" x14ac:dyDescent="0.3">
      <c r="A1499" s="34" t="s">
        <v>662</v>
      </c>
      <c r="B1499">
        <v>-1</v>
      </c>
      <c r="C1499">
        <v>2050</v>
      </c>
      <c r="D1499" s="34" t="s">
        <v>364</v>
      </c>
      <c r="E1499" s="34" t="s">
        <v>365</v>
      </c>
      <c r="F1499" s="34" t="s">
        <v>577</v>
      </c>
      <c r="G1499" s="34" t="s">
        <v>43</v>
      </c>
      <c r="H1499" s="34" t="s">
        <v>40</v>
      </c>
      <c r="I1499" s="34" t="s">
        <v>19</v>
      </c>
      <c r="J1499" s="34" t="s">
        <v>27</v>
      </c>
      <c r="K1499" s="34" t="s">
        <v>46</v>
      </c>
      <c r="L1499" s="34" t="s">
        <v>47</v>
      </c>
      <c r="M1499">
        <v>0.74299999999999999</v>
      </c>
    </row>
    <row r="1500" spans="1:13" x14ac:dyDescent="0.3">
      <c r="A1500" s="34" t="s">
        <v>662</v>
      </c>
      <c r="B1500">
        <v>-1</v>
      </c>
      <c r="C1500">
        <v>2050</v>
      </c>
      <c r="D1500" s="34" t="s">
        <v>364</v>
      </c>
      <c r="E1500" s="34" t="s">
        <v>365</v>
      </c>
      <c r="F1500" s="34" t="s">
        <v>577</v>
      </c>
      <c r="G1500" s="34" t="s">
        <v>43</v>
      </c>
      <c r="H1500" s="34" t="s">
        <v>40</v>
      </c>
      <c r="I1500" s="34" t="s">
        <v>19</v>
      </c>
      <c r="J1500" s="34" t="s">
        <v>27</v>
      </c>
      <c r="K1500" s="34" t="s">
        <v>48</v>
      </c>
      <c r="L1500" s="34" t="s">
        <v>47</v>
      </c>
      <c r="M1500">
        <v>-0.74299999999999988</v>
      </c>
    </row>
    <row r="1501" spans="1:13" x14ac:dyDescent="0.3">
      <c r="A1501" s="34" t="s">
        <v>662</v>
      </c>
      <c r="B1501">
        <v>-1</v>
      </c>
      <c r="C1501">
        <v>2050</v>
      </c>
      <c r="D1501" s="34" t="s">
        <v>364</v>
      </c>
      <c r="E1501" s="34" t="s">
        <v>365</v>
      </c>
      <c r="F1501" s="34" t="s">
        <v>577</v>
      </c>
      <c r="G1501" s="34" t="s">
        <v>319</v>
      </c>
      <c r="H1501" s="34" t="s">
        <v>12</v>
      </c>
      <c r="I1501" s="34" t="s">
        <v>19</v>
      </c>
      <c r="J1501" s="34" t="s">
        <v>258</v>
      </c>
      <c r="K1501" s="34" t="s">
        <v>46</v>
      </c>
      <c r="L1501" s="34" t="s">
        <v>47</v>
      </c>
      <c r="M1501">
        <v>2.9893617021276596E-2</v>
      </c>
    </row>
    <row r="1502" spans="1:13" x14ac:dyDescent="0.3">
      <c r="A1502" s="34" t="s">
        <v>662</v>
      </c>
      <c r="B1502">
        <v>-1</v>
      </c>
      <c r="C1502">
        <v>2050</v>
      </c>
      <c r="D1502" s="34" t="s">
        <v>364</v>
      </c>
      <c r="E1502" s="34" t="s">
        <v>365</v>
      </c>
      <c r="F1502" s="34" t="s">
        <v>577</v>
      </c>
      <c r="G1502" s="34" t="s">
        <v>44</v>
      </c>
      <c r="H1502" s="34" t="s">
        <v>45</v>
      </c>
      <c r="I1502" s="34" t="s">
        <v>19</v>
      </c>
      <c r="J1502" s="34" t="s">
        <v>27</v>
      </c>
      <c r="K1502" s="34" t="s">
        <v>46</v>
      </c>
      <c r="L1502" s="34" t="s">
        <v>47</v>
      </c>
      <c r="M1502">
        <v>0.01</v>
      </c>
    </row>
    <row r="1503" spans="1:13" x14ac:dyDescent="0.3">
      <c r="A1503" s="34" t="s">
        <v>662</v>
      </c>
      <c r="B1503">
        <v>-1</v>
      </c>
      <c r="C1503">
        <v>2050</v>
      </c>
      <c r="D1503" s="34" t="s">
        <v>364</v>
      </c>
      <c r="E1503" s="34" t="s">
        <v>365</v>
      </c>
      <c r="F1503" s="34" t="s">
        <v>577</v>
      </c>
      <c r="G1503" s="34" t="s">
        <v>44</v>
      </c>
      <c r="H1503" s="34" t="s">
        <v>45</v>
      </c>
      <c r="I1503" s="34" t="s">
        <v>19</v>
      </c>
      <c r="J1503" s="34" t="s">
        <v>27</v>
      </c>
      <c r="K1503" s="34" t="s">
        <v>48</v>
      </c>
      <c r="L1503" s="34" t="s">
        <v>47</v>
      </c>
      <c r="M1503">
        <v>-0.01</v>
      </c>
    </row>
    <row r="1504" spans="1:13" x14ac:dyDescent="0.3">
      <c r="A1504" s="34" t="s">
        <v>662</v>
      </c>
      <c r="B1504">
        <v>-1</v>
      </c>
      <c r="C1504">
        <v>2050</v>
      </c>
      <c r="D1504" s="34" t="s">
        <v>364</v>
      </c>
      <c r="E1504" s="34" t="s">
        <v>365</v>
      </c>
      <c r="F1504" s="34" t="s">
        <v>577</v>
      </c>
      <c r="G1504" s="34" t="s">
        <v>31</v>
      </c>
      <c r="H1504" s="34" t="s">
        <v>18</v>
      </c>
      <c r="I1504" s="34" t="s">
        <v>19</v>
      </c>
      <c r="J1504" s="34" t="s">
        <v>32</v>
      </c>
      <c r="K1504" s="34" t="s">
        <v>46</v>
      </c>
      <c r="L1504" s="34" t="s">
        <v>47</v>
      </c>
      <c r="M1504">
        <v>1.444</v>
      </c>
    </row>
    <row r="1505" spans="1:13" x14ac:dyDescent="0.3">
      <c r="A1505" s="34" t="s">
        <v>662</v>
      </c>
      <c r="B1505">
        <v>-1</v>
      </c>
      <c r="C1505">
        <v>2050</v>
      </c>
      <c r="D1505" s="34" t="s">
        <v>364</v>
      </c>
      <c r="E1505" s="34" t="s">
        <v>365</v>
      </c>
      <c r="F1505" s="34" t="s">
        <v>577</v>
      </c>
      <c r="G1505" s="34" t="s">
        <v>180</v>
      </c>
      <c r="H1505" s="34" t="s">
        <v>18</v>
      </c>
      <c r="I1505" s="34" t="s">
        <v>19</v>
      </c>
      <c r="J1505" s="34" t="s">
        <v>181</v>
      </c>
      <c r="K1505" s="34" t="s">
        <v>46</v>
      </c>
      <c r="L1505" s="34" t="s">
        <v>47</v>
      </c>
      <c r="M1505">
        <v>0.42099999999999999</v>
      </c>
    </row>
    <row r="1506" spans="1:13" x14ac:dyDescent="0.3">
      <c r="A1506" s="34" t="s">
        <v>662</v>
      </c>
      <c r="B1506">
        <v>-1</v>
      </c>
      <c r="C1506">
        <v>2050</v>
      </c>
      <c r="D1506" s="34" t="s">
        <v>364</v>
      </c>
      <c r="E1506" s="34" t="s">
        <v>365</v>
      </c>
      <c r="F1506" s="34" t="s">
        <v>577</v>
      </c>
      <c r="G1506" s="34" t="s">
        <v>54</v>
      </c>
      <c r="H1506" s="34" t="s">
        <v>39</v>
      </c>
      <c r="I1506" s="34" t="s">
        <v>19</v>
      </c>
      <c r="J1506" s="34" t="s">
        <v>27</v>
      </c>
      <c r="K1506" s="34" t="s">
        <v>46</v>
      </c>
      <c r="L1506" s="34" t="s">
        <v>47</v>
      </c>
      <c r="M1506">
        <v>0.33200000000000002</v>
      </c>
    </row>
    <row r="1507" spans="1:13" x14ac:dyDescent="0.3">
      <c r="A1507" s="34" t="s">
        <v>662</v>
      </c>
      <c r="B1507">
        <v>-1</v>
      </c>
      <c r="C1507">
        <v>2050</v>
      </c>
      <c r="D1507" s="34" t="s">
        <v>364</v>
      </c>
      <c r="E1507" s="34" t="s">
        <v>365</v>
      </c>
      <c r="F1507" s="34" t="s">
        <v>577</v>
      </c>
      <c r="G1507" s="34" t="s">
        <v>54</v>
      </c>
      <c r="H1507" s="34" t="s">
        <v>39</v>
      </c>
      <c r="I1507" s="34" t="s">
        <v>19</v>
      </c>
      <c r="J1507" s="34" t="s">
        <v>27</v>
      </c>
      <c r="K1507" s="34" t="s">
        <v>48</v>
      </c>
      <c r="L1507" s="34" t="s">
        <v>47</v>
      </c>
      <c r="M1507">
        <v>-0.33200000000000013</v>
      </c>
    </row>
    <row r="1508" spans="1:13" x14ac:dyDescent="0.3">
      <c r="A1508" s="34" t="s">
        <v>662</v>
      </c>
      <c r="B1508">
        <v>-1</v>
      </c>
      <c r="C1508">
        <v>2050</v>
      </c>
      <c r="D1508" s="34" t="s">
        <v>364</v>
      </c>
      <c r="E1508" s="34" t="s">
        <v>365</v>
      </c>
      <c r="F1508" s="34" t="s">
        <v>577</v>
      </c>
      <c r="G1508" s="34" t="s">
        <v>276</v>
      </c>
      <c r="H1508" s="34" t="s">
        <v>237</v>
      </c>
      <c r="I1508" s="34" t="s">
        <v>19</v>
      </c>
      <c r="J1508" s="34" t="s">
        <v>27</v>
      </c>
      <c r="K1508" s="34" t="s">
        <v>46</v>
      </c>
      <c r="L1508" s="34" t="s">
        <v>47</v>
      </c>
      <c r="M1508">
        <v>0.93700000000000006</v>
      </c>
    </row>
    <row r="1509" spans="1:13" x14ac:dyDescent="0.3">
      <c r="A1509" s="34" t="s">
        <v>662</v>
      </c>
      <c r="B1509">
        <v>-1</v>
      </c>
      <c r="C1509">
        <v>2050</v>
      </c>
      <c r="D1509" s="34" t="s">
        <v>364</v>
      </c>
      <c r="E1509" s="34" t="s">
        <v>365</v>
      </c>
      <c r="F1509" s="34" t="s">
        <v>577</v>
      </c>
      <c r="G1509" s="34" t="s">
        <v>276</v>
      </c>
      <c r="H1509" s="34" t="s">
        <v>237</v>
      </c>
      <c r="I1509" s="34" t="s">
        <v>19</v>
      </c>
      <c r="J1509" s="34" t="s">
        <v>27</v>
      </c>
      <c r="K1509" s="34" t="s">
        <v>48</v>
      </c>
      <c r="L1509" s="34" t="s">
        <v>47</v>
      </c>
      <c r="M1509">
        <v>-0.93700000000000028</v>
      </c>
    </row>
    <row r="1510" spans="1:13" x14ac:dyDescent="0.3">
      <c r="A1510" s="34" t="s">
        <v>662</v>
      </c>
      <c r="B1510">
        <v>-1</v>
      </c>
      <c r="C1510">
        <v>2050</v>
      </c>
      <c r="D1510" s="34" t="s">
        <v>364</v>
      </c>
      <c r="E1510" s="34" t="s">
        <v>365</v>
      </c>
      <c r="F1510" s="34" t="s">
        <v>577</v>
      </c>
      <c r="G1510" s="34" t="s">
        <v>307</v>
      </c>
      <c r="H1510" s="34" t="s">
        <v>26</v>
      </c>
      <c r="I1510" s="34" t="s">
        <v>19</v>
      </c>
      <c r="J1510" s="34" t="s">
        <v>27</v>
      </c>
      <c r="K1510" s="34" t="s">
        <v>46</v>
      </c>
      <c r="L1510" s="34" t="s">
        <v>47</v>
      </c>
      <c r="M1510">
        <v>6.0000000000000001E-3</v>
      </c>
    </row>
    <row r="1511" spans="1:13" x14ac:dyDescent="0.3">
      <c r="A1511" s="34" t="s">
        <v>662</v>
      </c>
      <c r="B1511">
        <v>-1</v>
      </c>
      <c r="C1511">
        <v>2050</v>
      </c>
      <c r="D1511" s="34" t="s">
        <v>364</v>
      </c>
      <c r="E1511" s="34" t="s">
        <v>365</v>
      </c>
      <c r="F1511" s="34" t="s">
        <v>577</v>
      </c>
      <c r="G1511" s="34" t="s">
        <v>307</v>
      </c>
      <c r="H1511" s="34" t="s">
        <v>26</v>
      </c>
      <c r="I1511" s="34" t="s">
        <v>19</v>
      </c>
      <c r="J1511" s="34" t="s">
        <v>27</v>
      </c>
      <c r="K1511" s="34" t="s">
        <v>48</v>
      </c>
      <c r="L1511" s="34" t="s">
        <v>47</v>
      </c>
      <c r="M1511">
        <v>-5.9999999999999993E-3</v>
      </c>
    </row>
    <row r="1512" spans="1:13" x14ac:dyDescent="0.3">
      <c r="A1512" s="34" t="s">
        <v>662</v>
      </c>
      <c r="B1512">
        <v>-1</v>
      </c>
      <c r="C1512">
        <v>2050</v>
      </c>
      <c r="D1512" s="34" t="s">
        <v>364</v>
      </c>
      <c r="E1512" s="34" t="s">
        <v>365</v>
      </c>
      <c r="F1512" s="34" t="s">
        <v>577</v>
      </c>
      <c r="G1512" s="34" t="s">
        <v>52</v>
      </c>
      <c r="H1512" s="34" t="s">
        <v>53</v>
      </c>
      <c r="I1512" s="34" t="s">
        <v>19</v>
      </c>
      <c r="J1512" s="34" t="s">
        <v>27</v>
      </c>
      <c r="K1512" s="34" t="s">
        <v>46</v>
      </c>
      <c r="L1512" s="34" t="s">
        <v>47</v>
      </c>
      <c r="M1512">
        <v>9.0999999999999998E-2</v>
      </c>
    </row>
    <row r="1513" spans="1:13" x14ac:dyDescent="0.3">
      <c r="A1513" s="34" t="s">
        <v>662</v>
      </c>
      <c r="B1513">
        <v>-1</v>
      </c>
      <c r="C1513">
        <v>2050</v>
      </c>
      <c r="D1513" s="34" t="s">
        <v>364</v>
      </c>
      <c r="E1513" s="34" t="s">
        <v>365</v>
      </c>
      <c r="F1513" s="34" t="s">
        <v>577</v>
      </c>
      <c r="G1513" s="34" t="s">
        <v>52</v>
      </c>
      <c r="H1513" s="34" t="s">
        <v>53</v>
      </c>
      <c r="I1513" s="34" t="s">
        <v>19</v>
      </c>
      <c r="J1513" s="34" t="s">
        <v>27</v>
      </c>
      <c r="K1513" s="34" t="s">
        <v>48</v>
      </c>
      <c r="L1513" s="34" t="s">
        <v>47</v>
      </c>
      <c r="M1513">
        <v>-9.0999999999999998E-2</v>
      </c>
    </row>
    <row r="1514" spans="1:13" x14ac:dyDescent="0.3">
      <c r="A1514" s="34" t="s">
        <v>662</v>
      </c>
      <c r="B1514">
        <v>-1</v>
      </c>
      <c r="C1514">
        <v>2050</v>
      </c>
      <c r="D1514" s="34" t="s">
        <v>364</v>
      </c>
      <c r="E1514" s="34" t="s">
        <v>365</v>
      </c>
      <c r="F1514" s="34" t="s">
        <v>629</v>
      </c>
      <c r="G1514" s="34" t="s">
        <v>28</v>
      </c>
      <c r="H1514" s="34" t="s">
        <v>23</v>
      </c>
      <c r="I1514" s="34" t="s">
        <v>19</v>
      </c>
      <c r="J1514" s="34" t="s">
        <v>24</v>
      </c>
      <c r="K1514" s="34" t="s">
        <v>46</v>
      </c>
      <c r="L1514" s="34" t="s">
        <v>47</v>
      </c>
      <c r="M1514">
        <v>5.2999999999999999E-2</v>
      </c>
    </row>
    <row r="1515" spans="1:13" x14ac:dyDescent="0.3">
      <c r="A1515" s="34" t="s">
        <v>662</v>
      </c>
      <c r="B1515">
        <v>-1</v>
      </c>
      <c r="C1515">
        <v>2050</v>
      </c>
      <c r="D1515" s="34" t="s">
        <v>364</v>
      </c>
      <c r="E1515" s="34" t="s">
        <v>365</v>
      </c>
      <c r="F1515" s="34" t="s">
        <v>629</v>
      </c>
      <c r="G1515" s="34" t="s">
        <v>28</v>
      </c>
      <c r="H1515" s="34" t="s">
        <v>23</v>
      </c>
      <c r="I1515" s="34" t="s">
        <v>19</v>
      </c>
      <c r="J1515" s="34" t="s">
        <v>24</v>
      </c>
      <c r="K1515" s="34" t="s">
        <v>48</v>
      </c>
      <c r="L1515" s="34" t="s">
        <v>47</v>
      </c>
      <c r="M1515">
        <v>-5.2999999999999992E-2</v>
      </c>
    </row>
    <row r="1516" spans="1:13" x14ac:dyDescent="0.3">
      <c r="A1516" s="34" t="s">
        <v>662</v>
      </c>
      <c r="B1516">
        <v>-1</v>
      </c>
      <c r="C1516">
        <v>2050</v>
      </c>
      <c r="D1516" s="34" t="s">
        <v>364</v>
      </c>
      <c r="E1516" s="34" t="s">
        <v>365</v>
      </c>
      <c r="F1516" s="34" t="s">
        <v>629</v>
      </c>
      <c r="G1516" s="34" t="s">
        <v>29</v>
      </c>
      <c r="H1516" s="34" t="s">
        <v>21</v>
      </c>
      <c r="I1516" s="34" t="s">
        <v>19</v>
      </c>
      <c r="J1516" s="34" t="s">
        <v>22</v>
      </c>
      <c r="K1516" s="34" t="s">
        <v>46</v>
      </c>
      <c r="L1516" s="34" t="s">
        <v>47</v>
      </c>
      <c r="M1516">
        <v>0.22169999999999998</v>
      </c>
    </row>
    <row r="1517" spans="1:13" x14ac:dyDescent="0.3">
      <c r="A1517" s="34" t="s">
        <v>662</v>
      </c>
      <c r="B1517">
        <v>-1</v>
      </c>
      <c r="C1517">
        <v>2050</v>
      </c>
      <c r="D1517" s="34" t="s">
        <v>364</v>
      </c>
      <c r="E1517" s="34" t="s">
        <v>365</v>
      </c>
      <c r="F1517" s="34" t="s">
        <v>629</v>
      </c>
      <c r="G1517" s="34" t="s">
        <v>29</v>
      </c>
      <c r="H1517" s="34" t="s">
        <v>21</v>
      </c>
      <c r="I1517" s="34" t="s">
        <v>19</v>
      </c>
      <c r="J1517" s="34" t="s">
        <v>22</v>
      </c>
      <c r="K1517" s="34" t="s">
        <v>48</v>
      </c>
      <c r="L1517" s="34" t="s">
        <v>47</v>
      </c>
      <c r="M1517">
        <v>-0.22170000000000006</v>
      </c>
    </row>
    <row r="1518" spans="1:13" x14ac:dyDescent="0.3">
      <c r="A1518" s="34" t="s">
        <v>662</v>
      </c>
      <c r="B1518">
        <v>-1</v>
      </c>
      <c r="C1518">
        <v>2050</v>
      </c>
      <c r="D1518" s="34" t="s">
        <v>364</v>
      </c>
      <c r="E1518" s="34" t="s">
        <v>365</v>
      </c>
      <c r="F1518" s="34" t="s">
        <v>629</v>
      </c>
      <c r="G1518" s="34" t="s">
        <v>20</v>
      </c>
      <c r="H1518" s="34" t="s">
        <v>21</v>
      </c>
      <c r="I1518" s="34" t="s">
        <v>19</v>
      </c>
      <c r="J1518" s="34" t="s">
        <v>22</v>
      </c>
      <c r="K1518" s="34" t="s">
        <v>46</v>
      </c>
      <c r="L1518" s="34" t="s">
        <v>47</v>
      </c>
      <c r="M1518">
        <v>0.48035000000000005</v>
      </c>
    </row>
    <row r="1519" spans="1:13" x14ac:dyDescent="0.3">
      <c r="A1519" s="34" t="s">
        <v>662</v>
      </c>
      <c r="B1519">
        <v>-1</v>
      </c>
      <c r="C1519">
        <v>2050</v>
      </c>
      <c r="D1519" s="34" t="s">
        <v>364</v>
      </c>
      <c r="E1519" s="34" t="s">
        <v>365</v>
      </c>
      <c r="F1519" s="34" t="s">
        <v>629</v>
      </c>
      <c r="G1519" s="34" t="s">
        <v>20</v>
      </c>
      <c r="H1519" s="34" t="s">
        <v>21</v>
      </c>
      <c r="I1519" s="34" t="s">
        <v>19</v>
      </c>
      <c r="J1519" s="34" t="s">
        <v>22</v>
      </c>
      <c r="K1519" s="34" t="s">
        <v>48</v>
      </c>
      <c r="L1519" s="34" t="s">
        <v>47</v>
      </c>
      <c r="M1519">
        <v>-0.48034999999999994</v>
      </c>
    </row>
    <row r="1520" spans="1:13" x14ac:dyDescent="0.3">
      <c r="A1520" s="34" t="s">
        <v>662</v>
      </c>
      <c r="B1520">
        <v>-1</v>
      </c>
      <c r="C1520">
        <v>2050</v>
      </c>
      <c r="D1520" s="34" t="s">
        <v>364</v>
      </c>
      <c r="E1520" s="34" t="s">
        <v>365</v>
      </c>
      <c r="F1520" s="34" t="s">
        <v>629</v>
      </c>
      <c r="G1520" s="34" t="s">
        <v>30</v>
      </c>
      <c r="H1520" s="34" t="s">
        <v>21</v>
      </c>
      <c r="I1520" s="34" t="s">
        <v>19</v>
      </c>
      <c r="J1520" s="34" t="s">
        <v>22</v>
      </c>
      <c r="K1520" s="34" t="s">
        <v>46</v>
      </c>
      <c r="L1520" s="34" t="s">
        <v>47</v>
      </c>
      <c r="M1520">
        <v>3.6950000000000004E-2</v>
      </c>
    </row>
    <row r="1521" spans="1:13" x14ac:dyDescent="0.3">
      <c r="A1521" s="34" t="s">
        <v>662</v>
      </c>
      <c r="B1521">
        <v>-1</v>
      </c>
      <c r="C1521">
        <v>2050</v>
      </c>
      <c r="D1521" s="34" t="s">
        <v>364</v>
      </c>
      <c r="E1521" s="34" t="s">
        <v>365</v>
      </c>
      <c r="F1521" s="34" t="s">
        <v>629</v>
      </c>
      <c r="G1521" s="34" t="s">
        <v>30</v>
      </c>
      <c r="H1521" s="34" t="s">
        <v>21</v>
      </c>
      <c r="I1521" s="34" t="s">
        <v>19</v>
      </c>
      <c r="J1521" s="34" t="s">
        <v>22</v>
      </c>
      <c r="K1521" s="34" t="s">
        <v>48</v>
      </c>
      <c r="L1521" s="34" t="s">
        <v>47</v>
      </c>
      <c r="M1521">
        <v>-3.6949999999999997E-2</v>
      </c>
    </row>
    <row r="1522" spans="1:13" x14ac:dyDescent="0.3">
      <c r="A1522" s="34" t="s">
        <v>662</v>
      </c>
      <c r="B1522">
        <v>-1</v>
      </c>
      <c r="C1522">
        <v>2050</v>
      </c>
      <c r="D1522" s="34" t="s">
        <v>364</v>
      </c>
      <c r="E1522" s="34" t="s">
        <v>365</v>
      </c>
      <c r="F1522" s="34" t="s">
        <v>629</v>
      </c>
      <c r="G1522" s="34" t="s">
        <v>644</v>
      </c>
      <c r="H1522" s="34" t="s">
        <v>21</v>
      </c>
      <c r="I1522" s="34" t="s">
        <v>19</v>
      </c>
      <c r="J1522" s="34" t="s">
        <v>22</v>
      </c>
      <c r="K1522" s="34" t="s">
        <v>49</v>
      </c>
      <c r="L1522" s="34" t="s">
        <v>47</v>
      </c>
      <c r="M1522">
        <v>6.8999999999999995</v>
      </c>
    </row>
    <row r="1523" spans="1:13" x14ac:dyDescent="0.3">
      <c r="A1523" s="34" t="s">
        <v>662</v>
      </c>
      <c r="B1523">
        <v>-1</v>
      </c>
      <c r="C1523">
        <v>2050</v>
      </c>
      <c r="D1523" s="34" t="s">
        <v>366</v>
      </c>
      <c r="E1523" s="34" t="s">
        <v>367</v>
      </c>
      <c r="F1523" s="34" t="s">
        <v>578</v>
      </c>
      <c r="G1523" s="34" t="s">
        <v>43</v>
      </c>
      <c r="H1523" s="34" t="s">
        <v>40</v>
      </c>
      <c r="I1523" s="34" t="s">
        <v>19</v>
      </c>
      <c r="J1523" s="34" t="s">
        <v>27</v>
      </c>
      <c r="K1523" s="34" t="s">
        <v>46</v>
      </c>
      <c r="L1523" s="34" t="s">
        <v>47</v>
      </c>
      <c r="M1523">
        <v>2.6659999999999999</v>
      </c>
    </row>
    <row r="1524" spans="1:13" x14ac:dyDescent="0.3">
      <c r="A1524" s="34" t="s">
        <v>662</v>
      </c>
      <c r="B1524">
        <v>-1</v>
      </c>
      <c r="C1524">
        <v>2050</v>
      </c>
      <c r="D1524" s="34" t="s">
        <v>366</v>
      </c>
      <c r="E1524" s="34" t="s">
        <v>367</v>
      </c>
      <c r="F1524" s="34" t="s">
        <v>578</v>
      </c>
      <c r="G1524" s="34" t="s">
        <v>43</v>
      </c>
      <c r="H1524" s="34" t="s">
        <v>40</v>
      </c>
      <c r="I1524" s="34" t="s">
        <v>19</v>
      </c>
      <c r="J1524" s="34" t="s">
        <v>27</v>
      </c>
      <c r="K1524" s="34" t="s">
        <v>48</v>
      </c>
      <c r="L1524" s="34" t="s">
        <v>47</v>
      </c>
      <c r="M1524">
        <v>-2.6660000000000008</v>
      </c>
    </row>
    <row r="1525" spans="1:13" x14ac:dyDescent="0.3">
      <c r="A1525" s="34" t="s">
        <v>662</v>
      </c>
      <c r="B1525">
        <v>-1</v>
      </c>
      <c r="C1525">
        <v>2050</v>
      </c>
      <c r="D1525" s="34" t="s">
        <v>366</v>
      </c>
      <c r="E1525" s="34" t="s">
        <v>367</v>
      </c>
      <c r="F1525" s="34" t="s">
        <v>578</v>
      </c>
      <c r="G1525" s="34" t="s">
        <v>31</v>
      </c>
      <c r="H1525" s="34" t="s">
        <v>18</v>
      </c>
      <c r="I1525" s="34" t="s">
        <v>19</v>
      </c>
      <c r="J1525" s="34" t="s">
        <v>32</v>
      </c>
      <c r="K1525" s="34" t="s">
        <v>46</v>
      </c>
      <c r="L1525" s="34" t="s">
        <v>47</v>
      </c>
      <c r="M1525">
        <v>3.39</v>
      </c>
    </row>
    <row r="1526" spans="1:13" x14ac:dyDescent="0.3">
      <c r="A1526" s="34" t="s">
        <v>662</v>
      </c>
      <c r="B1526">
        <v>-1</v>
      </c>
      <c r="C1526">
        <v>2050</v>
      </c>
      <c r="D1526" s="34" t="s">
        <v>366</v>
      </c>
      <c r="E1526" s="34" t="s">
        <v>367</v>
      </c>
      <c r="F1526" s="34" t="s">
        <v>578</v>
      </c>
      <c r="G1526" s="34" t="s">
        <v>180</v>
      </c>
      <c r="H1526" s="34" t="s">
        <v>18</v>
      </c>
      <c r="I1526" s="34" t="s">
        <v>19</v>
      </c>
      <c r="J1526" s="34" t="s">
        <v>181</v>
      </c>
      <c r="K1526" s="34" t="s">
        <v>46</v>
      </c>
      <c r="L1526" s="34" t="s">
        <v>47</v>
      </c>
      <c r="M1526">
        <v>2.75</v>
      </c>
    </row>
    <row r="1527" spans="1:13" x14ac:dyDescent="0.3">
      <c r="A1527" s="34" t="s">
        <v>662</v>
      </c>
      <c r="B1527">
        <v>-1</v>
      </c>
      <c r="C1527">
        <v>2050</v>
      </c>
      <c r="D1527" s="34" t="s">
        <v>366</v>
      </c>
      <c r="E1527" s="34" t="s">
        <v>367</v>
      </c>
      <c r="F1527" s="34" t="s">
        <v>578</v>
      </c>
      <c r="G1527" s="34" t="s">
        <v>54</v>
      </c>
      <c r="H1527" s="34" t="s">
        <v>39</v>
      </c>
      <c r="I1527" s="34" t="s">
        <v>19</v>
      </c>
      <c r="J1527" s="34" t="s">
        <v>27</v>
      </c>
      <c r="K1527" s="34" t="s">
        <v>46</v>
      </c>
      <c r="L1527" s="34" t="s">
        <v>47</v>
      </c>
      <c r="M1527">
        <v>4.1029999999999998</v>
      </c>
    </row>
    <row r="1528" spans="1:13" x14ac:dyDescent="0.3">
      <c r="A1528" s="34" t="s">
        <v>662</v>
      </c>
      <c r="B1528">
        <v>-1</v>
      </c>
      <c r="C1528">
        <v>2050</v>
      </c>
      <c r="D1528" s="34" t="s">
        <v>366</v>
      </c>
      <c r="E1528" s="34" t="s">
        <v>367</v>
      </c>
      <c r="F1528" s="34" t="s">
        <v>578</v>
      </c>
      <c r="G1528" s="34" t="s">
        <v>54</v>
      </c>
      <c r="H1528" s="34" t="s">
        <v>39</v>
      </c>
      <c r="I1528" s="34" t="s">
        <v>19</v>
      </c>
      <c r="J1528" s="34" t="s">
        <v>27</v>
      </c>
      <c r="K1528" s="34" t="s">
        <v>48</v>
      </c>
      <c r="L1528" s="34" t="s">
        <v>47</v>
      </c>
      <c r="M1528">
        <v>-4.1030000000000006</v>
      </c>
    </row>
    <row r="1529" spans="1:13" x14ac:dyDescent="0.3">
      <c r="A1529" s="34" t="s">
        <v>662</v>
      </c>
      <c r="B1529">
        <v>-1</v>
      </c>
      <c r="C1529">
        <v>2050</v>
      </c>
      <c r="D1529" s="34" t="s">
        <v>366</v>
      </c>
      <c r="E1529" s="34" t="s">
        <v>367</v>
      </c>
      <c r="F1529" s="34" t="s">
        <v>578</v>
      </c>
      <c r="G1529" s="34" t="s">
        <v>253</v>
      </c>
      <c r="H1529" s="34" t="s">
        <v>254</v>
      </c>
      <c r="I1529" s="34" t="s">
        <v>19</v>
      </c>
      <c r="J1529" s="34" t="s">
        <v>27</v>
      </c>
      <c r="K1529" s="34" t="s">
        <v>46</v>
      </c>
      <c r="L1529" s="34" t="s">
        <v>47</v>
      </c>
      <c r="M1529">
        <v>1.3</v>
      </c>
    </row>
    <row r="1530" spans="1:13" x14ac:dyDescent="0.3">
      <c r="A1530" s="34" t="s">
        <v>662</v>
      </c>
      <c r="B1530">
        <v>-1</v>
      </c>
      <c r="C1530">
        <v>2050</v>
      </c>
      <c r="D1530" s="34" t="s">
        <v>366</v>
      </c>
      <c r="E1530" s="34" t="s">
        <v>367</v>
      </c>
      <c r="F1530" s="34" t="s">
        <v>578</v>
      </c>
      <c r="G1530" s="34" t="s">
        <v>253</v>
      </c>
      <c r="H1530" s="34" t="s">
        <v>254</v>
      </c>
      <c r="I1530" s="34" t="s">
        <v>19</v>
      </c>
      <c r="J1530" s="34" t="s">
        <v>27</v>
      </c>
      <c r="K1530" s="34" t="s">
        <v>48</v>
      </c>
      <c r="L1530" s="34" t="s">
        <v>47</v>
      </c>
      <c r="M1530">
        <v>-1.3</v>
      </c>
    </row>
    <row r="1531" spans="1:13" x14ac:dyDescent="0.3">
      <c r="A1531" s="34" t="s">
        <v>662</v>
      </c>
      <c r="B1531">
        <v>-1</v>
      </c>
      <c r="C1531">
        <v>2050</v>
      </c>
      <c r="D1531" s="34" t="s">
        <v>366</v>
      </c>
      <c r="E1531" s="34" t="s">
        <v>367</v>
      </c>
      <c r="F1531" s="34" t="s">
        <v>578</v>
      </c>
      <c r="G1531" s="34" t="s">
        <v>52</v>
      </c>
      <c r="H1531" s="34" t="s">
        <v>53</v>
      </c>
      <c r="I1531" s="34" t="s">
        <v>19</v>
      </c>
      <c r="J1531" s="34" t="s">
        <v>27</v>
      </c>
      <c r="K1531" s="34" t="s">
        <v>46</v>
      </c>
      <c r="L1531" s="34" t="s">
        <v>47</v>
      </c>
      <c r="M1531">
        <v>0.11700000000000001</v>
      </c>
    </row>
    <row r="1532" spans="1:13" x14ac:dyDescent="0.3">
      <c r="A1532" s="34" t="s">
        <v>662</v>
      </c>
      <c r="B1532">
        <v>-1</v>
      </c>
      <c r="C1532">
        <v>2050</v>
      </c>
      <c r="D1532" s="34" t="s">
        <v>366</v>
      </c>
      <c r="E1532" s="34" t="s">
        <v>367</v>
      </c>
      <c r="F1532" s="34" t="s">
        <v>578</v>
      </c>
      <c r="G1532" s="34" t="s">
        <v>52</v>
      </c>
      <c r="H1532" s="34" t="s">
        <v>53</v>
      </c>
      <c r="I1532" s="34" t="s">
        <v>19</v>
      </c>
      <c r="J1532" s="34" t="s">
        <v>27</v>
      </c>
      <c r="K1532" s="34" t="s">
        <v>48</v>
      </c>
      <c r="L1532" s="34" t="s">
        <v>47</v>
      </c>
      <c r="M1532">
        <v>-0.11699999999999997</v>
      </c>
    </row>
    <row r="1533" spans="1:13" x14ac:dyDescent="0.3">
      <c r="A1533" s="34" t="s">
        <v>662</v>
      </c>
      <c r="B1533">
        <v>-1</v>
      </c>
      <c r="C1533">
        <v>2050</v>
      </c>
      <c r="D1533" s="34" t="s">
        <v>366</v>
      </c>
      <c r="E1533" s="34" t="s">
        <v>367</v>
      </c>
      <c r="F1533" s="34" t="s">
        <v>578</v>
      </c>
      <c r="G1533" s="34" t="s">
        <v>16</v>
      </c>
      <c r="H1533" s="34" t="s">
        <v>12</v>
      </c>
      <c r="I1533" s="34" t="s">
        <v>13</v>
      </c>
      <c r="J1533" s="34" t="s">
        <v>14</v>
      </c>
      <c r="K1533" s="34" t="s">
        <v>49</v>
      </c>
      <c r="L1533" s="34" t="s">
        <v>47</v>
      </c>
      <c r="M1533">
        <v>1.6641233992840392</v>
      </c>
    </row>
    <row r="1534" spans="1:13" x14ac:dyDescent="0.3">
      <c r="A1534" s="34" t="s">
        <v>662</v>
      </c>
      <c r="B1534">
        <v>-1</v>
      </c>
      <c r="C1534">
        <v>2050</v>
      </c>
      <c r="D1534" s="34" t="s">
        <v>366</v>
      </c>
      <c r="E1534" s="34" t="s">
        <v>367</v>
      </c>
      <c r="F1534" s="34" t="s">
        <v>578</v>
      </c>
      <c r="G1534" s="34" t="s">
        <v>392</v>
      </c>
      <c r="H1534" s="34" t="s">
        <v>13</v>
      </c>
      <c r="I1534" s="34" t="s">
        <v>13</v>
      </c>
      <c r="J1534" s="34" t="s">
        <v>17</v>
      </c>
      <c r="K1534" s="34" t="s">
        <v>49</v>
      </c>
      <c r="L1534" s="34" t="s">
        <v>47</v>
      </c>
      <c r="M1534">
        <v>3.3431304087385829</v>
      </c>
    </row>
    <row r="1535" spans="1:13" x14ac:dyDescent="0.3">
      <c r="A1535" s="34" t="s">
        <v>662</v>
      </c>
      <c r="B1535">
        <v>-1</v>
      </c>
      <c r="C1535">
        <v>2050</v>
      </c>
      <c r="D1535" s="34" t="s">
        <v>366</v>
      </c>
      <c r="E1535" s="34" t="s">
        <v>367</v>
      </c>
      <c r="F1535" s="34" t="s">
        <v>630</v>
      </c>
      <c r="G1535" s="34" t="s">
        <v>28</v>
      </c>
      <c r="H1535" s="34" t="s">
        <v>23</v>
      </c>
      <c r="I1535" s="34" t="s">
        <v>19</v>
      </c>
      <c r="J1535" s="34" t="s">
        <v>24</v>
      </c>
      <c r="K1535" s="34" t="s">
        <v>46</v>
      </c>
      <c r="L1535" s="34" t="s">
        <v>47</v>
      </c>
      <c r="M1535">
        <v>1.163</v>
      </c>
    </row>
    <row r="1536" spans="1:13" x14ac:dyDescent="0.3">
      <c r="A1536" s="34" t="s">
        <v>662</v>
      </c>
      <c r="B1536">
        <v>-1</v>
      </c>
      <c r="C1536">
        <v>2050</v>
      </c>
      <c r="D1536" s="34" t="s">
        <v>366</v>
      </c>
      <c r="E1536" s="34" t="s">
        <v>367</v>
      </c>
      <c r="F1536" s="34" t="s">
        <v>630</v>
      </c>
      <c r="G1536" s="34" t="s">
        <v>28</v>
      </c>
      <c r="H1536" s="34" t="s">
        <v>23</v>
      </c>
      <c r="I1536" s="34" t="s">
        <v>19</v>
      </c>
      <c r="J1536" s="34" t="s">
        <v>24</v>
      </c>
      <c r="K1536" s="34" t="s">
        <v>48</v>
      </c>
      <c r="L1536" s="34" t="s">
        <v>47</v>
      </c>
      <c r="M1536">
        <v>-1.1629999999999998</v>
      </c>
    </row>
    <row r="1537" spans="1:13" x14ac:dyDescent="0.3">
      <c r="A1537" s="34" t="s">
        <v>662</v>
      </c>
      <c r="B1537">
        <v>-1</v>
      </c>
      <c r="C1537">
        <v>2050</v>
      </c>
      <c r="D1537" s="34" t="s">
        <v>366</v>
      </c>
      <c r="E1537" s="34" t="s">
        <v>367</v>
      </c>
      <c r="F1537" s="34" t="s">
        <v>630</v>
      </c>
      <c r="G1537" s="34" t="s">
        <v>29</v>
      </c>
      <c r="H1537" s="34" t="s">
        <v>21</v>
      </c>
      <c r="I1537" s="34" t="s">
        <v>19</v>
      </c>
      <c r="J1537" s="34" t="s">
        <v>22</v>
      </c>
      <c r="K1537" s="34" t="s">
        <v>46</v>
      </c>
      <c r="L1537" s="34" t="s">
        <v>47</v>
      </c>
      <c r="M1537">
        <v>0.89160000000000006</v>
      </c>
    </row>
    <row r="1538" spans="1:13" x14ac:dyDescent="0.3">
      <c r="A1538" s="34" t="s">
        <v>662</v>
      </c>
      <c r="B1538">
        <v>-1</v>
      </c>
      <c r="C1538">
        <v>2050</v>
      </c>
      <c r="D1538" s="34" t="s">
        <v>366</v>
      </c>
      <c r="E1538" s="34" t="s">
        <v>367</v>
      </c>
      <c r="F1538" s="34" t="s">
        <v>630</v>
      </c>
      <c r="G1538" s="34" t="s">
        <v>29</v>
      </c>
      <c r="H1538" s="34" t="s">
        <v>21</v>
      </c>
      <c r="I1538" s="34" t="s">
        <v>19</v>
      </c>
      <c r="J1538" s="34" t="s">
        <v>22</v>
      </c>
      <c r="K1538" s="34" t="s">
        <v>48</v>
      </c>
      <c r="L1538" s="34" t="s">
        <v>47</v>
      </c>
      <c r="M1538">
        <v>-0.89159999999999995</v>
      </c>
    </row>
    <row r="1539" spans="1:13" x14ac:dyDescent="0.3">
      <c r="A1539" s="34" t="s">
        <v>662</v>
      </c>
      <c r="B1539">
        <v>-1</v>
      </c>
      <c r="C1539">
        <v>2050</v>
      </c>
      <c r="D1539" s="34" t="s">
        <v>366</v>
      </c>
      <c r="E1539" s="34" t="s">
        <v>367</v>
      </c>
      <c r="F1539" s="34" t="s">
        <v>630</v>
      </c>
      <c r="G1539" s="34" t="s">
        <v>20</v>
      </c>
      <c r="H1539" s="34" t="s">
        <v>21</v>
      </c>
      <c r="I1539" s="34" t="s">
        <v>19</v>
      </c>
      <c r="J1539" s="34" t="s">
        <v>22</v>
      </c>
      <c r="K1539" s="34" t="s">
        <v>46</v>
      </c>
      <c r="L1539" s="34" t="s">
        <v>47</v>
      </c>
      <c r="M1539">
        <v>1.9318</v>
      </c>
    </row>
    <row r="1540" spans="1:13" x14ac:dyDescent="0.3">
      <c r="A1540" s="34" t="s">
        <v>662</v>
      </c>
      <c r="B1540">
        <v>-1</v>
      </c>
      <c r="C1540">
        <v>2050</v>
      </c>
      <c r="D1540" s="34" t="s">
        <v>366</v>
      </c>
      <c r="E1540" s="34" t="s">
        <v>367</v>
      </c>
      <c r="F1540" s="34" t="s">
        <v>630</v>
      </c>
      <c r="G1540" s="34" t="s">
        <v>20</v>
      </c>
      <c r="H1540" s="34" t="s">
        <v>21</v>
      </c>
      <c r="I1540" s="34" t="s">
        <v>19</v>
      </c>
      <c r="J1540" s="34" t="s">
        <v>22</v>
      </c>
      <c r="K1540" s="34" t="s">
        <v>48</v>
      </c>
      <c r="L1540" s="34" t="s">
        <v>47</v>
      </c>
      <c r="M1540">
        <v>-1.9318000000000002</v>
      </c>
    </row>
    <row r="1541" spans="1:13" x14ac:dyDescent="0.3">
      <c r="A1541" s="34" t="s">
        <v>662</v>
      </c>
      <c r="B1541">
        <v>-1</v>
      </c>
      <c r="C1541">
        <v>2050</v>
      </c>
      <c r="D1541" s="34" t="s">
        <v>366</v>
      </c>
      <c r="E1541" s="34" t="s">
        <v>367</v>
      </c>
      <c r="F1541" s="34" t="s">
        <v>630</v>
      </c>
      <c r="G1541" s="34" t="s">
        <v>30</v>
      </c>
      <c r="H1541" s="34" t="s">
        <v>21</v>
      </c>
      <c r="I1541" s="34" t="s">
        <v>19</v>
      </c>
      <c r="J1541" s="34" t="s">
        <v>22</v>
      </c>
      <c r="K1541" s="34" t="s">
        <v>46</v>
      </c>
      <c r="L1541" s="34" t="s">
        <v>47</v>
      </c>
      <c r="M1541">
        <v>0.14860000000000001</v>
      </c>
    </row>
    <row r="1542" spans="1:13" x14ac:dyDescent="0.3">
      <c r="A1542" s="34" t="s">
        <v>662</v>
      </c>
      <c r="B1542">
        <v>-1</v>
      </c>
      <c r="C1542">
        <v>2050</v>
      </c>
      <c r="D1542" s="34" t="s">
        <v>366</v>
      </c>
      <c r="E1542" s="34" t="s">
        <v>367</v>
      </c>
      <c r="F1542" s="34" t="s">
        <v>630</v>
      </c>
      <c r="G1542" s="34" t="s">
        <v>30</v>
      </c>
      <c r="H1542" s="34" t="s">
        <v>21</v>
      </c>
      <c r="I1542" s="34" t="s">
        <v>19</v>
      </c>
      <c r="J1542" s="34" t="s">
        <v>22</v>
      </c>
      <c r="K1542" s="34" t="s">
        <v>48</v>
      </c>
      <c r="L1542" s="34" t="s">
        <v>47</v>
      </c>
      <c r="M1542">
        <v>-0.14860000000000004</v>
      </c>
    </row>
    <row r="1543" spans="1:13" x14ac:dyDescent="0.3">
      <c r="A1543" s="34" t="s">
        <v>662</v>
      </c>
      <c r="B1543">
        <v>-1</v>
      </c>
      <c r="C1543">
        <v>2050</v>
      </c>
      <c r="D1543" s="34" t="s">
        <v>366</v>
      </c>
      <c r="E1543" s="34" t="s">
        <v>367</v>
      </c>
      <c r="F1543" s="34" t="s">
        <v>630</v>
      </c>
      <c r="G1543" s="34" t="s">
        <v>644</v>
      </c>
      <c r="H1543" s="34" t="s">
        <v>21</v>
      </c>
      <c r="I1543" s="34" t="s">
        <v>19</v>
      </c>
      <c r="J1543" s="34" t="s">
        <v>22</v>
      </c>
      <c r="K1543" s="34" t="s">
        <v>49</v>
      </c>
      <c r="L1543" s="34" t="s">
        <v>47</v>
      </c>
      <c r="M1543">
        <v>20.399999999999995</v>
      </c>
    </row>
    <row r="1544" spans="1:13" x14ac:dyDescent="0.3">
      <c r="A1544" s="34" t="s">
        <v>662</v>
      </c>
      <c r="B1544">
        <v>-1</v>
      </c>
      <c r="C1544">
        <v>2050</v>
      </c>
      <c r="D1544" s="34" t="s">
        <v>366</v>
      </c>
      <c r="E1544" s="34" t="s">
        <v>367</v>
      </c>
      <c r="F1544" s="34" t="s">
        <v>630</v>
      </c>
      <c r="G1544" s="34" t="s">
        <v>645</v>
      </c>
      <c r="H1544" s="34" t="s">
        <v>23</v>
      </c>
      <c r="I1544" s="34" t="s">
        <v>19</v>
      </c>
      <c r="J1544" s="34" t="s">
        <v>24</v>
      </c>
      <c r="K1544" s="34" t="s">
        <v>49</v>
      </c>
      <c r="L1544" s="34" t="s">
        <v>47</v>
      </c>
      <c r="M1544">
        <v>6.8468490339742329</v>
      </c>
    </row>
    <row r="1545" spans="1:13" x14ac:dyDescent="0.3">
      <c r="A1545" s="34" t="s">
        <v>662</v>
      </c>
      <c r="B1545">
        <v>-1</v>
      </c>
      <c r="C1545">
        <v>2050</v>
      </c>
      <c r="D1545" s="34" t="s">
        <v>368</v>
      </c>
      <c r="E1545" s="34" t="s">
        <v>369</v>
      </c>
      <c r="F1545" s="34" t="s">
        <v>579</v>
      </c>
      <c r="G1545" s="34" t="s">
        <v>43</v>
      </c>
      <c r="H1545" s="34" t="s">
        <v>40</v>
      </c>
      <c r="I1545" s="34" t="s">
        <v>19</v>
      </c>
      <c r="J1545" s="34" t="s">
        <v>27</v>
      </c>
      <c r="K1545" s="34" t="s">
        <v>46</v>
      </c>
      <c r="L1545" s="34" t="s">
        <v>47</v>
      </c>
      <c r="M1545">
        <v>1.232</v>
      </c>
    </row>
    <row r="1546" spans="1:13" x14ac:dyDescent="0.3">
      <c r="A1546" s="34" t="s">
        <v>662</v>
      </c>
      <c r="B1546">
        <v>-1</v>
      </c>
      <c r="C1546">
        <v>2050</v>
      </c>
      <c r="D1546" s="34" t="s">
        <v>368</v>
      </c>
      <c r="E1546" s="34" t="s">
        <v>369</v>
      </c>
      <c r="F1546" s="34" t="s">
        <v>579</v>
      </c>
      <c r="G1546" s="34" t="s">
        <v>43</v>
      </c>
      <c r="H1546" s="34" t="s">
        <v>40</v>
      </c>
      <c r="I1546" s="34" t="s">
        <v>19</v>
      </c>
      <c r="J1546" s="34" t="s">
        <v>27</v>
      </c>
      <c r="K1546" s="34" t="s">
        <v>48</v>
      </c>
      <c r="L1546" s="34" t="s">
        <v>47</v>
      </c>
      <c r="M1546">
        <v>-1.232</v>
      </c>
    </row>
    <row r="1547" spans="1:13" x14ac:dyDescent="0.3">
      <c r="A1547" s="34" t="s">
        <v>662</v>
      </c>
      <c r="B1547">
        <v>-1</v>
      </c>
      <c r="C1547">
        <v>2050</v>
      </c>
      <c r="D1547" s="34" t="s">
        <v>368</v>
      </c>
      <c r="E1547" s="34" t="s">
        <v>369</v>
      </c>
      <c r="F1547" s="34" t="s">
        <v>579</v>
      </c>
      <c r="G1547" s="34" t="s">
        <v>31</v>
      </c>
      <c r="H1547" s="34" t="s">
        <v>18</v>
      </c>
      <c r="I1547" s="34" t="s">
        <v>19</v>
      </c>
      <c r="J1547" s="34" t="s">
        <v>32</v>
      </c>
      <c r="K1547" s="34" t="s">
        <v>46</v>
      </c>
      <c r="L1547" s="34" t="s">
        <v>47</v>
      </c>
      <c r="M1547">
        <v>1.81</v>
      </c>
    </row>
    <row r="1548" spans="1:13" x14ac:dyDescent="0.3">
      <c r="A1548" s="34" t="s">
        <v>662</v>
      </c>
      <c r="B1548">
        <v>-1</v>
      </c>
      <c r="C1548">
        <v>2050</v>
      </c>
      <c r="D1548" s="34" t="s">
        <v>368</v>
      </c>
      <c r="E1548" s="34" t="s">
        <v>369</v>
      </c>
      <c r="F1548" s="34" t="s">
        <v>579</v>
      </c>
      <c r="G1548" s="34" t="s">
        <v>180</v>
      </c>
      <c r="H1548" s="34" t="s">
        <v>18</v>
      </c>
      <c r="I1548" s="34" t="s">
        <v>19</v>
      </c>
      <c r="J1548" s="34" t="s">
        <v>181</v>
      </c>
      <c r="K1548" s="34" t="s">
        <v>46</v>
      </c>
      <c r="L1548" s="34" t="s">
        <v>47</v>
      </c>
      <c r="M1548">
        <v>0.53700000000000003</v>
      </c>
    </row>
    <row r="1549" spans="1:13" x14ac:dyDescent="0.3">
      <c r="A1549" s="34" t="s">
        <v>662</v>
      </c>
      <c r="B1549">
        <v>-1</v>
      </c>
      <c r="C1549">
        <v>2050</v>
      </c>
      <c r="D1549" s="34" t="s">
        <v>368</v>
      </c>
      <c r="E1549" s="34" t="s">
        <v>369</v>
      </c>
      <c r="F1549" s="34" t="s">
        <v>579</v>
      </c>
      <c r="G1549" s="34" t="s">
        <v>54</v>
      </c>
      <c r="H1549" s="34" t="s">
        <v>39</v>
      </c>
      <c r="I1549" s="34" t="s">
        <v>19</v>
      </c>
      <c r="J1549" s="34" t="s">
        <v>27</v>
      </c>
      <c r="K1549" s="34" t="s">
        <v>46</v>
      </c>
      <c r="L1549" s="34" t="s">
        <v>47</v>
      </c>
      <c r="M1549">
        <v>4.4750000000000005</v>
      </c>
    </row>
    <row r="1550" spans="1:13" x14ac:dyDescent="0.3">
      <c r="A1550" s="34" t="s">
        <v>662</v>
      </c>
      <c r="B1550">
        <v>-1</v>
      </c>
      <c r="C1550">
        <v>2050</v>
      </c>
      <c r="D1550" s="34" t="s">
        <v>368</v>
      </c>
      <c r="E1550" s="34" t="s">
        <v>369</v>
      </c>
      <c r="F1550" s="34" t="s">
        <v>579</v>
      </c>
      <c r="G1550" s="34" t="s">
        <v>54</v>
      </c>
      <c r="H1550" s="34" t="s">
        <v>39</v>
      </c>
      <c r="I1550" s="34" t="s">
        <v>19</v>
      </c>
      <c r="J1550" s="34" t="s">
        <v>27</v>
      </c>
      <c r="K1550" s="34" t="s">
        <v>48</v>
      </c>
      <c r="L1550" s="34" t="s">
        <v>47</v>
      </c>
      <c r="M1550">
        <v>-4.4750000000000005</v>
      </c>
    </row>
    <row r="1551" spans="1:13" x14ac:dyDescent="0.3">
      <c r="A1551" s="34" t="s">
        <v>662</v>
      </c>
      <c r="B1551">
        <v>-1</v>
      </c>
      <c r="C1551">
        <v>2050</v>
      </c>
      <c r="D1551" s="34" t="s">
        <v>368</v>
      </c>
      <c r="E1551" s="34" t="s">
        <v>369</v>
      </c>
      <c r="F1551" s="34" t="s">
        <v>579</v>
      </c>
      <c r="G1551" s="34" t="s">
        <v>307</v>
      </c>
      <c r="H1551" s="34" t="s">
        <v>26</v>
      </c>
      <c r="I1551" s="34" t="s">
        <v>19</v>
      </c>
      <c r="J1551" s="34" t="s">
        <v>27</v>
      </c>
      <c r="K1551" s="34" t="s">
        <v>46</v>
      </c>
      <c r="L1551" s="34" t="s">
        <v>47</v>
      </c>
      <c r="M1551">
        <v>6.0000000000000001E-3</v>
      </c>
    </row>
    <row r="1552" spans="1:13" x14ac:dyDescent="0.3">
      <c r="A1552" s="34" t="s">
        <v>662</v>
      </c>
      <c r="B1552">
        <v>-1</v>
      </c>
      <c r="C1552">
        <v>2050</v>
      </c>
      <c r="D1552" s="34" t="s">
        <v>368</v>
      </c>
      <c r="E1552" s="34" t="s">
        <v>369</v>
      </c>
      <c r="F1552" s="34" t="s">
        <v>579</v>
      </c>
      <c r="G1552" s="34" t="s">
        <v>307</v>
      </c>
      <c r="H1552" s="34" t="s">
        <v>26</v>
      </c>
      <c r="I1552" s="34" t="s">
        <v>19</v>
      </c>
      <c r="J1552" s="34" t="s">
        <v>27</v>
      </c>
      <c r="K1552" s="34" t="s">
        <v>48</v>
      </c>
      <c r="L1552" s="34" t="s">
        <v>47</v>
      </c>
      <c r="M1552">
        <v>-5.9999999999999993E-3</v>
      </c>
    </row>
    <row r="1553" spans="1:13" x14ac:dyDescent="0.3">
      <c r="A1553" s="34" t="s">
        <v>662</v>
      </c>
      <c r="B1553">
        <v>-1</v>
      </c>
      <c r="C1553">
        <v>2050</v>
      </c>
      <c r="D1553" s="34" t="s">
        <v>368</v>
      </c>
      <c r="E1553" s="34" t="s">
        <v>369</v>
      </c>
      <c r="F1553" s="34" t="s">
        <v>579</v>
      </c>
      <c r="G1553" s="34" t="s">
        <v>253</v>
      </c>
      <c r="H1553" s="34" t="s">
        <v>254</v>
      </c>
      <c r="I1553" s="34" t="s">
        <v>19</v>
      </c>
      <c r="J1553" s="34" t="s">
        <v>27</v>
      </c>
      <c r="K1553" s="34" t="s">
        <v>46</v>
      </c>
      <c r="L1553" s="34" t="s">
        <v>47</v>
      </c>
      <c r="M1553">
        <v>2</v>
      </c>
    </row>
    <row r="1554" spans="1:13" x14ac:dyDescent="0.3">
      <c r="A1554" s="34" t="s">
        <v>662</v>
      </c>
      <c r="B1554">
        <v>-1</v>
      </c>
      <c r="C1554">
        <v>2050</v>
      </c>
      <c r="D1554" s="34" t="s">
        <v>368</v>
      </c>
      <c r="E1554" s="34" t="s">
        <v>369</v>
      </c>
      <c r="F1554" s="34" t="s">
        <v>579</v>
      </c>
      <c r="G1554" s="34" t="s">
        <v>253</v>
      </c>
      <c r="H1554" s="34" t="s">
        <v>254</v>
      </c>
      <c r="I1554" s="34" t="s">
        <v>19</v>
      </c>
      <c r="J1554" s="34" t="s">
        <v>27</v>
      </c>
      <c r="K1554" s="34" t="s">
        <v>48</v>
      </c>
      <c r="L1554" s="34" t="s">
        <v>47</v>
      </c>
      <c r="M1554">
        <v>-2</v>
      </c>
    </row>
    <row r="1555" spans="1:13" x14ac:dyDescent="0.3">
      <c r="A1555" s="34" t="s">
        <v>662</v>
      </c>
      <c r="B1555">
        <v>-1</v>
      </c>
      <c r="C1555">
        <v>2050</v>
      </c>
      <c r="D1555" s="34" t="s">
        <v>368</v>
      </c>
      <c r="E1555" s="34" t="s">
        <v>369</v>
      </c>
      <c r="F1555" s="34" t="s">
        <v>579</v>
      </c>
      <c r="G1555" s="34" t="s">
        <v>52</v>
      </c>
      <c r="H1555" s="34" t="s">
        <v>53</v>
      </c>
      <c r="I1555" s="34" t="s">
        <v>19</v>
      </c>
      <c r="J1555" s="34" t="s">
        <v>27</v>
      </c>
      <c r="K1555" s="34" t="s">
        <v>46</v>
      </c>
      <c r="L1555" s="34" t="s">
        <v>47</v>
      </c>
      <c r="M1555">
        <v>7.3999999999999996E-2</v>
      </c>
    </row>
    <row r="1556" spans="1:13" x14ac:dyDescent="0.3">
      <c r="A1556" s="34" t="s">
        <v>662</v>
      </c>
      <c r="B1556">
        <v>-1</v>
      </c>
      <c r="C1556">
        <v>2050</v>
      </c>
      <c r="D1556" s="34" t="s">
        <v>368</v>
      </c>
      <c r="E1556" s="34" t="s">
        <v>369</v>
      </c>
      <c r="F1556" s="34" t="s">
        <v>579</v>
      </c>
      <c r="G1556" s="34" t="s">
        <v>52</v>
      </c>
      <c r="H1556" s="34" t="s">
        <v>53</v>
      </c>
      <c r="I1556" s="34" t="s">
        <v>19</v>
      </c>
      <c r="J1556" s="34" t="s">
        <v>27</v>
      </c>
      <c r="K1556" s="34" t="s">
        <v>48</v>
      </c>
      <c r="L1556" s="34" t="s">
        <v>47</v>
      </c>
      <c r="M1556">
        <v>-7.400000000000001E-2</v>
      </c>
    </row>
    <row r="1557" spans="1:13" x14ac:dyDescent="0.3">
      <c r="A1557" s="34" t="s">
        <v>662</v>
      </c>
      <c r="B1557">
        <v>-1</v>
      </c>
      <c r="C1557">
        <v>2050</v>
      </c>
      <c r="D1557" s="34" t="s">
        <v>368</v>
      </c>
      <c r="E1557" s="34" t="s">
        <v>369</v>
      </c>
      <c r="F1557" s="34" t="s">
        <v>631</v>
      </c>
      <c r="G1557" s="34" t="s">
        <v>28</v>
      </c>
      <c r="H1557" s="34" t="s">
        <v>23</v>
      </c>
      <c r="I1557" s="34" t="s">
        <v>19</v>
      </c>
      <c r="J1557" s="34" t="s">
        <v>24</v>
      </c>
      <c r="K1557" s="34" t="s">
        <v>46</v>
      </c>
      <c r="L1557" s="34" t="s">
        <v>47</v>
      </c>
      <c r="M1557">
        <v>1.0840000000000001</v>
      </c>
    </row>
    <row r="1558" spans="1:13" x14ac:dyDescent="0.3">
      <c r="A1558" s="34" t="s">
        <v>662</v>
      </c>
      <c r="B1558">
        <v>-1</v>
      </c>
      <c r="C1558">
        <v>2050</v>
      </c>
      <c r="D1558" s="34" t="s">
        <v>368</v>
      </c>
      <c r="E1558" s="34" t="s">
        <v>369</v>
      </c>
      <c r="F1558" s="34" t="s">
        <v>631</v>
      </c>
      <c r="G1558" s="34" t="s">
        <v>28</v>
      </c>
      <c r="H1558" s="34" t="s">
        <v>23</v>
      </c>
      <c r="I1558" s="34" t="s">
        <v>19</v>
      </c>
      <c r="J1558" s="34" t="s">
        <v>24</v>
      </c>
      <c r="K1558" s="34" t="s">
        <v>48</v>
      </c>
      <c r="L1558" s="34" t="s">
        <v>47</v>
      </c>
      <c r="M1558">
        <v>-1.0840000000000003</v>
      </c>
    </row>
    <row r="1559" spans="1:13" x14ac:dyDescent="0.3">
      <c r="A1559" s="34" t="s">
        <v>662</v>
      </c>
      <c r="B1559">
        <v>-1</v>
      </c>
      <c r="C1559">
        <v>2050</v>
      </c>
      <c r="D1559" s="34" t="s">
        <v>368</v>
      </c>
      <c r="E1559" s="34" t="s">
        <v>369</v>
      </c>
      <c r="F1559" s="34" t="s">
        <v>631</v>
      </c>
      <c r="G1559" s="34" t="s">
        <v>29</v>
      </c>
      <c r="H1559" s="34" t="s">
        <v>21</v>
      </c>
      <c r="I1559" s="34" t="s">
        <v>19</v>
      </c>
      <c r="J1559" s="34" t="s">
        <v>22</v>
      </c>
      <c r="K1559" s="34" t="s">
        <v>46</v>
      </c>
      <c r="L1559" s="34" t="s">
        <v>47</v>
      </c>
      <c r="M1559">
        <v>0.21</v>
      </c>
    </row>
    <row r="1560" spans="1:13" x14ac:dyDescent="0.3">
      <c r="A1560" s="34" t="s">
        <v>662</v>
      </c>
      <c r="B1560">
        <v>-1</v>
      </c>
      <c r="C1560">
        <v>2050</v>
      </c>
      <c r="D1560" s="34" t="s">
        <v>368</v>
      </c>
      <c r="E1560" s="34" t="s">
        <v>369</v>
      </c>
      <c r="F1560" s="34" t="s">
        <v>631</v>
      </c>
      <c r="G1560" s="34" t="s">
        <v>29</v>
      </c>
      <c r="H1560" s="34" t="s">
        <v>21</v>
      </c>
      <c r="I1560" s="34" t="s">
        <v>19</v>
      </c>
      <c r="J1560" s="34" t="s">
        <v>22</v>
      </c>
      <c r="K1560" s="34" t="s">
        <v>48</v>
      </c>
      <c r="L1560" s="34" t="s">
        <v>47</v>
      </c>
      <c r="M1560">
        <v>-0.21</v>
      </c>
    </row>
    <row r="1561" spans="1:13" x14ac:dyDescent="0.3">
      <c r="A1561" s="34" t="s">
        <v>662</v>
      </c>
      <c r="B1561">
        <v>-1</v>
      </c>
      <c r="C1561">
        <v>2050</v>
      </c>
      <c r="D1561" s="34" t="s">
        <v>368</v>
      </c>
      <c r="E1561" s="34" t="s">
        <v>369</v>
      </c>
      <c r="F1561" s="34" t="s">
        <v>631</v>
      </c>
      <c r="G1561" s="34" t="s">
        <v>20</v>
      </c>
      <c r="H1561" s="34" t="s">
        <v>21</v>
      </c>
      <c r="I1561" s="34" t="s">
        <v>19</v>
      </c>
      <c r="J1561" s="34" t="s">
        <v>22</v>
      </c>
      <c r="K1561" s="34" t="s">
        <v>46</v>
      </c>
      <c r="L1561" s="34" t="s">
        <v>47</v>
      </c>
      <c r="M1561">
        <v>0.45500000000000002</v>
      </c>
    </row>
    <row r="1562" spans="1:13" x14ac:dyDescent="0.3">
      <c r="A1562" s="34" t="s">
        <v>662</v>
      </c>
      <c r="B1562">
        <v>-1</v>
      </c>
      <c r="C1562">
        <v>2050</v>
      </c>
      <c r="D1562" s="34" t="s">
        <v>368</v>
      </c>
      <c r="E1562" s="34" t="s">
        <v>369</v>
      </c>
      <c r="F1562" s="34" t="s">
        <v>631</v>
      </c>
      <c r="G1562" s="34" t="s">
        <v>20</v>
      </c>
      <c r="H1562" s="34" t="s">
        <v>21</v>
      </c>
      <c r="I1562" s="34" t="s">
        <v>19</v>
      </c>
      <c r="J1562" s="34" t="s">
        <v>22</v>
      </c>
      <c r="K1562" s="34" t="s">
        <v>48</v>
      </c>
      <c r="L1562" s="34" t="s">
        <v>47</v>
      </c>
      <c r="M1562">
        <v>-0.45500000000000002</v>
      </c>
    </row>
    <row r="1563" spans="1:13" x14ac:dyDescent="0.3">
      <c r="A1563" s="34" t="s">
        <v>662</v>
      </c>
      <c r="B1563">
        <v>-1</v>
      </c>
      <c r="C1563">
        <v>2050</v>
      </c>
      <c r="D1563" s="34" t="s">
        <v>368</v>
      </c>
      <c r="E1563" s="34" t="s">
        <v>369</v>
      </c>
      <c r="F1563" s="34" t="s">
        <v>631</v>
      </c>
      <c r="G1563" s="34" t="s">
        <v>30</v>
      </c>
      <c r="H1563" s="34" t="s">
        <v>21</v>
      </c>
      <c r="I1563" s="34" t="s">
        <v>19</v>
      </c>
      <c r="J1563" s="34" t="s">
        <v>22</v>
      </c>
      <c r="K1563" s="34" t="s">
        <v>46</v>
      </c>
      <c r="L1563" s="34" t="s">
        <v>47</v>
      </c>
      <c r="M1563">
        <v>3.5000000000000003E-2</v>
      </c>
    </row>
    <row r="1564" spans="1:13" x14ac:dyDescent="0.3">
      <c r="A1564" s="34" t="s">
        <v>662</v>
      </c>
      <c r="B1564">
        <v>-1</v>
      </c>
      <c r="C1564">
        <v>2050</v>
      </c>
      <c r="D1564" s="34" t="s">
        <v>368</v>
      </c>
      <c r="E1564" s="34" t="s">
        <v>369</v>
      </c>
      <c r="F1564" s="34" t="s">
        <v>631</v>
      </c>
      <c r="G1564" s="34" t="s">
        <v>30</v>
      </c>
      <c r="H1564" s="34" t="s">
        <v>21</v>
      </c>
      <c r="I1564" s="34" t="s">
        <v>19</v>
      </c>
      <c r="J1564" s="34" t="s">
        <v>22</v>
      </c>
      <c r="K1564" s="34" t="s">
        <v>48</v>
      </c>
      <c r="L1564" s="34" t="s">
        <v>47</v>
      </c>
      <c r="M1564">
        <v>-3.5000000000000003E-2</v>
      </c>
    </row>
    <row r="1565" spans="1:13" x14ac:dyDescent="0.3">
      <c r="A1565" s="34" t="s">
        <v>662</v>
      </c>
      <c r="B1565">
        <v>-1</v>
      </c>
      <c r="C1565">
        <v>2050</v>
      </c>
      <c r="D1565" s="34" t="s">
        <v>368</v>
      </c>
      <c r="E1565" s="34" t="s">
        <v>369</v>
      </c>
      <c r="F1565" s="34" t="s">
        <v>631</v>
      </c>
      <c r="G1565" s="34" t="s">
        <v>644</v>
      </c>
      <c r="H1565" s="34" t="s">
        <v>21</v>
      </c>
      <c r="I1565" s="34" t="s">
        <v>19</v>
      </c>
      <c r="J1565" s="34" t="s">
        <v>22</v>
      </c>
      <c r="K1565" s="34" t="s">
        <v>49</v>
      </c>
      <c r="L1565" s="34" t="s">
        <v>47</v>
      </c>
      <c r="M1565">
        <v>3.4</v>
      </c>
    </row>
    <row r="1566" spans="1:13" x14ac:dyDescent="0.3">
      <c r="A1566" s="34" t="s">
        <v>662</v>
      </c>
      <c r="B1566">
        <v>-1</v>
      </c>
      <c r="C1566">
        <v>2050</v>
      </c>
      <c r="D1566" s="34" t="s">
        <v>368</v>
      </c>
      <c r="E1566" s="34" t="s">
        <v>369</v>
      </c>
      <c r="F1566" s="34" t="s">
        <v>631</v>
      </c>
      <c r="G1566" s="34" t="s">
        <v>645</v>
      </c>
      <c r="H1566" s="34" t="s">
        <v>23</v>
      </c>
      <c r="I1566" s="34" t="s">
        <v>19</v>
      </c>
      <c r="J1566" s="34" t="s">
        <v>24</v>
      </c>
      <c r="K1566" s="34" t="s">
        <v>49</v>
      </c>
      <c r="L1566" s="34" t="s">
        <v>47</v>
      </c>
      <c r="M1566">
        <v>2.5891172423496251</v>
      </c>
    </row>
    <row r="1567" spans="1:13" x14ac:dyDescent="0.3">
      <c r="A1567" s="34" t="s">
        <v>662</v>
      </c>
      <c r="B1567">
        <v>-1</v>
      </c>
      <c r="C1567">
        <v>2050</v>
      </c>
      <c r="D1567" s="34" t="s">
        <v>370</v>
      </c>
      <c r="E1567" s="34" t="s">
        <v>408</v>
      </c>
      <c r="F1567" s="34" t="s">
        <v>372</v>
      </c>
      <c r="G1567" s="34" t="s">
        <v>43</v>
      </c>
      <c r="H1567" s="34" t="s">
        <v>40</v>
      </c>
      <c r="I1567" s="34" t="s">
        <v>19</v>
      </c>
      <c r="J1567" s="34" t="s">
        <v>27</v>
      </c>
      <c r="K1567" s="34" t="s">
        <v>46</v>
      </c>
      <c r="L1567" s="34" t="s">
        <v>47</v>
      </c>
      <c r="M1567">
        <v>4.9020000000000001</v>
      </c>
    </row>
    <row r="1568" spans="1:13" x14ac:dyDescent="0.3">
      <c r="A1568" s="34" t="s">
        <v>662</v>
      </c>
      <c r="B1568">
        <v>-1</v>
      </c>
      <c r="C1568">
        <v>2050</v>
      </c>
      <c r="D1568" s="34" t="s">
        <v>370</v>
      </c>
      <c r="E1568" s="34" t="s">
        <v>408</v>
      </c>
      <c r="F1568" s="34" t="s">
        <v>372</v>
      </c>
      <c r="G1568" s="34" t="s">
        <v>43</v>
      </c>
      <c r="H1568" s="34" t="s">
        <v>40</v>
      </c>
      <c r="I1568" s="34" t="s">
        <v>19</v>
      </c>
      <c r="J1568" s="34" t="s">
        <v>27</v>
      </c>
      <c r="K1568" s="34" t="s">
        <v>48</v>
      </c>
      <c r="L1568" s="34" t="s">
        <v>47</v>
      </c>
      <c r="M1568">
        <v>-4.902000000000001</v>
      </c>
    </row>
    <row r="1569" spans="1:13" x14ac:dyDescent="0.3">
      <c r="A1569" s="34" t="s">
        <v>662</v>
      </c>
      <c r="B1569">
        <v>-1</v>
      </c>
      <c r="C1569">
        <v>2050</v>
      </c>
      <c r="D1569" s="34" t="s">
        <v>370</v>
      </c>
      <c r="E1569" s="34" t="s">
        <v>408</v>
      </c>
      <c r="F1569" s="34" t="s">
        <v>372</v>
      </c>
      <c r="G1569" s="34" t="s">
        <v>28</v>
      </c>
      <c r="H1569" s="34" t="s">
        <v>23</v>
      </c>
      <c r="I1569" s="34" t="s">
        <v>19</v>
      </c>
      <c r="J1569" s="34" t="s">
        <v>24</v>
      </c>
      <c r="K1569" s="34" t="s">
        <v>46</v>
      </c>
      <c r="L1569" s="34" t="s">
        <v>47</v>
      </c>
      <c r="M1569">
        <v>2.6059999999999999</v>
      </c>
    </row>
    <row r="1570" spans="1:13" x14ac:dyDescent="0.3">
      <c r="A1570" s="34" t="s">
        <v>662</v>
      </c>
      <c r="B1570">
        <v>-1</v>
      </c>
      <c r="C1570">
        <v>2050</v>
      </c>
      <c r="D1570" s="34" t="s">
        <v>370</v>
      </c>
      <c r="E1570" s="34" t="s">
        <v>408</v>
      </c>
      <c r="F1570" s="34" t="s">
        <v>372</v>
      </c>
      <c r="G1570" s="34" t="s">
        <v>28</v>
      </c>
      <c r="H1570" s="34" t="s">
        <v>23</v>
      </c>
      <c r="I1570" s="34" t="s">
        <v>19</v>
      </c>
      <c r="J1570" s="34" t="s">
        <v>24</v>
      </c>
      <c r="K1570" s="34" t="s">
        <v>48</v>
      </c>
      <c r="L1570" s="34" t="s">
        <v>47</v>
      </c>
      <c r="M1570">
        <v>-2.6060000000000008</v>
      </c>
    </row>
    <row r="1571" spans="1:13" x14ac:dyDescent="0.3">
      <c r="A1571" s="34" t="s">
        <v>662</v>
      </c>
      <c r="B1571">
        <v>-1</v>
      </c>
      <c r="C1571">
        <v>2050</v>
      </c>
      <c r="D1571" s="34" t="s">
        <v>370</v>
      </c>
      <c r="E1571" s="34" t="s">
        <v>408</v>
      </c>
      <c r="F1571" s="34" t="s">
        <v>372</v>
      </c>
      <c r="G1571" s="34" t="s">
        <v>31</v>
      </c>
      <c r="H1571" s="34" t="s">
        <v>18</v>
      </c>
      <c r="I1571" s="34" t="s">
        <v>19</v>
      </c>
      <c r="J1571" s="34" t="s">
        <v>32</v>
      </c>
      <c r="K1571" s="34" t="s">
        <v>46</v>
      </c>
      <c r="L1571" s="34" t="s">
        <v>47</v>
      </c>
      <c r="M1571">
        <v>2.403</v>
      </c>
    </row>
    <row r="1572" spans="1:13" x14ac:dyDescent="0.3">
      <c r="A1572" s="34" t="s">
        <v>662</v>
      </c>
      <c r="B1572">
        <v>-1</v>
      </c>
      <c r="C1572">
        <v>2050</v>
      </c>
      <c r="D1572" s="34" t="s">
        <v>370</v>
      </c>
      <c r="E1572" s="34" t="s">
        <v>408</v>
      </c>
      <c r="F1572" s="34" t="s">
        <v>372</v>
      </c>
      <c r="G1572" s="34" t="s">
        <v>180</v>
      </c>
      <c r="H1572" s="34" t="s">
        <v>18</v>
      </c>
      <c r="I1572" s="34" t="s">
        <v>19</v>
      </c>
      <c r="J1572" s="34" t="s">
        <v>181</v>
      </c>
      <c r="K1572" s="34" t="s">
        <v>46</v>
      </c>
      <c r="L1572" s="34" t="s">
        <v>47</v>
      </c>
      <c r="M1572">
        <v>0.29899999999999999</v>
      </c>
    </row>
    <row r="1573" spans="1:13" x14ac:dyDescent="0.3">
      <c r="A1573" s="34" t="s">
        <v>662</v>
      </c>
      <c r="B1573">
        <v>-1</v>
      </c>
      <c r="C1573">
        <v>2050</v>
      </c>
      <c r="D1573" s="34" t="s">
        <v>370</v>
      </c>
      <c r="E1573" s="34" t="s">
        <v>408</v>
      </c>
      <c r="F1573" s="34" t="s">
        <v>372</v>
      </c>
      <c r="G1573" s="34" t="s">
        <v>54</v>
      </c>
      <c r="H1573" s="34" t="s">
        <v>39</v>
      </c>
      <c r="I1573" s="34" t="s">
        <v>19</v>
      </c>
      <c r="J1573" s="34" t="s">
        <v>27</v>
      </c>
      <c r="K1573" s="34" t="s">
        <v>46</v>
      </c>
      <c r="L1573" s="34" t="s">
        <v>47</v>
      </c>
      <c r="M1573">
        <v>3.3620000000000001</v>
      </c>
    </row>
    <row r="1574" spans="1:13" x14ac:dyDescent="0.3">
      <c r="A1574" s="34" t="s">
        <v>662</v>
      </c>
      <c r="B1574">
        <v>-1</v>
      </c>
      <c r="C1574">
        <v>2050</v>
      </c>
      <c r="D1574" s="34" t="s">
        <v>370</v>
      </c>
      <c r="E1574" s="34" t="s">
        <v>408</v>
      </c>
      <c r="F1574" s="34" t="s">
        <v>372</v>
      </c>
      <c r="G1574" s="34" t="s">
        <v>54</v>
      </c>
      <c r="H1574" s="34" t="s">
        <v>39</v>
      </c>
      <c r="I1574" s="34" t="s">
        <v>19</v>
      </c>
      <c r="J1574" s="34" t="s">
        <v>27</v>
      </c>
      <c r="K1574" s="34" t="s">
        <v>48</v>
      </c>
      <c r="L1574" s="34" t="s">
        <v>47</v>
      </c>
      <c r="M1574">
        <v>-3.3619999999999997</v>
      </c>
    </row>
    <row r="1575" spans="1:13" x14ac:dyDescent="0.3">
      <c r="A1575" s="34" t="s">
        <v>662</v>
      </c>
      <c r="B1575">
        <v>-1</v>
      </c>
      <c r="C1575">
        <v>2050</v>
      </c>
      <c r="D1575" s="34" t="s">
        <v>370</v>
      </c>
      <c r="E1575" s="34" t="s">
        <v>408</v>
      </c>
      <c r="F1575" s="34" t="s">
        <v>372</v>
      </c>
      <c r="G1575" s="34" t="s">
        <v>52</v>
      </c>
      <c r="H1575" s="34" t="s">
        <v>53</v>
      </c>
      <c r="I1575" s="34" t="s">
        <v>19</v>
      </c>
      <c r="J1575" s="34" t="s">
        <v>27</v>
      </c>
      <c r="K1575" s="34" t="s">
        <v>46</v>
      </c>
      <c r="L1575" s="34" t="s">
        <v>47</v>
      </c>
      <c r="M1575">
        <v>8.6000000000000007E-2</v>
      </c>
    </row>
    <row r="1576" spans="1:13" x14ac:dyDescent="0.3">
      <c r="A1576" s="34" t="s">
        <v>662</v>
      </c>
      <c r="B1576">
        <v>-1</v>
      </c>
      <c r="C1576">
        <v>2050</v>
      </c>
      <c r="D1576" s="34" t="s">
        <v>370</v>
      </c>
      <c r="E1576" s="34" t="s">
        <v>408</v>
      </c>
      <c r="F1576" s="34" t="s">
        <v>372</v>
      </c>
      <c r="G1576" s="34" t="s">
        <v>52</v>
      </c>
      <c r="H1576" s="34" t="s">
        <v>53</v>
      </c>
      <c r="I1576" s="34" t="s">
        <v>19</v>
      </c>
      <c r="J1576" s="34" t="s">
        <v>27</v>
      </c>
      <c r="K1576" s="34" t="s">
        <v>48</v>
      </c>
      <c r="L1576" s="34" t="s">
        <v>47</v>
      </c>
      <c r="M1576">
        <v>-8.5999999999999993E-2</v>
      </c>
    </row>
    <row r="1577" spans="1:13" x14ac:dyDescent="0.3">
      <c r="A1577" s="34" t="s">
        <v>662</v>
      </c>
      <c r="B1577">
        <v>-1</v>
      </c>
      <c r="C1577">
        <v>2050</v>
      </c>
      <c r="D1577" s="34" t="s">
        <v>370</v>
      </c>
      <c r="E1577" s="34" t="s">
        <v>408</v>
      </c>
      <c r="F1577" s="34" t="s">
        <v>372</v>
      </c>
      <c r="G1577" s="34" t="s">
        <v>29</v>
      </c>
      <c r="H1577" s="34" t="s">
        <v>21</v>
      </c>
      <c r="I1577" s="34" t="s">
        <v>19</v>
      </c>
      <c r="J1577" s="34" t="s">
        <v>22</v>
      </c>
      <c r="K1577" s="34" t="s">
        <v>46</v>
      </c>
      <c r="L1577" s="34" t="s">
        <v>47</v>
      </c>
      <c r="M1577">
        <v>0.94589999999999996</v>
      </c>
    </row>
    <row r="1578" spans="1:13" x14ac:dyDescent="0.3">
      <c r="A1578" s="34" t="s">
        <v>662</v>
      </c>
      <c r="B1578">
        <v>-1</v>
      </c>
      <c r="C1578">
        <v>2050</v>
      </c>
      <c r="D1578" s="34" t="s">
        <v>370</v>
      </c>
      <c r="E1578" s="34" t="s">
        <v>408</v>
      </c>
      <c r="F1578" s="34" t="s">
        <v>372</v>
      </c>
      <c r="G1578" s="34" t="s">
        <v>29</v>
      </c>
      <c r="H1578" s="34" t="s">
        <v>21</v>
      </c>
      <c r="I1578" s="34" t="s">
        <v>19</v>
      </c>
      <c r="J1578" s="34" t="s">
        <v>22</v>
      </c>
      <c r="K1578" s="34" t="s">
        <v>48</v>
      </c>
      <c r="L1578" s="34" t="s">
        <v>47</v>
      </c>
      <c r="M1578">
        <v>-0.94590000000000007</v>
      </c>
    </row>
    <row r="1579" spans="1:13" x14ac:dyDescent="0.3">
      <c r="A1579" s="34" t="s">
        <v>662</v>
      </c>
      <c r="B1579">
        <v>-1</v>
      </c>
      <c r="C1579">
        <v>2050</v>
      </c>
      <c r="D1579" s="34" t="s">
        <v>370</v>
      </c>
      <c r="E1579" s="34" t="s">
        <v>408</v>
      </c>
      <c r="F1579" s="34" t="s">
        <v>372</v>
      </c>
      <c r="G1579" s="34" t="s">
        <v>20</v>
      </c>
      <c r="H1579" s="34" t="s">
        <v>21</v>
      </c>
      <c r="I1579" s="34" t="s">
        <v>19</v>
      </c>
      <c r="J1579" s="34" t="s">
        <v>22</v>
      </c>
      <c r="K1579" s="34" t="s">
        <v>46</v>
      </c>
      <c r="L1579" s="34" t="s">
        <v>47</v>
      </c>
      <c r="M1579">
        <v>2.0494499999999998</v>
      </c>
    </row>
    <row r="1580" spans="1:13" x14ac:dyDescent="0.3">
      <c r="A1580" s="34" t="s">
        <v>662</v>
      </c>
      <c r="B1580">
        <v>-1</v>
      </c>
      <c r="C1580">
        <v>2050</v>
      </c>
      <c r="D1580" s="34" t="s">
        <v>370</v>
      </c>
      <c r="E1580" s="34" t="s">
        <v>408</v>
      </c>
      <c r="F1580" s="34" t="s">
        <v>372</v>
      </c>
      <c r="G1580" s="34" t="s">
        <v>20</v>
      </c>
      <c r="H1580" s="34" t="s">
        <v>21</v>
      </c>
      <c r="I1580" s="34" t="s">
        <v>19</v>
      </c>
      <c r="J1580" s="34" t="s">
        <v>22</v>
      </c>
      <c r="K1580" s="34" t="s">
        <v>48</v>
      </c>
      <c r="L1580" s="34" t="s">
        <v>47</v>
      </c>
      <c r="M1580">
        <v>-2.0494499999999998</v>
      </c>
    </row>
    <row r="1581" spans="1:13" x14ac:dyDescent="0.3">
      <c r="A1581" s="34" t="s">
        <v>662</v>
      </c>
      <c r="B1581">
        <v>-1</v>
      </c>
      <c r="C1581">
        <v>2050</v>
      </c>
      <c r="D1581" s="34" t="s">
        <v>370</v>
      </c>
      <c r="E1581" s="34" t="s">
        <v>408</v>
      </c>
      <c r="F1581" s="34" t="s">
        <v>372</v>
      </c>
      <c r="G1581" s="34" t="s">
        <v>30</v>
      </c>
      <c r="H1581" s="34" t="s">
        <v>21</v>
      </c>
      <c r="I1581" s="34" t="s">
        <v>19</v>
      </c>
      <c r="J1581" s="34" t="s">
        <v>22</v>
      </c>
      <c r="K1581" s="34" t="s">
        <v>46</v>
      </c>
      <c r="L1581" s="34" t="s">
        <v>47</v>
      </c>
      <c r="M1581">
        <v>0.15765000000000001</v>
      </c>
    </row>
    <row r="1582" spans="1:13" x14ac:dyDescent="0.3">
      <c r="A1582" s="34" t="s">
        <v>662</v>
      </c>
      <c r="B1582">
        <v>-1</v>
      </c>
      <c r="C1582">
        <v>2050</v>
      </c>
      <c r="D1582" s="34" t="s">
        <v>370</v>
      </c>
      <c r="E1582" s="34" t="s">
        <v>408</v>
      </c>
      <c r="F1582" s="34" t="s">
        <v>372</v>
      </c>
      <c r="G1582" s="34" t="s">
        <v>30</v>
      </c>
      <c r="H1582" s="34" t="s">
        <v>21</v>
      </c>
      <c r="I1582" s="34" t="s">
        <v>19</v>
      </c>
      <c r="J1582" s="34" t="s">
        <v>22</v>
      </c>
      <c r="K1582" s="34" t="s">
        <v>48</v>
      </c>
      <c r="L1582" s="34" t="s">
        <v>47</v>
      </c>
      <c r="M1582">
        <v>-0.15764999999999998</v>
      </c>
    </row>
    <row r="1583" spans="1:13" x14ac:dyDescent="0.3">
      <c r="A1583" s="34" t="s">
        <v>662</v>
      </c>
      <c r="B1583">
        <v>-1</v>
      </c>
      <c r="C1583">
        <v>2050</v>
      </c>
      <c r="D1583" s="34" t="s">
        <v>370</v>
      </c>
      <c r="E1583" s="34" t="s">
        <v>408</v>
      </c>
      <c r="F1583" s="34" t="s">
        <v>372</v>
      </c>
      <c r="G1583" s="34" t="s">
        <v>392</v>
      </c>
      <c r="H1583" s="34" t="s">
        <v>13</v>
      </c>
      <c r="I1583" s="34" t="s">
        <v>13</v>
      </c>
      <c r="J1583" s="34" t="s">
        <v>17</v>
      </c>
      <c r="K1583" s="34" t="s">
        <v>49</v>
      </c>
      <c r="L1583" s="34" t="s">
        <v>47</v>
      </c>
      <c r="M1583">
        <v>26.711811606032501</v>
      </c>
    </row>
    <row r="1584" spans="1:13" x14ac:dyDescent="0.3">
      <c r="A1584" s="34" t="s">
        <v>662</v>
      </c>
      <c r="B1584">
        <v>-1</v>
      </c>
      <c r="C1584">
        <v>2050</v>
      </c>
      <c r="D1584" s="34" t="s">
        <v>370</v>
      </c>
      <c r="E1584" s="34" t="s">
        <v>408</v>
      </c>
      <c r="F1584" s="34" t="s">
        <v>632</v>
      </c>
      <c r="G1584" s="34" t="s">
        <v>645</v>
      </c>
      <c r="H1584" s="34" t="s">
        <v>23</v>
      </c>
      <c r="I1584" s="34" t="s">
        <v>19</v>
      </c>
      <c r="J1584" s="34" t="s">
        <v>24</v>
      </c>
      <c r="K1584" s="34" t="s">
        <v>49</v>
      </c>
      <c r="L1584" s="34" t="s">
        <v>47</v>
      </c>
      <c r="M1584">
        <v>5.3813728442216124</v>
      </c>
    </row>
    <row r="1585" spans="1:13" x14ac:dyDescent="0.3">
      <c r="A1585" s="34" t="s">
        <v>662</v>
      </c>
      <c r="B1585">
        <v>-1</v>
      </c>
      <c r="C1585">
        <v>2050</v>
      </c>
      <c r="D1585" s="34" t="s">
        <v>370</v>
      </c>
      <c r="E1585" s="34" t="s">
        <v>409</v>
      </c>
      <c r="F1585" s="34" t="s">
        <v>633</v>
      </c>
      <c r="G1585" s="34" t="s">
        <v>644</v>
      </c>
      <c r="H1585" s="34" t="s">
        <v>21</v>
      </c>
      <c r="I1585" s="34" t="s">
        <v>19</v>
      </c>
      <c r="J1585" s="34" t="s">
        <v>22</v>
      </c>
      <c r="K1585" s="34" t="s">
        <v>49</v>
      </c>
      <c r="L1585" s="34" t="s">
        <v>47</v>
      </c>
      <c r="M1585">
        <v>11.525203252032499</v>
      </c>
    </row>
    <row r="1586" spans="1:13" x14ac:dyDescent="0.3">
      <c r="A1586" s="34" t="s">
        <v>662</v>
      </c>
      <c r="B1586">
        <v>-1</v>
      </c>
      <c r="C1586">
        <v>2050</v>
      </c>
      <c r="D1586" s="34" t="s">
        <v>373</v>
      </c>
      <c r="E1586" s="34" t="s">
        <v>374</v>
      </c>
      <c r="F1586" s="34" t="s">
        <v>580</v>
      </c>
      <c r="G1586" s="34" t="s">
        <v>43</v>
      </c>
      <c r="H1586" s="34" t="s">
        <v>40</v>
      </c>
      <c r="I1586" s="34" t="s">
        <v>19</v>
      </c>
      <c r="J1586" s="34" t="s">
        <v>27</v>
      </c>
      <c r="K1586" s="34" t="s">
        <v>46</v>
      </c>
      <c r="L1586" s="34" t="s">
        <v>47</v>
      </c>
      <c r="M1586">
        <v>4.2649999999999997</v>
      </c>
    </row>
    <row r="1587" spans="1:13" x14ac:dyDescent="0.3">
      <c r="A1587" s="34" t="s">
        <v>662</v>
      </c>
      <c r="B1587">
        <v>-1</v>
      </c>
      <c r="C1587">
        <v>2050</v>
      </c>
      <c r="D1587" s="34" t="s">
        <v>373</v>
      </c>
      <c r="E1587" s="34" t="s">
        <v>374</v>
      </c>
      <c r="F1587" s="34" t="s">
        <v>580</v>
      </c>
      <c r="G1587" s="34" t="s">
        <v>43</v>
      </c>
      <c r="H1587" s="34" t="s">
        <v>40</v>
      </c>
      <c r="I1587" s="34" t="s">
        <v>19</v>
      </c>
      <c r="J1587" s="34" t="s">
        <v>27</v>
      </c>
      <c r="K1587" s="34" t="s">
        <v>48</v>
      </c>
      <c r="L1587" s="34" t="s">
        <v>47</v>
      </c>
      <c r="M1587">
        <v>-4.2649999999999997</v>
      </c>
    </row>
    <row r="1588" spans="1:13" x14ac:dyDescent="0.3">
      <c r="A1588" s="34" t="s">
        <v>662</v>
      </c>
      <c r="B1588">
        <v>-1</v>
      </c>
      <c r="C1588">
        <v>2050</v>
      </c>
      <c r="D1588" s="34" t="s">
        <v>373</v>
      </c>
      <c r="E1588" s="34" t="s">
        <v>374</v>
      </c>
      <c r="F1588" s="34" t="s">
        <v>580</v>
      </c>
      <c r="G1588" s="34" t="s">
        <v>180</v>
      </c>
      <c r="H1588" s="34" t="s">
        <v>18</v>
      </c>
      <c r="I1588" s="34" t="s">
        <v>19</v>
      </c>
      <c r="J1588" s="34" t="s">
        <v>181</v>
      </c>
      <c r="K1588" s="34" t="s">
        <v>46</v>
      </c>
      <c r="L1588" s="34" t="s">
        <v>47</v>
      </c>
      <c r="M1588">
        <v>0.216</v>
      </c>
    </row>
    <row r="1589" spans="1:13" x14ac:dyDescent="0.3">
      <c r="A1589" s="34" t="s">
        <v>662</v>
      </c>
      <c r="B1589">
        <v>-1</v>
      </c>
      <c r="C1589">
        <v>2050</v>
      </c>
      <c r="D1589" s="34" t="s">
        <v>373</v>
      </c>
      <c r="E1589" s="34" t="s">
        <v>374</v>
      </c>
      <c r="F1589" s="34" t="s">
        <v>580</v>
      </c>
      <c r="G1589" s="34" t="s">
        <v>54</v>
      </c>
      <c r="H1589" s="34" t="s">
        <v>39</v>
      </c>
      <c r="I1589" s="34" t="s">
        <v>19</v>
      </c>
      <c r="J1589" s="34" t="s">
        <v>27</v>
      </c>
      <c r="K1589" s="34" t="s">
        <v>46</v>
      </c>
      <c r="L1589" s="34" t="s">
        <v>47</v>
      </c>
      <c r="M1589">
        <v>1.1990000000000001</v>
      </c>
    </row>
    <row r="1590" spans="1:13" x14ac:dyDescent="0.3">
      <c r="A1590" s="34" t="s">
        <v>662</v>
      </c>
      <c r="B1590">
        <v>-1</v>
      </c>
      <c r="C1590">
        <v>2050</v>
      </c>
      <c r="D1590" s="34" t="s">
        <v>373</v>
      </c>
      <c r="E1590" s="34" t="s">
        <v>374</v>
      </c>
      <c r="F1590" s="34" t="s">
        <v>580</v>
      </c>
      <c r="G1590" s="34" t="s">
        <v>54</v>
      </c>
      <c r="H1590" s="34" t="s">
        <v>39</v>
      </c>
      <c r="I1590" s="34" t="s">
        <v>19</v>
      </c>
      <c r="J1590" s="34" t="s">
        <v>27</v>
      </c>
      <c r="K1590" s="34" t="s">
        <v>48</v>
      </c>
      <c r="L1590" s="34" t="s">
        <v>47</v>
      </c>
      <c r="M1590">
        <v>-1.1990000000000001</v>
      </c>
    </row>
    <row r="1591" spans="1:13" x14ac:dyDescent="0.3">
      <c r="A1591" s="34" t="s">
        <v>662</v>
      </c>
      <c r="B1591">
        <v>-1</v>
      </c>
      <c r="C1591">
        <v>2050</v>
      </c>
      <c r="D1591" s="34" t="s">
        <v>373</v>
      </c>
      <c r="E1591" s="34" t="s">
        <v>374</v>
      </c>
      <c r="F1591" s="34" t="s">
        <v>580</v>
      </c>
      <c r="G1591" s="34" t="s">
        <v>276</v>
      </c>
      <c r="H1591" s="34" t="s">
        <v>237</v>
      </c>
      <c r="I1591" s="34" t="s">
        <v>19</v>
      </c>
      <c r="J1591" s="34" t="s">
        <v>27</v>
      </c>
      <c r="K1591" s="34" t="s">
        <v>46</v>
      </c>
      <c r="L1591" s="34" t="s">
        <v>47</v>
      </c>
      <c r="M1591">
        <v>1.272</v>
      </c>
    </row>
    <row r="1592" spans="1:13" x14ac:dyDescent="0.3">
      <c r="A1592" s="34" t="s">
        <v>662</v>
      </c>
      <c r="B1592">
        <v>-1</v>
      </c>
      <c r="C1592">
        <v>2050</v>
      </c>
      <c r="D1592" s="34" t="s">
        <v>373</v>
      </c>
      <c r="E1592" s="34" t="s">
        <v>374</v>
      </c>
      <c r="F1592" s="34" t="s">
        <v>580</v>
      </c>
      <c r="G1592" s="34" t="s">
        <v>276</v>
      </c>
      <c r="H1592" s="34" t="s">
        <v>237</v>
      </c>
      <c r="I1592" s="34" t="s">
        <v>19</v>
      </c>
      <c r="J1592" s="34" t="s">
        <v>27</v>
      </c>
      <c r="K1592" s="34" t="s">
        <v>48</v>
      </c>
      <c r="L1592" s="34" t="s">
        <v>47</v>
      </c>
      <c r="M1592">
        <v>-1.272</v>
      </c>
    </row>
    <row r="1593" spans="1:13" x14ac:dyDescent="0.3">
      <c r="A1593" s="34" t="s">
        <v>662</v>
      </c>
      <c r="B1593">
        <v>-1</v>
      </c>
      <c r="C1593">
        <v>2050</v>
      </c>
      <c r="D1593" s="34" t="s">
        <v>373</v>
      </c>
      <c r="E1593" s="34" t="s">
        <v>374</v>
      </c>
      <c r="F1593" s="34" t="s">
        <v>580</v>
      </c>
      <c r="G1593" s="34" t="s">
        <v>16</v>
      </c>
      <c r="H1593" s="34" t="s">
        <v>12</v>
      </c>
      <c r="I1593" s="34" t="s">
        <v>13</v>
      </c>
      <c r="J1593" s="34" t="s">
        <v>14</v>
      </c>
      <c r="K1593" s="34" t="s">
        <v>49</v>
      </c>
      <c r="L1593" s="34" t="s">
        <v>47</v>
      </c>
      <c r="M1593">
        <v>5.6974881304512364</v>
      </c>
    </row>
    <row r="1594" spans="1:13" x14ac:dyDescent="0.3">
      <c r="A1594" s="34" t="s">
        <v>662</v>
      </c>
      <c r="B1594">
        <v>-1</v>
      </c>
      <c r="C1594">
        <v>2050</v>
      </c>
      <c r="D1594" s="34" t="s">
        <v>373</v>
      </c>
      <c r="E1594" s="34" t="s">
        <v>374</v>
      </c>
      <c r="F1594" s="34" t="s">
        <v>634</v>
      </c>
      <c r="G1594" s="34" t="s">
        <v>29</v>
      </c>
      <c r="H1594" s="34" t="s">
        <v>21</v>
      </c>
      <c r="I1594" s="34" t="s">
        <v>19</v>
      </c>
      <c r="J1594" s="34" t="s">
        <v>22</v>
      </c>
      <c r="K1594" s="34" t="s">
        <v>46</v>
      </c>
      <c r="L1594" s="34" t="s">
        <v>47</v>
      </c>
      <c r="M1594">
        <v>0.5757000000000001</v>
      </c>
    </row>
    <row r="1595" spans="1:13" x14ac:dyDescent="0.3">
      <c r="A1595" s="34" t="s">
        <v>662</v>
      </c>
      <c r="B1595">
        <v>-1</v>
      </c>
      <c r="C1595">
        <v>2050</v>
      </c>
      <c r="D1595" s="34" t="s">
        <v>373</v>
      </c>
      <c r="E1595" s="34" t="s">
        <v>374</v>
      </c>
      <c r="F1595" s="34" t="s">
        <v>634</v>
      </c>
      <c r="G1595" s="34" t="s">
        <v>29</v>
      </c>
      <c r="H1595" s="34" t="s">
        <v>21</v>
      </c>
      <c r="I1595" s="34" t="s">
        <v>19</v>
      </c>
      <c r="J1595" s="34" t="s">
        <v>22</v>
      </c>
      <c r="K1595" s="34" t="s">
        <v>48</v>
      </c>
      <c r="L1595" s="34" t="s">
        <v>47</v>
      </c>
      <c r="M1595">
        <v>-0.57569999999999999</v>
      </c>
    </row>
    <row r="1596" spans="1:13" x14ac:dyDescent="0.3">
      <c r="A1596" s="34" t="s">
        <v>662</v>
      </c>
      <c r="B1596">
        <v>-1</v>
      </c>
      <c r="C1596">
        <v>2050</v>
      </c>
      <c r="D1596" s="34" t="s">
        <v>373</v>
      </c>
      <c r="E1596" s="34" t="s">
        <v>374</v>
      </c>
      <c r="F1596" s="34" t="s">
        <v>634</v>
      </c>
      <c r="G1596" s="34" t="s">
        <v>20</v>
      </c>
      <c r="H1596" s="34" t="s">
        <v>21</v>
      </c>
      <c r="I1596" s="34" t="s">
        <v>19</v>
      </c>
      <c r="J1596" s="34" t="s">
        <v>22</v>
      </c>
      <c r="K1596" s="34" t="s">
        <v>46</v>
      </c>
      <c r="L1596" s="34" t="s">
        <v>47</v>
      </c>
      <c r="M1596">
        <v>1.24735</v>
      </c>
    </row>
    <row r="1597" spans="1:13" x14ac:dyDescent="0.3">
      <c r="A1597" s="34" t="s">
        <v>662</v>
      </c>
      <c r="B1597">
        <v>-1</v>
      </c>
      <c r="C1597">
        <v>2050</v>
      </c>
      <c r="D1597" s="34" t="s">
        <v>373</v>
      </c>
      <c r="E1597" s="34" t="s">
        <v>374</v>
      </c>
      <c r="F1597" s="34" t="s">
        <v>634</v>
      </c>
      <c r="G1597" s="34" t="s">
        <v>20</v>
      </c>
      <c r="H1597" s="34" t="s">
        <v>21</v>
      </c>
      <c r="I1597" s="34" t="s">
        <v>19</v>
      </c>
      <c r="J1597" s="34" t="s">
        <v>22</v>
      </c>
      <c r="K1597" s="34" t="s">
        <v>48</v>
      </c>
      <c r="L1597" s="34" t="s">
        <v>47</v>
      </c>
      <c r="M1597">
        <v>-1.24735</v>
      </c>
    </row>
    <row r="1598" spans="1:13" x14ac:dyDescent="0.3">
      <c r="A1598" s="34" t="s">
        <v>662</v>
      </c>
      <c r="B1598">
        <v>-1</v>
      </c>
      <c r="C1598">
        <v>2050</v>
      </c>
      <c r="D1598" s="34" t="s">
        <v>373</v>
      </c>
      <c r="E1598" s="34" t="s">
        <v>374</v>
      </c>
      <c r="F1598" s="34" t="s">
        <v>634</v>
      </c>
      <c r="G1598" s="34" t="s">
        <v>30</v>
      </c>
      <c r="H1598" s="34" t="s">
        <v>21</v>
      </c>
      <c r="I1598" s="34" t="s">
        <v>19</v>
      </c>
      <c r="J1598" s="34" t="s">
        <v>22</v>
      </c>
      <c r="K1598" s="34" t="s">
        <v>46</v>
      </c>
      <c r="L1598" s="34" t="s">
        <v>47</v>
      </c>
      <c r="M1598">
        <v>9.5950000000000008E-2</v>
      </c>
    </row>
    <row r="1599" spans="1:13" x14ac:dyDescent="0.3">
      <c r="A1599" s="34" t="s">
        <v>662</v>
      </c>
      <c r="B1599">
        <v>-1</v>
      </c>
      <c r="C1599">
        <v>2050</v>
      </c>
      <c r="D1599" s="34" t="s">
        <v>373</v>
      </c>
      <c r="E1599" s="34" t="s">
        <v>374</v>
      </c>
      <c r="F1599" s="34" t="s">
        <v>634</v>
      </c>
      <c r="G1599" s="34" t="s">
        <v>30</v>
      </c>
      <c r="H1599" s="34" t="s">
        <v>21</v>
      </c>
      <c r="I1599" s="34" t="s">
        <v>19</v>
      </c>
      <c r="J1599" s="34" t="s">
        <v>22</v>
      </c>
      <c r="K1599" s="34" t="s">
        <v>48</v>
      </c>
      <c r="L1599" s="34" t="s">
        <v>47</v>
      </c>
      <c r="M1599">
        <v>-9.5950000000000008E-2</v>
      </c>
    </row>
    <row r="1600" spans="1:13" x14ac:dyDescent="0.3">
      <c r="A1600" s="34" t="s">
        <v>662</v>
      </c>
      <c r="B1600">
        <v>-1</v>
      </c>
      <c r="C1600">
        <v>2050</v>
      </c>
      <c r="D1600" s="34" t="s">
        <v>373</v>
      </c>
      <c r="E1600" s="34" t="s">
        <v>374</v>
      </c>
      <c r="F1600" s="34" t="s">
        <v>634</v>
      </c>
      <c r="G1600" s="34" t="s">
        <v>644</v>
      </c>
      <c r="H1600" s="34" t="s">
        <v>21</v>
      </c>
      <c r="I1600" s="34" t="s">
        <v>19</v>
      </c>
      <c r="J1600" s="34" t="s">
        <v>22</v>
      </c>
      <c r="K1600" s="34" t="s">
        <v>49</v>
      </c>
      <c r="L1600" s="34" t="s">
        <v>47</v>
      </c>
      <c r="M1600">
        <v>13.725389467207547</v>
      </c>
    </row>
    <row r="1601" spans="1:13" x14ac:dyDescent="0.3">
      <c r="A1601" s="34" t="s">
        <v>662</v>
      </c>
      <c r="B1601">
        <v>-1</v>
      </c>
      <c r="C1601">
        <v>2050</v>
      </c>
      <c r="D1601" s="34" t="s">
        <v>375</v>
      </c>
      <c r="E1601" s="34" t="s">
        <v>376</v>
      </c>
      <c r="F1601" s="34" t="s">
        <v>581</v>
      </c>
      <c r="G1601" s="34" t="s">
        <v>43</v>
      </c>
      <c r="H1601" s="34" t="s">
        <v>40</v>
      </c>
      <c r="I1601" s="34" t="s">
        <v>19</v>
      </c>
      <c r="J1601" s="34" t="s">
        <v>27</v>
      </c>
      <c r="K1601" s="34" t="s">
        <v>46</v>
      </c>
      <c r="L1601" s="34" t="s">
        <v>47</v>
      </c>
      <c r="M1601">
        <v>8.1000000000000003E-2</v>
      </c>
    </row>
    <row r="1602" spans="1:13" x14ac:dyDescent="0.3">
      <c r="A1602" s="34" t="s">
        <v>662</v>
      </c>
      <c r="B1602">
        <v>-1</v>
      </c>
      <c r="C1602">
        <v>2050</v>
      </c>
      <c r="D1602" s="34" t="s">
        <v>375</v>
      </c>
      <c r="E1602" s="34" t="s">
        <v>376</v>
      </c>
      <c r="F1602" s="34" t="s">
        <v>581</v>
      </c>
      <c r="G1602" s="34" t="s">
        <v>43</v>
      </c>
      <c r="H1602" s="34" t="s">
        <v>40</v>
      </c>
      <c r="I1602" s="34" t="s">
        <v>19</v>
      </c>
      <c r="J1602" s="34" t="s">
        <v>27</v>
      </c>
      <c r="K1602" s="34" t="s">
        <v>48</v>
      </c>
      <c r="L1602" s="34" t="s">
        <v>47</v>
      </c>
      <c r="M1602">
        <v>-8.1000000000000003E-2</v>
      </c>
    </row>
    <row r="1603" spans="1:13" x14ac:dyDescent="0.3">
      <c r="A1603" s="34" t="s">
        <v>662</v>
      </c>
      <c r="B1603">
        <v>-1</v>
      </c>
      <c r="C1603">
        <v>2050</v>
      </c>
      <c r="D1603" s="34" t="s">
        <v>375</v>
      </c>
      <c r="E1603" s="34" t="s">
        <v>376</v>
      </c>
      <c r="F1603" s="34" t="s">
        <v>581</v>
      </c>
      <c r="G1603" s="34" t="s">
        <v>31</v>
      </c>
      <c r="H1603" s="34" t="s">
        <v>18</v>
      </c>
      <c r="I1603" s="34" t="s">
        <v>19</v>
      </c>
      <c r="J1603" s="34" t="s">
        <v>32</v>
      </c>
      <c r="K1603" s="34" t="s">
        <v>46</v>
      </c>
      <c r="L1603" s="34" t="s">
        <v>47</v>
      </c>
      <c r="M1603">
        <v>1.0999999999999999E-2</v>
      </c>
    </row>
    <row r="1604" spans="1:13" x14ac:dyDescent="0.3">
      <c r="A1604" s="34" t="s">
        <v>662</v>
      </c>
      <c r="B1604">
        <v>-1</v>
      </c>
      <c r="C1604">
        <v>2050</v>
      </c>
      <c r="D1604" s="34" t="s">
        <v>375</v>
      </c>
      <c r="E1604" s="34" t="s">
        <v>376</v>
      </c>
      <c r="F1604" s="34" t="s">
        <v>581</v>
      </c>
      <c r="G1604" s="34" t="s">
        <v>180</v>
      </c>
      <c r="H1604" s="34" t="s">
        <v>18</v>
      </c>
      <c r="I1604" s="34" t="s">
        <v>19</v>
      </c>
      <c r="J1604" s="34" t="s">
        <v>181</v>
      </c>
      <c r="K1604" s="34" t="s">
        <v>46</v>
      </c>
      <c r="L1604" s="34" t="s">
        <v>47</v>
      </c>
      <c r="M1604">
        <v>2.5000000000000001E-2</v>
      </c>
    </row>
    <row r="1605" spans="1:13" x14ac:dyDescent="0.3">
      <c r="A1605" s="34" t="s">
        <v>662</v>
      </c>
      <c r="B1605">
        <v>-1</v>
      </c>
      <c r="C1605">
        <v>2050</v>
      </c>
      <c r="D1605" s="34" t="s">
        <v>375</v>
      </c>
      <c r="E1605" s="34" t="s">
        <v>376</v>
      </c>
      <c r="F1605" s="34" t="s">
        <v>581</v>
      </c>
      <c r="G1605" s="34" t="s">
        <v>307</v>
      </c>
      <c r="H1605" s="34" t="s">
        <v>26</v>
      </c>
      <c r="I1605" s="34" t="s">
        <v>19</v>
      </c>
      <c r="J1605" s="34" t="s">
        <v>27</v>
      </c>
      <c r="K1605" s="34" t="s">
        <v>46</v>
      </c>
      <c r="L1605" s="34" t="s">
        <v>47</v>
      </c>
      <c r="M1605">
        <v>2.1000000000000001E-2</v>
      </c>
    </row>
    <row r="1606" spans="1:13" x14ac:dyDescent="0.3">
      <c r="A1606" s="34" t="s">
        <v>662</v>
      </c>
      <c r="B1606">
        <v>-1</v>
      </c>
      <c r="C1606">
        <v>2050</v>
      </c>
      <c r="D1606" s="34" t="s">
        <v>375</v>
      </c>
      <c r="E1606" s="34" t="s">
        <v>376</v>
      </c>
      <c r="F1606" s="34" t="s">
        <v>581</v>
      </c>
      <c r="G1606" s="34" t="s">
        <v>307</v>
      </c>
      <c r="H1606" s="34" t="s">
        <v>26</v>
      </c>
      <c r="I1606" s="34" t="s">
        <v>19</v>
      </c>
      <c r="J1606" s="34" t="s">
        <v>27</v>
      </c>
      <c r="K1606" s="34" t="s">
        <v>48</v>
      </c>
      <c r="L1606" s="34" t="s">
        <v>47</v>
      </c>
      <c r="M1606">
        <v>-2.1000000000000005E-2</v>
      </c>
    </row>
    <row r="1607" spans="1:13" x14ac:dyDescent="0.3">
      <c r="A1607" s="34" t="s">
        <v>662</v>
      </c>
      <c r="B1607">
        <v>-1</v>
      </c>
      <c r="C1607">
        <v>2050</v>
      </c>
      <c r="D1607" s="34" t="s">
        <v>375</v>
      </c>
      <c r="E1607" s="34" t="s">
        <v>376</v>
      </c>
      <c r="F1607" s="34" t="s">
        <v>581</v>
      </c>
      <c r="G1607" s="34" t="s">
        <v>52</v>
      </c>
      <c r="H1607" s="34" t="s">
        <v>53</v>
      </c>
      <c r="I1607" s="34" t="s">
        <v>19</v>
      </c>
      <c r="J1607" s="34" t="s">
        <v>27</v>
      </c>
      <c r="K1607" s="34" t="s">
        <v>46</v>
      </c>
      <c r="L1607" s="34" t="s">
        <v>47</v>
      </c>
      <c r="M1607">
        <v>4.7E-2</v>
      </c>
    </row>
    <row r="1608" spans="1:13" x14ac:dyDescent="0.3">
      <c r="A1608" s="34" t="s">
        <v>662</v>
      </c>
      <c r="B1608">
        <v>-1</v>
      </c>
      <c r="C1608">
        <v>2050</v>
      </c>
      <c r="D1608" s="34" t="s">
        <v>375</v>
      </c>
      <c r="E1608" s="34" t="s">
        <v>376</v>
      </c>
      <c r="F1608" s="34" t="s">
        <v>581</v>
      </c>
      <c r="G1608" s="34" t="s">
        <v>52</v>
      </c>
      <c r="H1608" s="34" t="s">
        <v>53</v>
      </c>
      <c r="I1608" s="34" t="s">
        <v>19</v>
      </c>
      <c r="J1608" s="34" t="s">
        <v>27</v>
      </c>
      <c r="K1608" s="34" t="s">
        <v>48</v>
      </c>
      <c r="L1608" s="34" t="s">
        <v>47</v>
      </c>
      <c r="M1608">
        <v>-4.7000000000000007E-2</v>
      </c>
    </row>
    <row r="1609" spans="1:13" x14ac:dyDescent="0.3">
      <c r="A1609" s="34" t="s">
        <v>662</v>
      </c>
      <c r="B1609">
        <v>-1</v>
      </c>
      <c r="C1609">
        <v>2050</v>
      </c>
      <c r="D1609" s="34" t="s">
        <v>375</v>
      </c>
      <c r="E1609" s="34" t="s">
        <v>376</v>
      </c>
      <c r="F1609" s="34" t="s">
        <v>635</v>
      </c>
      <c r="G1609" s="34" t="s">
        <v>28</v>
      </c>
      <c r="H1609" s="34" t="s">
        <v>23</v>
      </c>
      <c r="I1609" s="34" t="s">
        <v>19</v>
      </c>
      <c r="J1609" s="34" t="s">
        <v>24</v>
      </c>
      <c r="K1609" s="34" t="s">
        <v>46</v>
      </c>
      <c r="L1609" s="34" t="s">
        <v>47</v>
      </c>
      <c r="M1609">
        <v>0.17</v>
      </c>
    </row>
    <row r="1610" spans="1:13" x14ac:dyDescent="0.3">
      <c r="A1610" s="34" t="s">
        <v>662</v>
      </c>
      <c r="B1610">
        <v>-1</v>
      </c>
      <c r="C1610">
        <v>2050</v>
      </c>
      <c r="D1610" s="34" t="s">
        <v>375</v>
      </c>
      <c r="E1610" s="34" t="s">
        <v>376</v>
      </c>
      <c r="F1610" s="34" t="s">
        <v>635</v>
      </c>
      <c r="G1610" s="34" t="s">
        <v>28</v>
      </c>
      <c r="H1610" s="34" t="s">
        <v>23</v>
      </c>
      <c r="I1610" s="34" t="s">
        <v>19</v>
      </c>
      <c r="J1610" s="34" t="s">
        <v>24</v>
      </c>
      <c r="K1610" s="34" t="s">
        <v>48</v>
      </c>
      <c r="L1610" s="34" t="s">
        <v>47</v>
      </c>
      <c r="M1610">
        <v>-0.17</v>
      </c>
    </row>
    <row r="1611" spans="1:13" x14ac:dyDescent="0.3">
      <c r="A1611" s="34" t="s">
        <v>662</v>
      </c>
      <c r="B1611">
        <v>-1</v>
      </c>
      <c r="C1611">
        <v>2050</v>
      </c>
      <c r="D1611" s="34" t="s">
        <v>375</v>
      </c>
      <c r="E1611" s="34" t="s">
        <v>376</v>
      </c>
      <c r="F1611" s="34" t="s">
        <v>635</v>
      </c>
      <c r="G1611" s="34" t="s">
        <v>29</v>
      </c>
      <c r="H1611" s="34" t="s">
        <v>21</v>
      </c>
      <c r="I1611" s="34" t="s">
        <v>19</v>
      </c>
      <c r="J1611" s="34" t="s">
        <v>22</v>
      </c>
      <c r="K1611" s="34" t="s">
        <v>46</v>
      </c>
      <c r="L1611" s="34" t="s">
        <v>47</v>
      </c>
      <c r="M1611">
        <v>4.6200000000000005E-2</v>
      </c>
    </row>
    <row r="1612" spans="1:13" x14ac:dyDescent="0.3">
      <c r="A1612" s="34" t="s">
        <v>662</v>
      </c>
      <c r="B1612">
        <v>-1</v>
      </c>
      <c r="C1612">
        <v>2050</v>
      </c>
      <c r="D1612" s="34" t="s">
        <v>375</v>
      </c>
      <c r="E1612" s="34" t="s">
        <v>376</v>
      </c>
      <c r="F1612" s="34" t="s">
        <v>635</v>
      </c>
      <c r="G1612" s="34" t="s">
        <v>29</v>
      </c>
      <c r="H1612" s="34" t="s">
        <v>21</v>
      </c>
      <c r="I1612" s="34" t="s">
        <v>19</v>
      </c>
      <c r="J1612" s="34" t="s">
        <v>22</v>
      </c>
      <c r="K1612" s="34" t="s">
        <v>48</v>
      </c>
      <c r="L1612" s="34" t="s">
        <v>47</v>
      </c>
      <c r="M1612">
        <v>-4.6200000000000019E-2</v>
      </c>
    </row>
    <row r="1613" spans="1:13" x14ac:dyDescent="0.3">
      <c r="A1613" s="34" t="s">
        <v>662</v>
      </c>
      <c r="B1613">
        <v>-1</v>
      </c>
      <c r="C1613">
        <v>2050</v>
      </c>
      <c r="D1613" s="34" t="s">
        <v>375</v>
      </c>
      <c r="E1613" s="34" t="s">
        <v>376</v>
      </c>
      <c r="F1613" s="34" t="s">
        <v>635</v>
      </c>
      <c r="G1613" s="34" t="s">
        <v>20</v>
      </c>
      <c r="H1613" s="34" t="s">
        <v>21</v>
      </c>
      <c r="I1613" s="34" t="s">
        <v>19</v>
      </c>
      <c r="J1613" s="34" t="s">
        <v>22</v>
      </c>
      <c r="K1613" s="34" t="s">
        <v>46</v>
      </c>
      <c r="L1613" s="34" t="s">
        <v>47</v>
      </c>
      <c r="M1613">
        <v>0.10009999999999999</v>
      </c>
    </row>
    <row r="1614" spans="1:13" x14ac:dyDescent="0.3">
      <c r="A1614" s="34" t="s">
        <v>662</v>
      </c>
      <c r="B1614">
        <v>-1</v>
      </c>
      <c r="C1614">
        <v>2050</v>
      </c>
      <c r="D1614" s="34" t="s">
        <v>375</v>
      </c>
      <c r="E1614" s="34" t="s">
        <v>376</v>
      </c>
      <c r="F1614" s="34" t="s">
        <v>635</v>
      </c>
      <c r="G1614" s="34" t="s">
        <v>20</v>
      </c>
      <c r="H1614" s="34" t="s">
        <v>21</v>
      </c>
      <c r="I1614" s="34" t="s">
        <v>19</v>
      </c>
      <c r="J1614" s="34" t="s">
        <v>22</v>
      </c>
      <c r="K1614" s="34" t="s">
        <v>48</v>
      </c>
      <c r="L1614" s="34" t="s">
        <v>47</v>
      </c>
      <c r="M1614">
        <v>-0.10009999999999998</v>
      </c>
    </row>
    <row r="1615" spans="1:13" x14ac:dyDescent="0.3">
      <c r="A1615" s="34" t="s">
        <v>662</v>
      </c>
      <c r="B1615">
        <v>-1</v>
      </c>
      <c r="C1615">
        <v>2050</v>
      </c>
      <c r="D1615" s="34" t="s">
        <v>375</v>
      </c>
      <c r="E1615" s="34" t="s">
        <v>376</v>
      </c>
      <c r="F1615" s="34" t="s">
        <v>635</v>
      </c>
      <c r="G1615" s="34" t="s">
        <v>30</v>
      </c>
      <c r="H1615" s="34" t="s">
        <v>21</v>
      </c>
      <c r="I1615" s="34" t="s">
        <v>19</v>
      </c>
      <c r="J1615" s="34" t="s">
        <v>22</v>
      </c>
      <c r="K1615" s="34" t="s">
        <v>46</v>
      </c>
      <c r="L1615" s="34" t="s">
        <v>47</v>
      </c>
      <c r="M1615">
        <v>7.7000000000000002E-3</v>
      </c>
    </row>
    <row r="1616" spans="1:13" x14ac:dyDescent="0.3">
      <c r="A1616" s="34" t="s">
        <v>662</v>
      </c>
      <c r="B1616">
        <v>-1</v>
      </c>
      <c r="C1616">
        <v>2050</v>
      </c>
      <c r="D1616" s="34" t="s">
        <v>375</v>
      </c>
      <c r="E1616" s="34" t="s">
        <v>376</v>
      </c>
      <c r="F1616" s="34" t="s">
        <v>635</v>
      </c>
      <c r="G1616" s="34" t="s">
        <v>30</v>
      </c>
      <c r="H1616" s="34" t="s">
        <v>21</v>
      </c>
      <c r="I1616" s="34" t="s">
        <v>19</v>
      </c>
      <c r="J1616" s="34" t="s">
        <v>22</v>
      </c>
      <c r="K1616" s="34" t="s">
        <v>48</v>
      </c>
      <c r="L1616" s="34" t="s">
        <v>47</v>
      </c>
      <c r="M1616">
        <v>-7.6999999999999994E-3</v>
      </c>
    </row>
    <row r="1617" spans="1:13" x14ac:dyDescent="0.3">
      <c r="A1617" s="34" t="s">
        <v>662</v>
      </c>
      <c r="B1617">
        <v>-1</v>
      </c>
      <c r="C1617">
        <v>2050</v>
      </c>
      <c r="D1617" s="34" t="s">
        <v>375</v>
      </c>
      <c r="E1617" s="34" t="s">
        <v>376</v>
      </c>
      <c r="F1617" s="34" t="s">
        <v>635</v>
      </c>
      <c r="G1617" s="34" t="s">
        <v>644</v>
      </c>
      <c r="H1617" s="34" t="s">
        <v>21</v>
      </c>
      <c r="I1617" s="34" t="s">
        <v>19</v>
      </c>
      <c r="J1617" s="34" t="s">
        <v>22</v>
      </c>
      <c r="K1617" s="34" t="s">
        <v>49</v>
      </c>
      <c r="L1617" s="34" t="s">
        <v>47</v>
      </c>
      <c r="M1617">
        <v>0.66116066755188685</v>
      </c>
    </row>
    <row r="1618" spans="1:13" x14ac:dyDescent="0.3">
      <c r="A1618" s="34" t="s">
        <v>662</v>
      </c>
      <c r="B1618">
        <v>-1</v>
      </c>
      <c r="C1618">
        <v>2050</v>
      </c>
      <c r="D1618" s="34" t="s">
        <v>375</v>
      </c>
      <c r="E1618" s="34" t="s">
        <v>376</v>
      </c>
      <c r="F1618" s="34" t="s">
        <v>635</v>
      </c>
      <c r="G1618" s="34" t="s">
        <v>645</v>
      </c>
      <c r="H1618" s="34" t="s">
        <v>23</v>
      </c>
      <c r="I1618" s="34" t="s">
        <v>19</v>
      </c>
      <c r="J1618" s="34" t="s">
        <v>24</v>
      </c>
      <c r="K1618" s="34" t="s">
        <v>49</v>
      </c>
      <c r="L1618" s="34" t="s">
        <v>47</v>
      </c>
      <c r="M1618">
        <v>1</v>
      </c>
    </row>
    <row r="1619" spans="1:13" x14ac:dyDescent="0.3">
      <c r="A1619" s="34" t="s">
        <v>662</v>
      </c>
      <c r="B1619">
        <v>-1</v>
      </c>
      <c r="C1619">
        <v>2050</v>
      </c>
      <c r="D1619" s="34" t="s">
        <v>377</v>
      </c>
      <c r="E1619" s="34" t="s">
        <v>378</v>
      </c>
      <c r="F1619" s="34" t="s">
        <v>582</v>
      </c>
      <c r="G1619" s="34" t="s">
        <v>31</v>
      </c>
      <c r="H1619" s="34" t="s">
        <v>18</v>
      </c>
      <c r="I1619" s="34" t="s">
        <v>19</v>
      </c>
      <c r="J1619" s="34" t="s">
        <v>32</v>
      </c>
      <c r="K1619" s="34" t="s">
        <v>46</v>
      </c>
      <c r="L1619" s="34" t="s">
        <v>47</v>
      </c>
      <c r="M1619">
        <v>1.6759999999999999</v>
      </c>
    </row>
    <row r="1620" spans="1:13" x14ac:dyDescent="0.3">
      <c r="A1620" s="34" t="s">
        <v>662</v>
      </c>
      <c r="B1620">
        <v>-1</v>
      </c>
      <c r="C1620">
        <v>2050</v>
      </c>
      <c r="D1620" s="34" t="s">
        <v>377</v>
      </c>
      <c r="E1620" s="34" t="s">
        <v>378</v>
      </c>
      <c r="F1620" s="34" t="s">
        <v>582</v>
      </c>
      <c r="G1620" s="34" t="s">
        <v>180</v>
      </c>
      <c r="H1620" s="34" t="s">
        <v>18</v>
      </c>
      <c r="I1620" s="34" t="s">
        <v>19</v>
      </c>
      <c r="J1620" s="34" t="s">
        <v>181</v>
      </c>
      <c r="K1620" s="34" t="s">
        <v>46</v>
      </c>
      <c r="L1620" s="34" t="s">
        <v>47</v>
      </c>
      <c r="M1620">
        <v>0.52700000000000002</v>
      </c>
    </row>
    <row r="1621" spans="1:13" x14ac:dyDescent="0.3">
      <c r="A1621" s="34" t="s">
        <v>662</v>
      </c>
      <c r="B1621">
        <v>-1</v>
      </c>
      <c r="C1621">
        <v>2050</v>
      </c>
      <c r="D1621" s="34" t="s">
        <v>377</v>
      </c>
      <c r="E1621" s="34" t="s">
        <v>378</v>
      </c>
      <c r="F1621" s="34" t="s">
        <v>582</v>
      </c>
      <c r="G1621" s="34" t="s">
        <v>276</v>
      </c>
      <c r="H1621" s="34" t="s">
        <v>237</v>
      </c>
      <c r="I1621" s="34" t="s">
        <v>19</v>
      </c>
      <c r="J1621" s="34" t="s">
        <v>27</v>
      </c>
      <c r="K1621" s="34" t="s">
        <v>46</v>
      </c>
      <c r="L1621" s="34" t="s">
        <v>47</v>
      </c>
      <c r="M1621">
        <v>9.7000000000000003E-2</v>
      </c>
    </row>
    <row r="1622" spans="1:13" x14ac:dyDescent="0.3">
      <c r="A1622" s="34" t="s">
        <v>662</v>
      </c>
      <c r="B1622">
        <v>-1</v>
      </c>
      <c r="C1622">
        <v>2050</v>
      </c>
      <c r="D1622" s="34" t="s">
        <v>377</v>
      </c>
      <c r="E1622" s="34" t="s">
        <v>378</v>
      </c>
      <c r="F1622" s="34" t="s">
        <v>582</v>
      </c>
      <c r="G1622" s="34" t="s">
        <v>276</v>
      </c>
      <c r="H1622" s="34" t="s">
        <v>237</v>
      </c>
      <c r="I1622" s="34" t="s">
        <v>19</v>
      </c>
      <c r="J1622" s="34" t="s">
        <v>27</v>
      </c>
      <c r="K1622" s="34" t="s">
        <v>48</v>
      </c>
      <c r="L1622" s="34" t="s">
        <v>47</v>
      </c>
      <c r="M1622">
        <v>-9.6999999999999989E-2</v>
      </c>
    </row>
    <row r="1623" spans="1:13" x14ac:dyDescent="0.3">
      <c r="A1623" s="34" t="s">
        <v>662</v>
      </c>
      <c r="B1623">
        <v>-1</v>
      </c>
      <c r="C1623">
        <v>2050</v>
      </c>
      <c r="D1623" s="34" t="s">
        <v>377</v>
      </c>
      <c r="E1623" s="34" t="s">
        <v>378</v>
      </c>
      <c r="F1623" s="34" t="s">
        <v>636</v>
      </c>
      <c r="G1623" s="34" t="s">
        <v>644</v>
      </c>
      <c r="H1623" s="34" t="s">
        <v>21</v>
      </c>
      <c r="I1623" s="34" t="s">
        <v>19</v>
      </c>
      <c r="J1623" s="34" t="s">
        <v>22</v>
      </c>
      <c r="K1623" s="34" t="s">
        <v>49</v>
      </c>
      <c r="L1623" s="34" t="s">
        <v>47</v>
      </c>
      <c r="M1623">
        <v>2</v>
      </c>
    </row>
    <row r="1624" spans="1:13" x14ac:dyDescent="0.3">
      <c r="A1624" s="34" t="s">
        <v>662</v>
      </c>
      <c r="B1624">
        <v>-1</v>
      </c>
      <c r="C1624">
        <v>2050</v>
      </c>
      <c r="D1624" s="34" t="s">
        <v>379</v>
      </c>
      <c r="E1624" s="34" t="s">
        <v>380</v>
      </c>
      <c r="F1624" s="34" t="s">
        <v>583</v>
      </c>
      <c r="G1624" s="34" t="s">
        <v>31</v>
      </c>
      <c r="H1624" s="34" t="s">
        <v>18</v>
      </c>
      <c r="I1624" s="34" t="s">
        <v>19</v>
      </c>
      <c r="J1624" s="34" t="s">
        <v>32</v>
      </c>
      <c r="K1624" s="34" t="s">
        <v>46</v>
      </c>
      <c r="L1624" s="34" t="s">
        <v>47</v>
      </c>
      <c r="M1624">
        <v>0.34200000000000003</v>
      </c>
    </row>
    <row r="1625" spans="1:13" x14ac:dyDescent="0.3">
      <c r="A1625" s="34" t="s">
        <v>662</v>
      </c>
      <c r="B1625">
        <v>-1</v>
      </c>
      <c r="C1625">
        <v>2050</v>
      </c>
      <c r="D1625" s="34" t="s">
        <v>379</v>
      </c>
      <c r="E1625" s="34" t="s">
        <v>380</v>
      </c>
      <c r="F1625" s="34" t="s">
        <v>583</v>
      </c>
      <c r="G1625" s="34" t="s">
        <v>180</v>
      </c>
      <c r="H1625" s="34" t="s">
        <v>18</v>
      </c>
      <c r="I1625" s="34" t="s">
        <v>19</v>
      </c>
      <c r="J1625" s="34" t="s">
        <v>181</v>
      </c>
      <c r="K1625" s="34" t="s">
        <v>46</v>
      </c>
      <c r="L1625" s="34" t="s">
        <v>47</v>
      </c>
      <c r="M1625">
        <v>0.307</v>
      </c>
    </row>
    <row r="1626" spans="1:13" x14ac:dyDescent="0.3">
      <c r="A1626" s="34" t="s">
        <v>662</v>
      </c>
      <c r="B1626">
        <v>-1</v>
      </c>
      <c r="C1626">
        <v>2050</v>
      </c>
      <c r="D1626" s="34" t="s">
        <v>379</v>
      </c>
      <c r="E1626" s="34" t="s">
        <v>380</v>
      </c>
      <c r="F1626" s="34" t="s">
        <v>583</v>
      </c>
      <c r="G1626" s="34" t="s">
        <v>54</v>
      </c>
      <c r="H1626" s="34" t="s">
        <v>39</v>
      </c>
      <c r="I1626" s="34" t="s">
        <v>19</v>
      </c>
      <c r="J1626" s="34" t="s">
        <v>27</v>
      </c>
      <c r="K1626" s="34" t="s">
        <v>46</v>
      </c>
      <c r="L1626" s="34" t="s">
        <v>47</v>
      </c>
      <c r="M1626">
        <v>0.21</v>
      </c>
    </row>
    <row r="1627" spans="1:13" x14ac:dyDescent="0.3">
      <c r="A1627" s="34" t="s">
        <v>662</v>
      </c>
      <c r="B1627">
        <v>-1</v>
      </c>
      <c r="C1627">
        <v>2050</v>
      </c>
      <c r="D1627" s="34" t="s">
        <v>379</v>
      </c>
      <c r="E1627" s="34" t="s">
        <v>380</v>
      </c>
      <c r="F1627" s="34" t="s">
        <v>583</v>
      </c>
      <c r="G1627" s="34" t="s">
        <v>54</v>
      </c>
      <c r="H1627" s="34" t="s">
        <v>39</v>
      </c>
      <c r="I1627" s="34" t="s">
        <v>19</v>
      </c>
      <c r="J1627" s="34" t="s">
        <v>27</v>
      </c>
      <c r="K1627" s="34" t="s">
        <v>48</v>
      </c>
      <c r="L1627" s="34" t="s">
        <v>47</v>
      </c>
      <c r="M1627">
        <v>-0.21</v>
      </c>
    </row>
    <row r="1628" spans="1:13" x14ac:dyDescent="0.3">
      <c r="A1628" s="34" t="s">
        <v>662</v>
      </c>
      <c r="B1628">
        <v>-1</v>
      </c>
      <c r="C1628">
        <v>2050</v>
      </c>
      <c r="D1628" s="34" t="s">
        <v>379</v>
      </c>
      <c r="E1628" s="34" t="s">
        <v>380</v>
      </c>
      <c r="F1628" s="34" t="s">
        <v>637</v>
      </c>
      <c r="G1628" s="34" t="s">
        <v>29</v>
      </c>
      <c r="H1628" s="34" t="s">
        <v>21</v>
      </c>
      <c r="I1628" s="34" t="s">
        <v>19</v>
      </c>
      <c r="J1628" s="34" t="s">
        <v>22</v>
      </c>
      <c r="K1628" s="34" t="s">
        <v>46</v>
      </c>
      <c r="L1628" s="34" t="s">
        <v>47</v>
      </c>
      <c r="M1628">
        <v>3.5400000000000001E-2</v>
      </c>
    </row>
    <row r="1629" spans="1:13" x14ac:dyDescent="0.3">
      <c r="A1629" s="34" t="s">
        <v>662</v>
      </c>
      <c r="B1629">
        <v>-1</v>
      </c>
      <c r="C1629">
        <v>2050</v>
      </c>
      <c r="D1629" s="34" t="s">
        <v>379</v>
      </c>
      <c r="E1629" s="34" t="s">
        <v>380</v>
      </c>
      <c r="F1629" s="34" t="s">
        <v>637</v>
      </c>
      <c r="G1629" s="34" t="s">
        <v>29</v>
      </c>
      <c r="H1629" s="34" t="s">
        <v>21</v>
      </c>
      <c r="I1629" s="34" t="s">
        <v>19</v>
      </c>
      <c r="J1629" s="34" t="s">
        <v>22</v>
      </c>
      <c r="K1629" s="34" t="s">
        <v>48</v>
      </c>
      <c r="L1629" s="34" t="s">
        <v>47</v>
      </c>
      <c r="M1629">
        <v>-3.5400000000000008E-2</v>
      </c>
    </row>
    <row r="1630" spans="1:13" x14ac:dyDescent="0.3">
      <c r="A1630" s="34" t="s">
        <v>662</v>
      </c>
      <c r="B1630">
        <v>-1</v>
      </c>
      <c r="C1630">
        <v>2050</v>
      </c>
      <c r="D1630" s="34" t="s">
        <v>379</v>
      </c>
      <c r="E1630" s="34" t="s">
        <v>380</v>
      </c>
      <c r="F1630" s="34" t="s">
        <v>637</v>
      </c>
      <c r="G1630" s="34" t="s">
        <v>20</v>
      </c>
      <c r="H1630" s="34" t="s">
        <v>21</v>
      </c>
      <c r="I1630" s="34" t="s">
        <v>19</v>
      </c>
      <c r="J1630" s="34" t="s">
        <v>22</v>
      </c>
      <c r="K1630" s="34" t="s">
        <v>46</v>
      </c>
      <c r="L1630" s="34" t="s">
        <v>47</v>
      </c>
      <c r="M1630">
        <v>7.6700000000000004E-2</v>
      </c>
    </row>
    <row r="1631" spans="1:13" x14ac:dyDescent="0.3">
      <c r="A1631" s="34" t="s">
        <v>662</v>
      </c>
      <c r="B1631">
        <v>-1</v>
      </c>
      <c r="C1631">
        <v>2050</v>
      </c>
      <c r="D1631" s="34" t="s">
        <v>379</v>
      </c>
      <c r="E1631" s="34" t="s">
        <v>380</v>
      </c>
      <c r="F1631" s="34" t="s">
        <v>637</v>
      </c>
      <c r="G1631" s="34" t="s">
        <v>20</v>
      </c>
      <c r="H1631" s="34" t="s">
        <v>21</v>
      </c>
      <c r="I1631" s="34" t="s">
        <v>19</v>
      </c>
      <c r="J1631" s="34" t="s">
        <v>22</v>
      </c>
      <c r="K1631" s="34" t="s">
        <v>48</v>
      </c>
      <c r="L1631" s="34" t="s">
        <v>47</v>
      </c>
      <c r="M1631">
        <v>-7.669999999999999E-2</v>
      </c>
    </row>
    <row r="1632" spans="1:13" x14ac:dyDescent="0.3">
      <c r="A1632" s="34" t="s">
        <v>662</v>
      </c>
      <c r="B1632">
        <v>-1</v>
      </c>
      <c r="C1632">
        <v>2050</v>
      </c>
      <c r="D1632" s="34" t="s">
        <v>379</v>
      </c>
      <c r="E1632" s="34" t="s">
        <v>380</v>
      </c>
      <c r="F1632" s="34" t="s">
        <v>637</v>
      </c>
      <c r="G1632" s="34" t="s">
        <v>30</v>
      </c>
      <c r="H1632" s="34" t="s">
        <v>21</v>
      </c>
      <c r="I1632" s="34" t="s">
        <v>19</v>
      </c>
      <c r="J1632" s="34" t="s">
        <v>22</v>
      </c>
      <c r="K1632" s="34" t="s">
        <v>46</v>
      </c>
      <c r="L1632" s="34" t="s">
        <v>47</v>
      </c>
      <c r="M1632">
        <v>5.9000000000000007E-3</v>
      </c>
    </row>
    <row r="1633" spans="1:13" x14ac:dyDescent="0.3">
      <c r="A1633" s="34" t="s">
        <v>662</v>
      </c>
      <c r="B1633">
        <v>-1</v>
      </c>
      <c r="C1633">
        <v>2050</v>
      </c>
      <c r="D1633" s="34" t="s">
        <v>379</v>
      </c>
      <c r="E1633" s="34" t="s">
        <v>380</v>
      </c>
      <c r="F1633" s="34" t="s">
        <v>637</v>
      </c>
      <c r="G1633" s="34" t="s">
        <v>30</v>
      </c>
      <c r="H1633" s="34" t="s">
        <v>21</v>
      </c>
      <c r="I1633" s="34" t="s">
        <v>19</v>
      </c>
      <c r="J1633" s="34" t="s">
        <v>22</v>
      </c>
      <c r="K1633" s="34" t="s">
        <v>48</v>
      </c>
      <c r="L1633" s="34" t="s">
        <v>47</v>
      </c>
      <c r="M1633">
        <v>-5.9000000000000007E-3</v>
      </c>
    </row>
    <row r="1634" spans="1:13" x14ac:dyDescent="0.3">
      <c r="A1634" s="34" t="s">
        <v>662</v>
      </c>
      <c r="B1634">
        <v>-1</v>
      </c>
      <c r="C1634">
        <v>2050</v>
      </c>
      <c r="D1634" s="34" t="s">
        <v>379</v>
      </c>
      <c r="E1634" s="34" t="s">
        <v>380</v>
      </c>
      <c r="F1634" s="34" t="s">
        <v>637</v>
      </c>
      <c r="G1634" s="34" t="s">
        <v>644</v>
      </c>
      <c r="H1634" s="34" t="s">
        <v>21</v>
      </c>
      <c r="I1634" s="34" t="s">
        <v>19</v>
      </c>
      <c r="J1634" s="34" t="s">
        <v>22</v>
      </c>
      <c r="K1634" s="34" t="s">
        <v>49</v>
      </c>
      <c r="L1634" s="34" t="s">
        <v>47</v>
      </c>
      <c r="M1634">
        <v>0.39999999999999997</v>
      </c>
    </row>
    <row r="1635" spans="1:13" x14ac:dyDescent="0.3">
      <c r="A1635" s="34" t="s">
        <v>662</v>
      </c>
      <c r="B1635">
        <v>-1</v>
      </c>
      <c r="C1635">
        <v>2050</v>
      </c>
      <c r="D1635" s="34" t="s">
        <v>381</v>
      </c>
      <c r="E1635" s="34" t="s">
        <v>382</v>
      </c>
      <c r="F1635" s="34" t="s">
        <v>584</v>
      </c>
      <c r="G1635" s="34" t="s">
        <v>43</v>
      </c>
      <c r="H1635" s="34" t="s">
        <v>40</v>
      </c>
      <c r="I1635" s="34" t="s">
        <v>19</v>
      </c>
      <c r="J1635" s="34" t="s">
        <v>27</v>
      </c>
      <c r="K1635" s="34" t="s">
        <v>46</v>
      </c>
      <c r="L1635" s="34" t="s">
        <v>47</v>
      </c>
      <c r="M1635">
        <v>0.251</v>
      </c>
    </row>
    <row r="1636" spans="1:13" x14ac:dyDescent="0.3">
      <c r="A1636" s="34" t="s">
        <v>662</v>
      </c>
      <c r="B1636">
        <v>-1</v>
      </c>
      <c r="C1636">
        <v>2050</v>
      </c>
      <c r="D1636" s="34" t="s">
        <v>381</v>
      </c>
      <c r="E1636" s="34" t="s">
        <v>382</v>
      </c>
      <c r="F1636" s="34" t="s">
        <v>584</v>
      </c>
      <c r="G1636" s="34" t="s">
        <v>43</v>
      </c>
      <c r="H1636" s="34" t="s">
        <v>40</v>
      </c>
      <c r="I1636" s="34" t="s">
        <v>19</v>
      </c>
      <c r="J1636" s="34" t="s">
        <v>27</v>
      </c>
      <c r="K1636" s="34" t="s">
        <v>48</v>
      </c>
      <c r="L1636" s="34" t="s">
        <v>47</v>
      </c>
      <c r="M1636">
        <v>-0.25100000000000011</v>
      </c>
    </row>
    <row r="1637" spans="1:13" x14ac:dyDescent="0.3">
      <c r="A1637" s="34" t="s">
        <v>662</v>
      </c>
      <c r="B1637">
        <v>-1</v>
      </c>
      <c r="C1637">
        <v>2050</v>
      </c>
      <c r="D1637" s="34" t="s">
        <v>381</v>
      </c>
      <c r="E1637" s="34" t="s">
        <v>382</v>
      </c>
      <c r="F1637" s="34" t="s">
        <v>584</v>
      </c>
      <c r="G1637" s="34" t="s">
        <v>180</v>
      </c>
      <c r="H1637" s="34" t="s">
        <v>18</v>
      </c>
      <c r="I1637" s="34" t="s">
        <v>19</v>
      </c>
      <c r="J1637" s="34" t="s">
        <v>181</v>
      </c>
      <c r="K1637" s="34" t="s">
        <v>46</v>
      </c>
      <c r="L1637" s="34" t="s">
        <v>47</v>
      </c>
      <c r="M1637">
        <v>0.50600000000000001</v>
      </c>
    </row>
    <row r="1638" spans="1:13" x14ac:dyDescent="0.3">
      <c r="A1638" s="34" t="s">
        <v>662</v>
      </c>
      <c r="B1638">
        <v>-1</v>
      </c>
      <c r="C1638">
        <v>2050</v>
      </c>
      <c r="D1638" s="34" t="s">
        <v>381</v>
      </c>
      <c r="E1638" s="34" t="s">
        <v>382</v>
      </c>
      <c r="F1638" s="34" t="s">
        <v>584</v>
      </c>
      <c r="G1638" s="34" t="s">
        <v>54</v>
      </c>
      <c r="H1638" s="34" t="s">
        <v>39</v>
      </c>
      <c r="I1638" s="34" t="s">
        <v>19</v>
      </c>
      <c r="J1638" s="34" t="s">
        <v>27</v>
      </c>
      <c r="K1638" s="34" t="s">
        <v>46</v>
      </c>
      <c r="L1638" s="34" t="s">
        <v>47</v>
      </c>
      <c r="M1638">
        <v>0.82400000000000007</v>
      </c>
    </row>
    <row r="1639" spans="1:13" x14ac:dyDescent="0.3">
      <c r="A1639" s="34" t="s">
        <v>662</v>
      </c>
      <c r="B1639">
        <v>-1</v>
      </c>
      <c r="C1639">
        <v>2050</v>
      </c>
      <c r="D1639" s="34" t="s">
        <v>381</v>
      </c>
      <c r="E1639" s="34" t="s">
        <v>382</v>
      </c>
      <c r="F1639" s="34" t="s">
        <v>584</v>
      </c>
      <c r="G1639" s="34" t="s">
        <v>54</v>
      </c>
      <c r="H1639" s="34" t="s">
        <v>39</v>
      </c>
      <c r="I1639" s="34" t="s">
        <v>19</v>
      </c>
      <c r="J1639" s="34" t="s">
        <v>27</v>
      </c>
      <c r="K1639" s="34" t="s">
        <v>48</v>
      </c>
      <c r="L1639" s="34" t="s">
        <v>47</v>
      </c>
      <c r="M1639">
        <v>-0.82400000000000018</v>
      </c>
    </row>
    <row r="1640" spans="1:13" x14ac:dyDescent="0.3">
      <c r="A1640" s="34" t="s">
        <v>662</v>
      </c>
      <c r="B1640">
        <v>-1</v>
      </c>
      <c r="C1640">
        <v>2050</v>
      </c>
      <c r="D1640" s="34" t="s">
        <v>381</v>
      </c>
      <c r="E1640" s="34" t="s">
        <v>382</v>
      </c>
      <c r="F1640" s="34" t="s">
        <v>638</v>
      </c>
      <c r="G1640" s="34" t="s">
        <v>29</v>
      </c>
      <c r="H1640" s="34" t="s">
        <v>21</v>
      </c>
      <c r="I1640" s="34" t="s">
        <v>19</v>
      </c>
      <c r="J1640" s="34" t="s">
        <v>22</v>
      </c>
      <c r="K1640" s="34" t="s">
        <v>46</v>
      </c>
      <c r="L1640" s="34" t="s">
        <v>47</v>
      </c>
      <c r="M1640">
        <v>1.0500000000000001E-2</v>
      </c>
    </row>
    <row r="1641" spans="1:13" x14ac:dyDescent="0.3">
      <c r="A1641" s="34" t="s">
        <v>662</v>
      </c>
      <c r="B1641">
        <v>-1</v>
      </c>
      <c r="C1641">
        <v>2050</v>
      </c>
      <c r="D1641" s="34" t="s">
        <v>381</v>
      </c>
      <c r="E1641" s="34" t="s">
        <v>382</v>
      </c>
      <c r="F1641" s="34" t="s">
        <v>638</v>
      </c>
      <c r="G1641" s="34" t="s">
        <v>29</v>
      </c>
      <c r="H1641" s="34" t="s">
        <v>21</v>
      </c>
      <c r="I1641" s="34" t="s">
        <v>19</v>
      </c>
      <c r="J1641" s="34" t="s">
        <v>22</v>
      </c>
      <c r="K1641" s="34" t="s">
        <v>48</v>
      </c>
      <c r="L1641" s="34" t="s">
        <v>47</v>
      </c>
      <c r="M1641">
        <v>-1.0500000000000001E-2</v>
      </c>
    </row>
    <row r="1642" spans="1:13" x14ac:dyDescent="0.3">
      <c r="A1642" s="34" t="s">
        <v>662</v>
      </c>
      <c r="B1642">
        <v>-1</v>
      </c>
      <c r="C1642">
        <v>2050</v>
      </c>
      <c r="D1642" s="34" t="s">
        <v>381</v>
      </c>
      <c r="E1642" s="34" t="s">
        <v>382</v>
      </c>
      <c r="F1642" s="34" t="s">
        <v>638</v>
      </c>
      <c r="G1642" s="34" t="s">
        <v>20</v>
      </c>
      <c r="H1642" s="34" t="s">
        <v>21</v>
      </c>
      <c r="I1642" s="34" t="s">
        <v>19</v>
      </c>
      <c r="J1642" s="34" t="s">
        <v>22</v>
      </c>
      <c r="K1642" s="34" t="s">
        <v>46</v>
      </c>
      <c r="L1642" s="34" t="s">
        <v>47</v>
      </c>
      <c r="M1642">
        <v>2.2749999999999999E-2</v>
      </c>
    </row>
    <row r="1643" spans="1:13" x14ac:dyDescent="0.3">
      <c r="A1643" s="34" t="s">
        <v>662</v>
      </c>
      <c r="B1643">
        <v>-1</v>
      </c>
      <c r="C1643">
        <v>2050</v>
      </c>
      <c r="D1643" s="34" t="s">
        <v>381</v>
      </c>
      <c r="E1643" s="34" t="s">
        <v>382</v>
      </c>
      <c r="F1643" s="34" t="s">
        <v>638</v>
      </c>
      <c r="G1643" s="34" t="s">
        <v>20</v>
      </c>
      <c r="H1643" s="34" t="s">
        <v>21</v>
      </c>
      <c r="I1643" s="34" t="s">
        <v>19</v>
      </c>
      <c r="J1643" s="34" t="s">
        <v>22</v>
      </c>
      <c r="K1643" s="34" t="s">
        <v>48</v>
      </c>
      <c r="L1643" s="34" t="s">
        <v>47</v>
      </c>
      <c r="M1643">
        <v>-2.2749999999999996E-2</v>
      </c>
    </row>
    <row r="1644" spans="1:13" x14ac:dyDescent="0.3">
      <c r="A1644" s="34" t="s">
        <v>662</v>
      </c>
      <c r="B1644">
        <v>-1</v>
      </c>
      <c r="C1644">
        <v>2050</v>
      </c>
      <c r="D1644" s="34" t="s">
        <v>381</v>
      </c>
      <c r="E1644" s="34" t="s">
        <v>382</v>
      </c>
      <c r="F1644" s="34" t="s">
        <v>638</v>
      </c>
      <c r="G1644" s="34" t="s">
        <v>30</v>
      </c>
      <c r="H1644" s="34" t="s">
        <v>21</v>
      </c>
      <c r="I1644" s="34" t="s">
        <v>19</v>
      </c>
      <c r="J1644" s="34" t="s">
        <v>22</v>
      </c>
      <c r="K1644" s="34" t="s">
        <v>46</v>
      </c>
      <c r="L1644" s="34" t="s">
        <v>47</v>
      </c>
      <c r="M1644">
        <v>1.75E-3</v>
      </c>
    </row>
    <row r="1645" spans="1:13" x14ac:dyDescent="0.3">
      <c r="A1645" s="34" t="s">
        <v>662</v>
      </c>
      <c r="B1645">
        <v>-1</v>
      </c>
      <c r="C1645">
        <v>2050</v>
      </c>
      <c r="D1645" s="34" t="s">
        <v>381</v>
      </c>
      <c r="E1645" s="34" t="s">
        <v>382</v>
      </c>
      <c r="F1645" s="34" t="s">
        <v>638</v>
      </c>
      <c r="G1645" s="34" t="s">
        <v>30</v>
      </c>
      <c r="H1645" s="34" t="s">
        <v>21</v>
      </c>
      <c r="I1645" s="34" t="s">
        <v>19</v>
      </c>
      <c r="J1645" s="34" t="s">
        <v>22</v>
      </c>
      <c r="K1645" s="34" t="s">
        <v>48</v>
      </c>
      <c r="L1645" s="34" t="s">
        <v>47</v>
      </c>
      <c r="M1645">
        <v>-1.7499999999999998E-3</v>
      </c>
    </row>
    <row r="1646" spans="1:13" x14ac:dyDescent="0.3">
      <c r="A1646" s="34" t="s">
        <v>662</v>
      </c>
      <c r="B1646">
        <v>-1</v>
      </c>
      <c r="C1646">
        <v>2050</v>
      </c>
      <c r="D1646" s="34" t="s">
        <v>381</v>
      </c>
      <c r="E1646" s="34" t="s">
        <v>382</v>
      </c>
      <c r="F1646" s="34" t="s">
        <v>638</v>
      </c>
      <c r="G1646" s="34" t="s">
        <v>645</v>
      </c>
      <c r="H1646" s="34" t="s">
        <v>23</v>
      </c>
      <c r="I1646" s="34" t="s">
        <v>19</v>
      </c>
      <c r="J1646" s="34" t="s">
        <v>24</v>
      </c>
      <c r="K1646" s="34" t="s">
        <v>49</v>
      </c>
      <c r="L1646" s="34" t="s">
        <v>47</v>
      </c>
      <c r="M1646">
        <v>0.25789280557239869</v>
      </c>
    </row>
    <row r="1647" spans="1:13" x14ac:dyDescent="0.3">
      <c r="A1647" s="34" t="s">
        <v>662</v>
      </c>
      <c r="B1647">
        <v>-1</v>
      </c>
      <c r="C1647">
        <v>2050</v>
      </c>
      <c r="D1647" s="34" t="s">
        <v>383</v>
      </c>
      <c r="E1647" s="34" t="s">
        <v>384</v>
      </c>
      <c r="F1647" s="34" t="s">
        <v>585</v>
      </c>
      <c r="G1647" s="34" t="s">
        <v>319</v>
      </c>
      <c r="H1647" s="34" t="s">
        <v>12</v>
      </c>
      <c r="I1647" s="34" t="s">
        <v>19</v>
      </c>
      <c r="J1647" s="34" t="s">
        <v>258</v>
      </c>
      <c r="K1647" s="34" t="s">
        <v>46</v>
      </c>
      <c r="L1647" s="34" t="s">
        <v>47</v>
      </c>
      <c r="M1647">
        <v>4.6808510638297871E-2</v>
      </c>
    </row>
    <row r="1648" spans="1:13" x14ac:dyDescent="0.3">
      <c r="A1648" s="34" t="s">
        <v>662</v>
      </c>
      <c r="B1648">
        <v>-1</v>
      </c>
      <c r="C1648">
        <v>2050</v>
      </c>
      <c r="D1648" s="34" t="s">
        <v>383</v>
      </c>
      <c r="E1648" s="34" t="s">
        <v>384</v>
      </c>
      <c r="F1648" s="34" t="s">
        <v>585</v>
      </c>
      <c r="G1648" s="34" t="s">
        <v>31</v>
      </c>
      <c r="H1648" s="34" t="s">
        <v>18</v>
      </c>
      <c r="I1648" s="34" t="s">
        <v>19</v>
      </c>
      <c r="J1648" s="34" t="s">
        <v>32</v>
      </c>
      <c r="K1648" s="34" t="s">
        <v>46</v>
      </c>
      <c r="L1648" s="34" t="s">
        <v>47</v>
      </c>
      <c r="M1648">
        <v>0.70699999999999996</v>
      </c>
    </row>
    <row r="1649" spans="1:13" x14ac:dyDescent="0.3">
      <c r="A1649" s="34" t="s">
        <v>662</v>
      </c>
      <c r="B1649">
        <v>-1</v>
      </c>
      <c r="C1649">
        <v>2050</v>
      </c>
      <c r="D1649" s="34" t="s">
        <v>383</v>
      </c>
      <c r="E1649" s="34" t="s">
        <v>384</v>
      </c>
      <c r="F1649" s="34" t="s">
        <v>585</v>
      </c>
      <c r="G1649" s="34" t="s">
        <v>180</v>
      </c>
      <c r="H1649" s="34" t="s">
        <v>18</v>
      </c>
      <c r="I1649" s="34" t="s">
        <v>19</v>
      </c>
      <c r="J1649" s="34" t="s">
        <v>181</v>
      </c>
      <c r="K1649" s="34" t="s">
        <v>46</v>
      </c>
      <c r="L1649" s="34" t="s">
        <v>47</v>
      </c>
      <c r="M1649">
        <v>1.083</v>
      </c>
    </row>
    <row r="1650" spans="1:13" x14ac:dyDescent="0.3">
      <c r="A1650" s="34" t="s">
        <v>662</v>
      </c>
      <c r="B1650">
        <v>-1</v>
      </c>
      <c r="C1650">
        <v>2050</v>
      </c>
      <c r="D1650" s="34" t="s">
        <v>383</v>
      </c>
      <c r="E1650" s="34" t="s">
        <v>384</v>
      </c>
      <c r="F1650" s="34" t="s">
        <v>585</v>
      </c>
      <c r="G1650" s="34" t="s">
        <v>54</v>
      </c>
      <c r="H1650" s="34" t="s">
        <v>39</v>
      </c>
      <c r="I1650" s="34" t="s">
        <v>19</v>
      </c>
      <c r="J1650" s="34" t="s">
        <v>27</v>
      </c>
      <c r="K1650" s="34" t="s">
        <v>46</v>
      </c>
      <c r="L1650" s="34" t="s">
        <v>47</v>
      </c>
      <c r="M1650">
        <v>1.875</v>
      </c>
    </row>
    <row r="1651" spans="1:13" x14ac:dyDescent="0.3">
      <c r="A1651" s="34" t="s">
        <v>662</v>
      </c>
      <c r="B1651">
        <v>-1</v>
      </c>
      <c r="C1651">
        <v>2050</v>
      </c>
      <c r="D1651" s="34" t="s">
        <v>383</v>
      </c>
      <c r="E1651" s="34" t="s">
        <v>384</v>
      </c>
      <c r="F1651" s="34" t="s">
        <v>585</v>
      </c>
      <c r="G1651" s="34" t="s">
        <v>54</v>
      </c>
      <c r="H1651" s="34" t="s">
        <v>39</v>
      </c>
      <c r="I1651" s="34" t="s">
        <v>19</v>
      </c>
      <c r="J1651" s="34" t="s">
        <v>27</v>
      </c>
      <c r="K1651" s="34" t="s">
        <v>48</v>
      </c>
      <c r="L1651" s="34" t="s">
        <v>47</v>
      </c>
      <c r="M1651">
        <v>-1.875</v>
      </c>
    </row>
    <row r="1652" spans="1:13" x14ac:dyDescent="0.3">
      <c r="A1652" s="34" t="s">
        <v>662</v>
      </c>
      <c r="B1652">
        <v>-1</v>
      </c>
      <c r="C1652">
        <v>2050</v>
      </c>
      <c r="D1652" s="34" t="s">
        <v>383</v>
      </c>
      <c r="E1652" s="34" t="s">
        <v>384</v>
      </c>
      <c r="F1652" s="34" t="s">
        <v>639</v>
      </c>
      <c r="G1652" s="34" t="s">
        <v>29</v>
      </c>
      <c r="H1652" s="34" t="s">
        <v>21</v>
      </c>
      <c r="I1652" s="34" t="s">
        <v>19</v>
      </c>
      <c r="J1652" s="34" t="s">
        <v>22</v>
      </c>
      <c r="K1652" s="34" t="s">
        <v>46</v>
      </c>
      <c r="L1652" s="34" t="s">
        <v>47</v>
      </c>
      <c r="M1652">
        <v>2.6100000000000002E-2</v>
      </c>
    </row>
    <row r="1653" spans="1:13" x14ac:dyDescent="0.3">
      <c r="A1653" s="34" t="s">
        <v>662</v>
      </c>
      <c r="B1653">
        <v>-1</v>
      </c>
      <c r="C1653">
        <v>2050</v>
      </c>
      <c r="D1653" s="34" t="s">
        <v>383</v>
      </c>
      <c r="E1653" s="34" t="s">
        <v>384</v>
      </c>
      <c r="F1653" s="34" t="s">
        <v>639</v>
      </c>
      <c r="G1653" s="34" t="s">
        <v>29</v>
      </c>
      <c r="H1653" s="34" t="s">
        <v>21</v>
      </c>
      <c r="I1653" s="34" t="s">
        <v>19</v>
      </c>
      <c r="J1653" s="34" t="s">
        <v>22</v>
      </c>
      <c r="K1653" s="34" t="s">
        <v>48</v>
      </c>
      <c r="L1653" s="34" t="s">
        <v>47</v>
      </c>
      <c r="M1653">
        <v>-2.6100000000000002E-2</v>
      </c>
    </row>
    <row r="1654" spans="1:13" x14ac:dyDescent="0.3">
      <c r="A1654" s="34" t="s">
        <v>662</v>
      </c>
      <c r="B1654">
        <v>-1</v>
      </c>
      <c r="C1654">
        <v>2050</v>
      </c>
      <c r="D1654" s="34" t="s">
        <v>383</v>
      </c>
      <c r="E1654" s="34" t="s">
        <v>384</v>
      </c>
      <c r="F1654" s="34" t="s">
        <v>639</v>
      </c>
      <c r="G1654" s="34" t="s">
        <v>20</v>
      </c>
      <c r="H1654" s="34" t="s">
        <v>21</v>
      </c>
      <c r="I1654" s="34" t="s">
        <v>19</v>
      </c>
      <c r="J1654" s="34" t="s">
        <v>22</v>
      </c>
      <c r="K1654" s="34" t="s">
        <v>46</v>
      </c>
      <c r="L1654" s="34" t="s">
        <v>47</v>
      </c>
      <c r="M1654">
        <v>5.6549999999999996E-2</v>
      </c>
    </row>
    <row r="1655" spans="1:13" x14ac:dyDescent="0.3">
      <c r="A1655" s="34" t="s">
        <v>662</v>
      </c>
      <c r="B1655">
        <v>-1</v>
      </c>
      <c r="C1655">
        <v>2050</v>
      </c>
      <c r="D1655" s="34" t="s">
        <v>383</v>
      </c>
      <c r="E1655" s="34" t="s">
        <v>384</v>
      </c>
      <c r="F1655" s="34" t="s">
        <v>639</v>
      </c>
      <c r="G1655" s="34" t="s">
        <v>20</v>
      </c>
      <c r="H1655" s="34" t="s">
        <v>21</v>
      </c>
      <c r="I1655" s="34" t="s">
        <v>19</v>
      </c>
      <c r="J1655" s="34" t="s">
        <v>22</v>
      </c>
      <c r="K1655" s="34" t="s">
        <v>48</v>
      </c>
      <c r="L1655" s="34" t="s">
        <v>47</v>
      </c>
      <c r="M1655">
        <v>-5.6549999999999996E-2</v>
      </c>
    </row>
    <row r="1656" spans="1:13" x14ac:dyDescent="0.3">
      <c r="A1656" s="34" t="s">
        <v>662</v>
      </c>
      <c r="B1656">
        <v>-1</v>
      </c>
      <c r="C1656">
        <v>2050</v>
      </c>
      <c r="D1656" s="34" t="s">
        <v>383</v>
      </c>
      <c r="E1656" s="34" t="s">
        <v>384</v>
      </c>
      <c r="F1656" s="34" t="s">
        <v>639</v>
      </c>
      <c r="G1656" s="34" t="s">
        <v>30</v>
      </c>
      <c r="H1656" s="34" t="s">
        <v>21</v>
      </c>
      <c r="I1656" s="34" t="s">
        <v>19</v>
      </c>
      <c r="J1656" s="34" t="s">
        <v>22</v>
      </c>
      <c r="K1656" s="34" t="s">
        <v>46</v>
      </c>
      <c r="L1656" s="34" t="s">
        <v>47</v>
      </c>
      <c r="M1656">
        <v>4.3499999999999997E-3</v>
      </c>
    </row>
    <row r="1657" spans="1:13" x14ac:dyDescent="0.3">
      <c r="A1657" s="34" t="s">
        <v>662</v>
      </c>
      <c r="B1657">
        <v>-1</v>
      </c>
      <c r="C1657">
        <v>2050</v>
      </c>
      <c r="D1657" s="34" t="s">
        <v>383</v>
      </c>
      <c r="E1657" s="34" t="s">
        <v>384</v>
      </c>
      <c r="F1657" s="34" t="s">
        <v>639</v>
      </c>
      <c r="G1657" s="34" t="s">
        <v>30</v>
      </c>
      <c r="H1657" s="34" t="s">
        <v>21</v>
      </c>
      <c r="I1657" s="34" t="s">
        <v>19</v>
      </c>
      <c r="J1657" s="34" t="s">
        <v>22</v>
      </c>
      <c r="K1657" s="34" t="s">
        <v>48</v>
      </c>
      <c r="L1657" s="34" t="s">
        <v>47</v>
      </c>
      <c r="M1657">
        <v>-4.3499999999999997E-3</v>
      </c>
    </row>
    <row r="1658" spans="1:13" x14ac:dyDescent="0.3">
      <c r="A1658" s="34" t="s">
        <v>662</v>
      </c>
      <c r="B1658">
        <v>-1</v>
      </c>
      <c r="C1658">
        <v>2050</v>
      </c>
      <c r="D1658" s="34" t="s">
        <v>385</v>
      </c>
      <c r="E1658" s="34" t="s">
        <v>386</v>
      </c>
      <c r="F1658" s="34" t="s">
        <v>586</v>
      </c>
      <c r="G1658" s="34" t="s">
        <v>43</v>
      </c>
      <c r="H1658" s="34" t="s">
        <v>40</v>
      </c>
      <c r="I1658" s="34" t="s">
        <v>19</v>
      </c>
      <c r="J1658" s="34" t="s">
        <v>27</v>
      </c>
      <c r="K1658" s="34" t="s">
        <v>46</v>
      </c>
      <c r="L1658" s="34" t="s">
        <v>47</v>
      </c>
      <c r="M1658">
        <v>0.28600000000000003</v>
      </c>
    </row>
    <row r="1659" spans="1:13" x14ac:dyDescent="0.3">
      <c r="A1659" s="34" t="s">
        <v>662</v>
      </c>
      <c r="B1659">
        <v>-1</v>
      </c>
      <c r="C1659">
        <v>2050</v>
      </c>
      <c r="D1659" s="34" t="s">
        <v>385</v>
      </c>
      <c r="E1659" s="34" t="s">
        <v>386</v>
      </c>
      <c r="F1659" s="34" t="s">
        <v>586</v>
      </c>
      <c r="G1659" s="34" t="s">
        <v>43</v>
      </c>
      <c r="H1659" s="34" t="s">
        <v>40</v>
      </c>
      <c r="I1659" s="34" t="s">
        <v>19</v>
      </c>
      <c r="J1659" s="34" t="s">
        <v>27</v>
      </c>
      <c r="K1659" s="34" t="s">
        <v>48</v>
      </c>
      <c r="L1659" s="34" t="s">
        <v>47</v>
      </c>
      <c r="M1659">
        <v>-0.28600000000000009</v>
      </c>
    </row>
    <row r="1660" spans="1:13" x14ac:dyDescent="0.3">
      <c r="A1660" s="34" t="s">
        <v>662</v>
      </c>
      <c r="B1660">
        <v>-1</v>
      </c>
      <c r="C1660">
        <v>2050</v>
      </c>
      <c r="D1660" s="34" t="s">
        <v>385</v>
      </c>
      <c r="E1660" s="34" t="s">
        <v>386</v>
      </c>
      <c r="F1660" s="34" t="s">
        <v>586</v>
      </c>
      <c r="G1660" s="34" t="s">
        <v>31</v>
      </c>
      <c r="H1660" s="34" t="s">
        <v>18</v>
      </c>
      <c r="I1660" s="34" t="s">
        <v>19</v>
      </c>
      <c r="J1660" s="34" t="s">
        <v>32</v>
      </c>
      <c r="K1660" s="34" t="s">
        <v>46</v>
      </c>
      <c r="L1660" s="34" t="s">
        <v>47</v>
      </c>
      <c r="M1660">
        <v>0.47200000000000003</v>
      </c>
    </row>
    <row r="1661" spans="1:13" x14ac:dyDescent="0.3">
      <c r="A1661" s="34" t="s">
        <v>662</v>
      </c>
      <c r="B1661">
        <v>-1</v>
      </c>
      <c r="C1661">
        <v>2050</v>
      </c>
      <c r="D1661" s="34" t="s">
        <v>385</v>
      </c>
      <c r="E1661" s="34" t="s">
        <v>386</v>
      </c>
      <c r="F1661" s="34" t="s">
        <v>586</v>
      </c>
      <c r="G1661" s="34" t="s">
        <v>180</v>
      </c>
      <c r="H1661" s="34" t="s">
        <v>18</v>
      </c>
      <c r="I1661" s="34" t="s">
        <v>19</v>
      </c>
      <c r="J1661" s="34" t="s">
        <v>181</v>
      </c>
      <c r="K1661" s="34" t="s">
        <v>46</v>
      </c>
      <c r="L1661" s="34" t="s">
        <v>47</v>
      </c>
      <c r="M1661">
        <v>2.0049999999999999</v>
      </c>
    </row>
    <row r="1662" spans="1:13" x14ac:dyDescent="0.3">
      <c r="A1662" s="34" t="s">
        <v>662</v>
      </c>
      <c r="B1662">
        <v>-1</v>
      </c>
      <c r="C1662">
        <v>2050</v>
      </c>
      <c r="D1662" s="34" t="s">
        <v>385</v>
      </c>
      <c r="E1662" s="34" t="s">
        <v>386</v>
      </c>
      <c r="F1662" s="34" t="s">
        <v>586</v>
      </c>
      <c r="G1662" s="34" t="s">
        <v>54</v>
      </c>
      <c r="H1662" s="34" t="s">
        <v>39</v>
      </c>
      <c r="I1662" s="34" t="s">
        <v>19</v>
      </c>
      <c r="J1662" s="34" t="s">
        <v>27</v>
      </c>
      <c r="K1662" s="34" t="s">
        <v>46</v>
      </c>
      <c r="L1662" s="34" t="s">
        <v>47</v>
      </c>
      <c r="M1662">
        <v>5.2830000000000004</v>
      </c>
    </row>
    <row r="1663" spans="1:13" x14ac:dyDescent="0.3">
      <c r="A1663" s="34" t="s">
        <v>662</v>
      </c>
      <c r="B1663">
        <v>-1</v>
      </c>
      <c r="C1663">
        <v>2050</v>
      </c>
      <c r="D1663" s="34" t="s">
        <v>385</v>
      </c>
      <c r="E1663" s="34" t="s">
        <v>386</v>
      </c>
      <c r="F1663" s="34" t="s">
        <v>586</v>
      </c>
      <c r="G1663" s="34" t="s">
        <v>54</v>
      </c>
      <c r="H1663" s="34" t="s">
        <v>39</v>
      </c>
      <c r="I1663" s="34" t="s">
        <v>19</v>
      </c>
      <c r="J1663" s="34" t="s">
        <v>27</v>
      </c>
      <c r="K1663" s="34" t="s">
        <v>48</v>
      </c>
      <c r="L1663" s="34" t="s">
        <v>47</v>
      </c>
      <c r="M1663">
        <v>-5.2829999999999986</v>
      </c>
    </row>
    <row r="1664" spans="1:13" x14ac:dyDescent="0.3">
      <c r="A1664" s="34" t="s">
        <v>662</v>
      </c>
      <c r="B1664">
        <v>-1</v>
      </c>
      <c r="C1664">
        <v>2050</v>
      </c>
      <c r="D1664" s="34" t="s">
        <v>385</v>
      </c>
      <c r="E1664" s="34" t="s">
        <v>386</v>
      </c>
      <c r="F1664" s="34" t="s">
        <v>586</v>
      </c>
      <c r="G1664" s="34" t="s">
        <v>52</v>
      </c>
      <c r="H1664" s="34" t="s">
        <v>53</v>
      </c>
      <c r="I1664" s="34" t="s">
        <v>19</v>
      </c>
      <c r="J1664" s="34" t="s">
        <v>27</v>
      </c>
      <c r="K1664" s="34" t="s">
        <v>46</v>
      </c>
      <c r="L1664" s="34" t="s">
        <v>47</v>
      </c>
      <c r="M1664">
        <v>8.0000000000000002E-3</v>
      </c>
    </row>
    <row r="1665" spans="1:13" x14ac:dyDescent="0.3">
      <c r="A1665" s="34" t="s">
        <v>662</v>
      </c>
      <c r="B1665">
        <v>-1</v>
      </c>
      <c r="C1665">
        <v>2050</v>
      </c>
      <c r="D1665" s="34" t="s">
        <v>385</v>
      </c>
      <c r="E1665" s="34" t="s">
        <v>386</v>
      </c>
      <c r="F1665" s="34" t="s">
        <v>586</v>
      </c>
      <c r="G1665" s="34" t="s">
        <v>52</v>
      </c>
      <c r="H1665" s="34" t="s">
        <v>53</v>
      </c>
      <c r="I1665" s="34" t="s">
        <v>19</v>
      </c>
      <c r="J1665" s="34" t="s">
        <v>27</v>
      </c>
      <c r="K1665" s="34" t="s">
        <v>48</v>
      </c>
      <c r="L1665" s="34" t="s">
        <v>47</v>
      </c>
      <c r="M1665">
        <v>-8.0000000000000036E-3</v>
      </c>
    </row>
    <row r="1666" spans="1:13" x14ac:dyDescent="0.3">
      <c r="A1666" s="34" t="s">
        <v>662</v>
      </c>
      <c r="B1666">
        <v>-1</v>
      </c>
      <c r="C1666">
        <v>2050</v>
      </c>
      <c r="D1666" s="34" t="s">
        <v>385</v>
      </c>
      <c r="E1666" s="34" t="s">
        <v>386</v>
      </c>
      <c r="F1666" s="34" t="s">
        <v>640</v>
      </c>
      <c r="G1666" s="34" t="s">
        <v>28</v>
      </c>
      <c r="H1666" s="34" t="s">
        <v>23</v>
      </c>
      <c r="I1666" s="34" t="s">
        <v>19</v>
      </c>
      <c r="J1666" s="34" t="s">
        <v>24</v>
      </c>
      <c r="K1666" s="34" t="s">
        <v>46</v>
      </c>
      <c r="L1666" s="34" t="s">
        <v>47</v>
      </c>
      <c r="M1666">
        <v>4.0000000000000001E-3</v>
      </c>
    </row>
    <row r="1667" spans="1:13" x14ac:dyDescent="0.3">
      <c r="A1667" s="34" t="s">
        <v>662</v>
      </c>
      <c r="B1667">
        <v>-1</v>
      </c>
      <c r="C1667">
        <v>2050</v>
      </c>
      <c r="D1667" s="34" t="s">
        <v>385</v>
      </c>
      <c r="E1667" s="34" t="s">
        <v>386</v>
      </c>
      <c r="F1667" s="34" t="s">
        <v>640</v>
      </c>
      <c r="G1667" s="34" t="s">
        <v>28</v>
      </c>
      <c r="H1667" s="34" t="s">
        <v>23</v>
      </c>
      <c r="I1667" s="34" t="s">
        <v>19</v>
      </c>
      <c r="J1667" s="34" t="s">
        <v>24</v>
      </c>
      <c r="K1667" s="34" t="s">
        <v>48</v>
      </c>
      <c r="L1667" s="34" t="s">
        <v>47</v>
      </c>
      <c r="M1667">
        <v>-4.0000000000000018E-3</v>
      </c>
    </row>
    <row r="1668" spans="1:13" x14ac:dyDescent="0.3">
      <c r="A1668" s="34" t="s">
        <v>662</v>
      </c>
      <c r="B1668">
        <v>-1</v>
      </c>
      <c r="C1668">
        <v>2050</v>
      </c>
      <c r="D1668" s="34" t="s">
        <v>385</v>
      </c>
      <c r="E1668" s="34" t="s">
        <v>386</v>
      </c>
      <c r="F1668" s="34" t="s">
        <v>640</v>
      </c>
      <c r="G1668" s="34" t="s">
        <v>29</v>
      </c>
      <c r="H1668" s="34" t="s">
        <v>21</v>
      </c>
      <c r="I1668" s="34" t="s">
        <v>19</v>
      </c>
      <c r="J1668" s="34" t="s">
        <v>22</v>
      </c>
      <c r="K1668" s="34" t="s">
        <v>46</v>
      </c>
      <c r="L1668" s="34" t="s">
        <v>47</v>
      </c>
      <c r="M1668">
        <v>0.1191</v>
      </c>
    </row>
    <row r="1669" spans="1:13" x14ac:dyDescent="0.3">
      <c r="A1669" s="34" t="s">
        <v>662</v>
      </c>
      <c r="B1669">
        <v>-1</v>
      </c>
      <c r="C1669">
        <v>2050</v>
      </c>
      <c r="D1669" s="34" t="s">
        <v>385</v>
      </c>
      <c r="E1669" s="34" t="s">
        <v>386</v>
      </c>
      <c r="F1669" s="34" t="s">
        <v>640</v>
      </c>
      <c r="G1669" s="34" t="s">
        <v>29</v>
      </c>
      <c r="H1669" s="34" t="s">
        <v>21</v>
      </c>
      <c r="I1669" s="34" t="s">
        <v>19</v>
      </c>
      <c r="J1669" s="34" t="s">
        <v>22</v>
      </c>
      <c r="K1669" s="34" t="s">
        <v>48</v>
      </c>
      <c r="L1669" s="34" t="s">
        <v>47</v>
      </c>
      <c r="M1669">
        <v>-0.1191</v>
      </c>
    </row>
    <row r="1670" spans="1:13" x14ac:dyDescent="0.3">
      <c r="A1670" s="34" t="s">
        <v>662</v>
      </c>
      <c r="B1670">
        <v>-1</v>
      </c>
      <c r="C1670">
        <v>2050</v>
      </c>
      <c r="D1670" s="34" t="s">
        <v>385</v>
      </c>
      <c r="E1670" s="34" t="s">
        <v>386</v>
      </c>
      <c r="F1670" s="34" t="s">
        <v>640</v>
      </c>
      <c r="G1670" s="34" t="s">
        <v>20</v>
      </c>
      <c r="H1670" s="34" t="s">
        <v>21</v>
      </c>
      <c r="I1670" s="34" t="s">
        <v>19</v>
      </c>
      <c r="J1670" s="34" t="s">
        <v>22</v>
      </c>
      <c r="K1670" s="34" t="s">
        <v>46</v>
      </c>
      <c r="L1670" s="34" t="s">
        <v>47</v>
      </c>
      <c r="M1670">
        <v>0.25805</v>
      </c>
    </row>
    <row r="1671" spans="1:13" x14ac:dyDescent="0.3">
      <c r="A1671" s="34" t="s">
        <v>662</v>
      </c>
      <c r="B1671">
        <v>-1</v>
      </c>
      <c r="C1671">
        <v>2050</v>
      </c>
      <c r="D1671" s="34" t="s">
        <v>385</v>
      </c>
      <c r="E1671" s="34" t="s">
        <v>386</v>
      </c>
      <c r="F1671" s="34" t="s">
        <v>640</v>
      </c>
      <c r="G1671" s="34" t="s">
        <v>20</v>
      </c>
      <c r="H1671" s="34" t="s">
        <v>21</v>
      </c>
      <c r="I1671" s="34" t="s">
        <v>19</v>
      </c>
      <c r="J1671" s="34" t="s">
        <v>22</v>
      </c>
      <c r="K1671" s="34" t="s">
        <v>48</v>
      </c>
      <c r="L1671" s="34" t="s">
        <v>47</v>
      </c>
      <c r="M1671">
        <v>-0.25805</v>
      </c>
    </row>
    <row r="1672" spans="1:13" x14ac:dyDescent="0.3">
      <c r="A1672" s="34" t="s">
        <v>662</v>
      </c>
      <c r="B1672">
        <v>-1</v>
      </c>
      <c r="C1672">
        <v>2050</v>
      </c>
      <c r="D1672" s="34" t="s">
        <v>385</v>
      </c>
      <c r="E1672" s="34" t="s">
        <v>386</v>
      </c>
      <c r="F1672" s="34" t="s">
        <v>640</v>
      </c>
      <c r="G1672" s="34" t="s">
        <v>30</v>
      </c>
      <c r="H1672" s="34" t="s">
        <v>21</v>
      </c>
      <c r="I1672" s="34" t="s">
        <v>19</v>
      </c>
      <c r="J1672" s="34" t="s">
        <v>22</v>
      </c>
      <c r="K1672" s="34" t="s">
        <v>46</v>
      </c>
      <c r="L1672" s="34" t="s">
        <v>47</v>
      </c>
      <c r="M1672">
        <v>1.9850000000000003E-2</v>
      </c>
    </row>
    <row r="1673" spans="1:13" x14ac:dyDescent="0.3">
      <c r="A1673" s="34" t="s">
        <v>662</v>
      </c>
      <c r="B1673">
        <v>-1</v>
      </c>
      <c r="C1673">
        <v>2050</v>
      </c>
      <c r="D1673" s="34" t="s">
        <v>385</v>
      </c>
      <c r="E1673" s="34" t="s">
        <v>386</v>
      </c>
      <c r="F1673" s="34" t="s">
        <v>640</v>
      </c>
      <c r="G1673" s="34" t="s">
        <v>30</v>
      </c>
      <c r="H1673" s="34" t="s">
        <v>21</v>
      </c>
      <c r="I1673" s="34" t="s">
        <v>19</v>
      </c>
      <c r="J1673" s="34" t="s">
        <v>22</v>
      </c>
      <c r="K1673" s="34" t="s">
        <v>48</v>
      </c>
      <c r="L1673" s="34" t="s">
        <v>47</v>
      </c>
      <c r="M1673">
        <v>-1.985E-2</v>
      </c>
    </row>
    <row r="1674" spans="1:13" x14ac:dyDescent="0.3">
      <c r="A1674" s="34" t="s">
        <v>662</v>
      </c>
      <c r="B1674">
        <v>-1</v>
      </c>
      <c r="C1674">
        <v>2050</v>
      </c>
      <c r="D1674" s="34" t="s">
        <v>385</v>
      </c>
      <c r="E1674" s="34" t="s">
        <v>386</v>
      </c>
      <c r="F1674" s="34" t="s">
        <v>640</v>
      </c>
      <c r="G1674" s="34" t="s">
        <v>644</v>
      </c>
      <c r="H1674" s="34" t="s">
        <v>21</v>
      </c>
      <c r="I1674" s="34" t="s">
        <v>19</v>
      </c>
      <c r="J1674" s="34" t="s">
        <v>22</v>
      </c>
      <c r="K1674" s="34" t="s">
        <v>49</v>
      </c>
      <c r="L1674" s="34" t="s">
        <v>47</v>
      </c>
      <c r="M1674">
        <v>0.4</v>
      </c>
    </row>
    <row r="1675" spans="1:13" x14ac:dyDescent="0.3">
      <c r="A1675" s="34" t="s">
        <v>662</v>
      </c>
      <c r="B1675">
        <v>-1</v>
      </c>
      <c r="C1675">
        <v>2050</v>
      </c>
      <c r="D1675" s="34" t="s">
        <v>55</v>
      </c>
      <c r="E1675" s="34" t="s">
        <v>56</v>
      </c>
      <c r="F1675" s="34" t="s">
        <v>587</v>
      </c>
      <c r="G1675" s="34" t="s">
        <v>43</v>
      </c>
      <c r="H1675" s="34" t="s">
        <v>40</v>
      </c>
      <c r="I1675" s="34" t="s">
        <v>19</v>
      </c>
      <c r="J1675" s="34" t="s">
        <v>27</v>
      </c>
      <c r="K1675" s="34" t="s">
        <v>46</v>
      </c>
      <c r="L1675" s="34" t="s">
        <v>47</v>
      </c>
      <c r="M1675">
        <v>25.75</v>
      </c>
    </row>
    <row r="1676" spans="1:13" x14ac:dyDescent="0.3">
      <c r="A1676" s="34" t="s">
        <v>662</v>
      </c>
      <c r="B1676">
        <v>-1</v>
      </c>
      <c r="C1676">
        <v>2050</v>
      </c>
      <c r="D1676" s="34" t="s">
        <v>55</v>
      </c>
      <c r="E1676" s="34" t="s">
        <v>56</v>
      </c>
      <c r="F1676" s="34" t="s">
        <v>587</v>
      </c>
      <c r="G1676" s="34" t="s">
        <v>43</v>
      </c>
      <c r="H1676" s="34" t="s">
        <v>40</v>
      </c>
      <c r="I1676" s="34" t="s">
        <v>19</v>
      </c>
      <c r="J1676" s="34" t="s">
        <v>27</v>
      </c>
      <c r="K1676" s="34" t="s">
        <v>48</v>
      </c>
      <c r="L1676" s="34" t="s">
        <v>47</v>
      </c>
      <c r="M1676">
        <v>-25.75</v>
      </c>
    </row>
    <row r="1677" spans="1:13" x14ac:dyDescent="0.3">
      <c r="A1677" s="34" t="s">
        <v>662</v>
      </c>
      <c r="B1677">
        <v>-1</v>
      </c>
      <c r="C1677">
        <v>2050</v>
      </c>
      <c r="D1677" s="34" t="s">
        <v>55</v>
      </c>
      <c r="E1677" s="34" t="s">
        <v>56</v>
      </c>
      <c r="F1677" s="34" t="s">
        <v>587</v>
      </c>
      <c r="G1677" s="34" t="s">
        <v>44</v>
      </c>
      <c r="H1677" s="34" t="s">
        <v>45</v>
      </c>
      <c r="I1677" s="34" t="s">
        <v>19</v>
      </c>
      <c r="J1677" s="34" t="s">
        <v>27</v>
      </c>
      <c r="K1677" s="34" t="s">
        <v>46</v>
      </c>
      <c r="L1677" s="34" t="s">
        <v>47</v>
      </c>
      <c r="M1677">
        <v>1.7</v>
      </c>
    </row>
    <row r="1678" spans="1:13" x14ac:dyDescent="0.3">
      <c r="A1678" s="34" t="s">
        <v>662</v>
      </c>
      <c r="B1678">
        <v>-1</v>
      </c>
      <c r="C1678">
        <v>2050</v>
      </c>
      <c r="D1678" s="34" t="s">
        <v>55</v>
      </c>
      <c r="E1678" s="34" t="s">
        <v>56</v>
      </c>
      <c r="F1678" s="34" t="s">
        <v>587</v>
      </c>
      <c r="G1678" s="34" t="s">
        <v>44</v>
      </c>
      <c r="H1678" s="34" t="s">
        <v>45</v>
      </c>
      <c r="I1678" s="34" t="s">
        <v>19</v>
      </c>
      <c r="J1678" s="34" t="s">
        <v>27</v>
      </c>
      <c r="K1678" s="34" t="s">
        <v>48</v>
      </c>
      <c r="L1678" s="34" t="s">
        <v>47</v>
      </c>
      <c r="M1678">
        <v>-1.7</v>
      </c>
    </row>
    <row r="1679" spans="1:13" x14ac:dyDescent="0.3">
      <c r="A1679" s="34" t="s">
        <v>662</v>
      </c>
      <c r="B1679">
        <v>-1</v>
      </c>
      <c r="C1679">
        <v>2050</v>
      </c>
      <c r="D1679" s="34" t="s">
        <v>55</v>
      </c>
      <c r="E1679" s="34" t="s">
        <v>56</v>
      </c>
      <c r="F1679" s="34" t="s">
        <v>587</v>
      </c>
      <c r="G1679" s="34" t="s">
        <v>31</v>
      </c>
      <c r="H1679" s="34" t="s">
        <v>18</v>
      </c>
      <c r="I1679" s="34" t="s">
        <v>19</v>
      </c>
      <c r="J1679" s="34" t="s">
        <v>32</v>
      </c>
      <c r="K1679" s="34" t="s">
        <v>46</v>
      </c>
      <c r="L1679" s="34" t="s">
        <v>47</v>
      </c>
      <c r="M1679">
        <v>31.5</v>
      </c>
    </row>
    <row r="1680" spans="1:13" x14ac:dyDescent="0.3">
      <c r="A1680" s="34" t="s">
        <v>662</v>
      </c>
      <c r="B1680">
        <v>-1</v>
      </c>
      <c r="C1680">
        <v>2050</v>
      </c>
      <c r="D1680" s="34" t="s">
        <v>55</v>
      </c>
      <c r="E1680" s="34" t="s">
        <v>56</v>
      </c>
      <c r="F1680" s="34" t="s">
        <v>587</v>
      </c>
      <c r="G1680" s="34" t="s">
        <v>54</v>
      </c>
      <c r="H1680" s="34" t="s">
        <v>39</v>
      </c>
      <c r="I1680" s="34" t="s">
        <v>19</v>
      </c>
      <c r="J1680" s="34" t="s">
        <v>27</v>
      </c>
      <c r="K1680" s="34" t="s">
        <v>46</v>
      </c>
      <c r="L1680" s="34" t="s">
        <v>47</v>
      </c>
      <c r="M1680">
        <v>20</v>
      </c>
    </row>
    <row r="1681" spans="1:13" x14ac:dyDescent="0.3">
      <c r="A1681" s="34" t="s">
        <v>662</v>
      </c>
      <c r="B1681">
        <v>-1</v>
      </c>
      <c r="C1681">
        <v>2050</v>
      </c>
      <c r="D1681" s="34" t="s">
        <v>55</v>
      </c>
      <c r="E1681" s="34" t="s">
        <v>56</v>
      </c>
      <c r="F1681" s="34" t="s">
        <v>587</v>
      </c>
      <c r="G1681" s="34" t="s">
        <v>54</v>
      </c>
      <c r="H1681" s="34" t="s">
        <v>39</v>
      </c>
      <c r="I1681" s="34" t="s">
        <v>19</v>
      </c>
      <c r="J1681" s="34" t="s">
        <v>27</v>
      </c>
      <c r="K1681" s="34" t="s">
        <v>48</v>
      </c>
      <c r="L1681" s="34" t="s">
        <v>47</v>
      </c>
      <c r="M1681">
        <v>-20</v>
      </c>
    </row>
    <row r="1682" spans="1:13" x14ac:dyDescent="0.3">
      <c r="A1682" s="34" t="s">
        <v>662</v>
      </c>
      <c r="B1682">
        <v>-1</v>
      </c>
      <c r="C1682">
        <v>2050</v>
      </c>
      <c r="D1682" s="34" t="s">
        <v>55</v>
      </c>
      <c r="E1682" s="34" t="s">
        <v>56</v>
      </c>
      <c r="F1682" s="34" t="s">
        <v>587</v>
      </c>
      <c r="G1682" s="34" t="s">
        <v>52</v>
      </c>
      <c r="H1682" s="34" t="s">
        <v>53</v>
      </c>
      <c r="I1682" s="34" t="s">
        <v>19</v>
      </c>
      <c r="J1682" s="34" t="s">
        <v>27</v>
      </c>
      <c r="K1682" s="34" t="s">
        <v>46</v>
      </c>
      <c r="L1682" s="34" t="s">
        <v>47</v>
      </c>
      <c r="M1682">
        <v>1.7</v>
      </c>
    </row>
    <row r="1683" spans="1:13" x14ac:dyDescent="0.3">
      <c r="A1683" s="34" t="s">
        <v>662</v>
      </c>
      <c r="B1683">
        <v>-1</v>
      </c>
      <c r="C1683">
        <v>2050</v>
      </c>
      <c r="D1683" s="34" t="s">
        <v>55</v>
      </c>
      <c r="E1683" s="34" t="s">
        <v>56</v>
      </c>
      <c r="F1683" s="34" t="s">
        <v>587</v>
      </c>
      <c r="G1683" s="34" t="s">
        <v>52</v>
      </c>
      <c r="H1683" s="34" t="s">
        <v>53</v>
      </c>
      <c r="I1683" s="34" t="s">
        <v>19</v>
      </c>
      <c r="J1683" s="34" t="s">
        <v>27</v>
      </c>
      <c r="K1683" s="34" t="s">
        <v>48</v>
      </c>
      <c r="L1683" s="34" t="s">
        <v>47</v>
      </c>
      <c r="M1683">
        <v>-1.7</v>
      </c>
    </row>
    <row r="1684" spans="1:13" x14ac:dyDescent="0.3">
      <c r="A1684" s="34" t="s">
        <v>662</v>
      </c>
      <c r="B1684">
        <v>-1</v>
      </c>
      <c r="C1684">
        <v>2050</v>
      </c>
      <c r="D1684" s="34" t="s">
        <v>55</v>
      </c>
      <c r="E1684" s="34" t="s">
        <v>56</v>
      </c>
      <c r="F1684" s="34" t="s">
        <v>587</v>
      </c>
      <c r="G1684" s="34" t="s">
        <v>16</v>
      </c>
      <c r="H1684" s="34" t="s">
        <v>12</v>
      </c>
      <c r="I1684" s="34" t="s">
        <v>13</v>
      </c>
      <c r="J1684" s="34" t="s">
        <v>14</v>
      </c>
      <c r="K1684" s="34" t="s">
        <v>49</v>
      </c>
      <c r="L1684" s="34" t="s">
        <v>47</v>
      </c>
      <c r="M1684">
        <v>35.953486002481782</v>
      </c>
    </row>
    <row r="1685" spans="1:13" x14ac:dyDescent="0.3">
      <c r="A1685" s="34" t="s">
        <v>662</v>
      </c>
      <c r="B1685">
        <v>-1</v>
      </c>
      <c r="C1685">
        <v>2050</v>
      </c>
      <c r="D1685" s="34" t="s">
        <v>55</v>
      </c>
      <c r="E1685" s="34" t="s">
        <v>56</v>
      </c>
      <c r="F1685" s="34" t="s">
        <v>641</v>
      </c>
      <c r="G1685" s="34" t="s">
        <v>28</v>
      </c>
      <c r="H1685" s="34" t="s">
        <v>23</v>
      </c>
      <c r="I1685" s="34" t="s">
        <v>19</v>
      </c>
      <c r="J1685" s="34" t="s">
        <v>24</v>
      </c>
      <c r="K1685" s="34" t="s">
        <v>46</v>
      </c>
      <c r="L1685" s="34" t="s">
        <v>47</v>
      </c>
      <c r="M1685">
        <v>8</v>
      </c>
    </row>
    <row r="1686" spans="1:13" x14ac:dyDescent="0.3">
      <c r="A1686" s="34" t="s">
        <v>662</v>
      </c>
      <c r="B1686">
        <v>-1</v>
      </c>
      <c r="C1686">
        <v>2050</v>
      </c>
      <c r="D1686" s="34" t="s">
        <v>55</v>
      </c>
      <c r="E1686" s="34" t="s">
        <v>56</v>
      </c>
      <c r="F1686" s="34" t="s">
        <v>641</v>
      </c>
      <c r="G1686" s="34" t="s">
        <v>28</v>
      </c>
      <c r="H1686" s="34" t="s">
        <v>23</v>
      </c>
      <c r="I1686" s="34" t="s">
        <v>19</v>
      </c>
      <c r="J1686" s="34" t="s">
        <v>24</v>
      </c>
      <c r="K1686" s="34" t="s">
        <v>48</v>
      </c>
      <c r="L1686" s="34" t="s">
        <v>47</v>
      </c>
      <c r="M1686">
        <v>-8</v>
      </c>
    </row>
    <row r="1687" spans="1:13" x14ac:dyDescent="0.3">
      <c r="A1687" s="34" t="s">
        <v>662</v>
      </c>
      <c r="B1687">
        <v>-1</v>
      </c>
      <c r="C1687">
        <v>2050</v>
      </c>
      <c r="D1687" s="34" t="s">
        <v>55</v>
      </c>
      <c r="E1687" s="34" t="s">
        <v>56</v>
      </c>
      <c r="F1687" s="34" t="s">
        <v>641</v>
      </c>
      <c r="G1687" s="34" t="s">
        <v>588</v>
      </c>
      <c r="H1687" s="34" t="s">
        <v>21</v>
      </c>
      <c r="I1687" s="34" t="s">
        <v>19</v>
      </c>
      <c r="J1687" s="34" t="s">
        <v>22</v>
      </c>
      <c r="K1687" s="34" t="s">
        <v>46</v>
      </c>
      <c r="L1687" s="34" t="s">
        <v>47</v>
      </c>
      <c r="M1687">
        <v>11</v>
      </c>
    </row>
    <row r="1688" spans="1:13" x14ac:dyDescent="0.3">
      <c r="A1688" s="34" t="s">
        <v>662</v>
      </c>
      <c r="B1688">
        <v>-1</v>
      </c>
      <c r="C1688">
        <v>2050</v>
      </c>
      <c r="D1688" s="34" t="s">
        <v>55</v>
      </c>
      <c r="E1688" s="34" t="s">
        <v>56</v>
      </c>
      <c r="F1688" s="34" t="s">
        <v>641</v>
      </c>
      <c r="G1688" s="34" t="s">
        <v>588</v>
      </c>
      <c r="H1688" s="34" t="s">
        <v>21</v>
      </c>
      <c r="I1688" s="34" t="s">
        <v>19</v>
      </c>
      <c r="J1688" s="34" t="s">
        <v>22</v>
      </c>
      <c r="K1688" s="34" t="s">
        <v>48</v>
      </c>
      <c r="L1688" s="34" t="s">
        <v>47</v>
      </c>
      <c r="M1688">
        <v>-11</v>
      </c>
    </row>
    <row r="1689" spans="1:13" x14ac:dyDescent="0.3">
      <c r="A1689" s="34" t="s">
        <v>662</v>
      </c>
      <c r="B1689">
        <v>-1</v>
      </c>
      <c r="C1689">
        <v>2050</v>
      </c>
      <c r="D1689" s="34" t="s">
        <v>55</v>
      </c>
      <c r="E1689" s="34" t="s">
        <v>56</v>
      </c>
      <c r="F1689" s="34" t="s">
        <v>641</v>
      </c>
      <c r="G1689" s="34" t="s">
        <v>29</v>
      </c>
      <c r="H1689" s="34" t="s">
        <v>21</v>
      </c>
      <c r="I1689" s="34" t="s">
        <v>19</v>
      </c>
      <c r="J1689" s="34" t="s">
        <v>22</v>
      </c>
      <c r="K1689" s="34" t="s">
        <v>46</v>
      </c>
      <c r="L1689" s="34" t="s">
        <v>47</v>
      </c>
      <c r="M1689">
        <v>3.3000000000000003</v>
      </c>
    </row>
    <row r="1690" spans="1:13" x14ac:dyDescent="0.3">
      <c r="A1690" s="34" t="s">
        <v>662</v>
      </c>
      <c r="B1690">
        <v>-1</v>
      </c>
      <c r="C1690">
        <v>2050</v>
      </c>
      <c r="D1690" s="34" t="s">
        <v>55</v>
      </c>
      <c r="E1690" s="34" t="s">
        <v>56</v>
      </c>
      <c r="F1690" s="34" t="s">
        <v>641</v>
      </c>
      <c r="G1690" s="34" t="s">
        <v>29</v>
      </c>
      <c r="H1690" s="34" t="s">
        <v>21</v>
      </c>
      <c r="I1690" s="34" t="s">
        <v>19</v>
      </c>
      <c r="J1690" s="34" t="s">
        <v>22</v>
      </c>
      <c r="K1690" s="34" t="s">
        <v>48</v>
      </c>
      <c r="L1690" s="34" t="s">
        <v>47</v>
      </c>
      <c r="M1690">
        <v>-3.3000000000000003</v>
      </c>
    </row>
    <row r="1691" spans="1:13" x14ac:dyDescent="0.3">
      <c r="A1691" s="34" t="s">
        <v>662</v>
      </c>
      <c r="B1691">
        <v>-1</v>
      </c>
      <c r="C1691">
        <v>2050</v>
      </c>
      <c r="D1691" s="34" t="s">
        <v>55</v>
      </c>
      <c r="E1691" s="34" t="s">
        <v>56</v>
      </c>
      <c r="F1691" s="34" t="s">
        <v>641</v>
      </c>
      <c r="G1691" s="34" t="s">
        <v>20</v>
      </c>
      <c r="H1691" s="34" t="s">
        <v>21</v>
      </c>
      <c r="I1691" s="34" t="s">
        <v>19</v>
      </c>
      <c r="J1691" s="34" t="s">
        <v>22</v>
      </c>
      <c r="K1691" s="34" t="s">
        <v>46</v>
      </c>
      <c r="L1691" s="34" t="s">
        <v>47</v>
      </c>
      <c r="M1691">
        <v>7.15</v>
      </c>
    </row>
    <row r="1692" spans="1:13" x14ac:dyDescent="0.3">
      <c r="A1692" s="34" t="s">
        <v>662</v>
      </c>
      <c r="B1692">
        <v>-1</v>
      </c>
      <c r="C1692">
        <v>2050</v>
      </c>
      <c r="D1692" s="34" t="s">
        <v>55</v>
      </c>
      <c r="E1692" s="34" t="s">
        <v>56</v>
      </c>
      <c r="F1692" s="34" t="s">
        <v>641</v>
      </c>
      <c r="G1692" s="34" t="s">
        <v>20</v>
      </c>
      <c r="H1692" s="34" t="s">
        <v>21</v>
      </c>
      <c r="I1692" s="34" t="s">
        <v>19</v>
      </c>
      <c r="J1692" s="34" t="s">
        <v>22</v>
      </c>
      <c r="K1692" s="34" t="s">
        <v>48</v>
      </c>
      <c r="L1692" s="34" t="s">
        <v>47</v>
      </c>
      <c r="M1692">
        <v>-7.15</v>
      </c>
    </row>
    <row r="1693" spans="1:13" x14ac:dyDescent="0.3">
      <c r="A1693" s="34" t="s">
        <v>662</v>
      </c>
      <c r="B1693">
        <v>-1</v>
      </c>
      <c r="C1693">
        <v>2050</v>
      </c>
      <c r="D1693" s="34" t="s">
        <v>55</v>
      </c>
      <c r="E1693" s="34" t="s">
        <v>56</v>
      </c>
      <c r="F1693" s="34" t="s">
        <v>641</v>
      </c>
      <c r="G1693" s="34" t="s">
        <v>30</v>
      </c>
      <c r="H1693" s="34" t="s">
        <v>21</v>
      </c>
      <c r="I1693" s="34" t="s">
        <v>19</v>
      </c>
      <c r="J1693" s="34" t="s">
        <v>22</v>
      </c>
      <c r="K1693" s="34" t="s">
        <v>46</v>
      </c>
      <c r="L1693" s="34" t="s">
        <v>47</v>
      </c>
      <c r="M1693">
        <v>0.55000000000000004</v>
      </c>
    </row>
    <row r="1694" spans="1:13" x14ac:dyDescent="0.3">
      <c r="A1694" s="34" t="s">
        <v>662</v>
      </c>
      <c r="B1694">
        <v>-1</v>
      </c>
      <c r="C1694">
        <v>2050</v>
      </c>
      <c r="D1694" s="34" t="s">
        <v>55</v>
      </c>
      <c r="E1694" s="34" t="s">
        <v>56</v>
      </c>
      <c r="F1694" s="34" t="s">
        <v>641</v>
      </c>
      <c r="G1694" s="34" t="s">
        <v>30</v>
      </c>
      <c r="H1694" s="34" t="s">
        <v>21</v>
      </c>
      <c r="I1694" s="34" t="s">
        <v>19</v>
      </c>
      <c r="J1694" s="34" t="s">
        <v>22</v>
      </c>
      <c r="K1694" s="34" t="s">
        <v>48</v>
      </c>
      <c r="L1694" s="34" t="s">
        <v>47</v>
      </c>
      <c r="M1694">
        <v>-0.55000000000000004</v>
      </c>
    </row>
    <row r="1695" spans="1:13" x14ac:dyDescent="0.3">
      <c r="A1695" s="34" t="s">
        <v>662</v>
      </c>
      <c r="B1695">
        <v>-1</v>
      </c>
      <c r="C1695">
        <v>2050</v>
      </c>
      <c r="D1695" s="34" t="s">
        <v>55</v>
      </c>
      <c r="E1695" s="34" t="s">
        <v>56</v>
      </c>
      <c r="F1695" s="34" t="s">
        <v>641</v>
      </c>
      <c r="G1695" s="34" t="s">
        <v>644</v>
      </c>
      <c r="H1695" s="34" t="s">
        <v>21</v>
      </c>
      <c r="I1695" s="34" t="s">
        <v>19</v>
      </c>
      <c r="J1695" s="34" t="s">
        <v>22</v>
      </c>
      <c r="K1695" s="34" t="s">
        <v>49</v>
      </c>
      <c r="L1695" s="34" t="s">
        <v>47</v>
      </c>
      <c r="M1695">
        <v>46.697946576423988</v>
      </c>
    </row>
    <row r="1696" spans="1:13" x14ac:dyDescent="0.3">
      <c r="A1696" s="34" t="s">
        <v>662</v>
      </c>
      <c r="B1696">
        <v>-1</v>
      </c>
      <c r="C1696">
        <v>2050</v>
      </c>
      <c r="D1696" s="34" t="s">
        <v>55</v>
      </c>
      <c r="E1696" s="34" t="s">
        <v>56</v>
      </c>
      <c r="F1696" s="34" t="s">
        <v>641</v>
      </c>
      <c r="G1696" s="34" t="s">
        <v>645</v>
      </c>
      <c r="H1696" s="34" t="s">
        <v>23</v>
      </c>
      <c r="I1696" s="34" t="s">
        <v>19</v>
      </c>
      <c r="J1696" s="34" t="s">
        <v>24</v>
      </c>
      <c r="K1696" s="34" t="s">
        <v>49</v>
      </c>
      <c r="L1696" s="34" t="s">
        <v>47</v>
      </c>
      <c r="M1696">
        <v>111.50753679446321</v>
      </c>
    </row>
    <row r="1697" spans="1:13" x14ac:dyDescent="0.3">
      <c r="A1697" s="34" t="s">
        <v>662</v>
      </c>
      <c r="B1697">
        <v>-1</v>
      </c>
      <c r="C1697">
        <v>2050</v>
      </c>
      <c r="D1697" s="34" t="s">
        <v>387</v>
      </c>
      <c r="E1697" s="34" t="s">
        <v>388</v>
      </c>
      <c r="F1697" s="34" t="s">
        <v>589</v>
      </c>
      <c r="G1697" s="34" t="s">
        <v>279</v>
      </c>
      <c r="H1697" s="34" t="s">
        <v>237</v>
      </c>
      <c r="I1697" s="34" t="s">
        <v>19</v>
      </c>
      <c r="J1697" s="34" t="s">
        <v>27</v>
      </c>
      <c r="K1697" s="34" t="s">
        <v>46</v>
      </c>
      <c r="L1697" s="34" t="s">
        <v>47</v>
      </c>
      <c r="M1697">
        <v>0.11</v>
      </c>
    </row>
    <row r="1698" spans="1:13" x14ac:dyDescent="0.3">
      <c r="A1698" s="34" t="s">
        <v>662</v>
      </c>
      <c r="B1698">
        <v>-1</v>
      </c>
      <c r="C1698">
        <v>2050</v>
      </c>
      <c r="D1698" s="34" t="s">
        <v>387</v>
      </c>
      <c r="E1698" s="34" t="s">
        <v>388</v>
      </c>
      <c r="F1698" s="34" t="s">
        <v>589</v>
      </c>
      <c r="G1698" s="34" t="s">
        <v>279</v>
      </c>
      <c r="H1698" s="34" t="s">
        <v>237</v>
      </c>
      <c r="I1698" s="34" t="s">
        <v>19</v>
      </c>
      <c r="J1698" s="34" t="s">
        <v>27</v>
      </c>
      <c r="K1698" s="34" t="s">
        <v>48</v>
      </c>
      <c r="L1698" s="34" t="s">
        <v>47</v>
      </c>
      <c r="M1698">
        <v>-0.11</v>
      </c>
    </row>
    <row r="1699" spans="1:13" x14ac:dyDescent="0.3">
      <c r="A1699" s="34" t="s">
        <v>662</v>
      </c>
      <c r="B1699">
        <v>-1</v>
      </c>
      <c r="C1699">
        <v>2050</v>
      </c>
      <c r="D1699" s="34" t="s">
        <v>387</v>
      </c>
      <c r="E1699" s="34" t="s">
        <v>388</v>
      </c>
      <c r="F1699" s="34" t="s">
        <v>589</v>
      </c>
      <c r="G1699" s="34" t="s">
        <v>43</v>
      </c>
      <c r="H1699" s="34" t="s">
        <v>40</v>
      </c>
      <c r="I1699" s="34" t="s">
        <v>19</v>
      </c>
      <c r="J1699" s="34" t="s">
        <v>27</v>
      </c>
      <c r="K1699" s="34" t="s">
        <v>46</v>
      </c>
      <c r="L1699" s="34" t="s">
        <v>47</v>
      </c>
      <c r="M1699">
        <v>0.215</v>
      </c>
    </row>
    <row r="1700" spans="1:13" x14ac:dyDescent="0.3">
      <c r="A1700" s="34" t="s">
        <v>662</v>
      </c>
      <c r="B1700">
        <v>-1</v>
      </c>
      <c r="C1700">
        <v>2050</v>
      </c>
      <c r="D1700" s="34" t="s">
        <v>387</v>
      </c>
      <c r="E1700" s="34" t="s">
        <v>388</v>
      </c>
      <c r="F1700" s="34" t="s">
        <v>589</v>
      </c>
      <c r="G1700" s="34" t="s">
        <v>43</v>
      </c>
      <c r="H1700" s="34" t="s">
        <v>40</v>
      </c>
      <c r="I1700" s="34" t="s">
        <v>19</v>
      </c>
      <c r="J1700" s="34" t="s">
        <v>27</v>
      </c>
      <c r="K1700" s="34" t="s">
        <v>48</v>
      </c>
      <c r="L1700" s="34" t="s">
        <v>47</v>
      </c>
      <c r="M1700">
        <v>-0.215</v>
      </c>
    </row>
    <row r="1701" spans="1:13" x14ac:dyDescent="0.3">
      <c r="A1701" s="34" t="s">
        <v>662</v>
      </c>
      <c r="B1701">
        <v>-1</v>
      </c>
      <c r="C1701">
        <v>2050</v>
      </c>
      <c r="D1701" s="34" t="s">
        <v>387</v>
      </c>
      <c r="E1701" s="34" t="s">
        <v>388</v>
      </c>
      <c r="F1701" s="34" t="s">
        <v>589</v>
      </c>
      <c r="G1701" s="34" t="s">
        <v>591</v>
      </c>
      <c r="H1701" s="34" t="s">
        <v>40</v>
      </c>
      <c r="I1701" s="34" t="s">
        <v>19</v>
      </c>
      <c r="J1701" s="34" t="s">
        <v>27</v>
      </c>
      <c r="K1701" s="34" t="s">
        <v>49</v>
      </c>
      <c r="L1701" s="34" t="s">
        <v>47</v>
      </c>
      <c r="M1701">
        <v>2.4741469717965835E-2</v>
      </c>
    </row>
    <row r="1702" spans="1:13" x14ac:dyDescent="0.3">
      <c r="A1702" s="34" t="s">
        <v>662</v>
      </c>
      <c r="B1702">
        <v>-1</v>
      </c>
      <c r="C1702">
        <v>2050</v>
      </c>
      <c r="D1702" s="34" t="s">
        <v>387</v>
      </c>
      <c r="E1702" s="34" t="s">
        <v>388</v>
      </c>
      <c r="F1702" s="34" t="s">
        <v>589</v>
      </c>
      <c r="G1702" s="34" t="s">
        <v>261</v>
      </c>
      <c r="H1702" s="34" t="s">
        <v>237</v>
      </c>
      <c r="I1702" s="34" t="s">
        <v>19</v>
      </c>
      <c r="J1702" s="34" t="s">
        <v>27</v>
      </c>
      <c r="K1702" s="34" t="s">
        <v>46</v>
      </c>
      <c r="L1702" s="34" t="s">
        <v>47</v>
      </c>
      <c r="M1702">
        <v>0.11</v>
      </c>
    </row>
    <row r="1703" spans="1:13" x14ac:dyDescent="0.3">
      <c r="A1703" s="34" t="s">
        <v>662</v>
      </c>
      <c r="B1703">
        <v>-1</v>
      </c>
      <c r="C1703">
        <v>2050</v>
      </c>
      <c r="D1703" s="34" t="s">
        <v>387</v>
      </c>
      <c r="E1703" s="34" t="s">
        <v>388</v>
      </c>
      <c r="F1703" s="34" t="s">
        <v>589</v>
      </c>
      <c r="G1703" s="34" t="s">
        <v>261</v>
      </c>
      <c r="H1703" s="34" t="s">
        <v>237</v>
      </c>
      <c r="I1703" s="34" t="s">
        <v>19</v>
      </c>
      <c r="J1703" s="34" t="s">
        <v>27</v>
      </c>
      <c r="K1703" s="34" t="s">
        <v>48</v>
      </c>
      <c r="L1703" s="34" t="s">
        <v>47</v>
      </c>
      <c r="M1703">
        <v>-0.11</v>
      </c>
    </row>
    <row r="1704" spans="1:13" x14ac:dyDescent="0.3">
      <c r="A1704" s="34" t="s">
        <v>662</v>
      </c>
      <c r="B1704">
        <v>-1</v>
      </c>
      <c r="C1704">
        <v>2050</v>
      </c>
      <c r="D1704" s="34" t="s">
        <v>387</v>
      </c>
      <c r="E1704" s="34" t="s">
        <v>388</v>
      </c>
      <c r="F1704" s="34" t="s">
        <v>589</v>
      </c>
      <c r="G1704" s="34" t="s">
        <v>25</v>
      </c>
      <c r="H1704" s="34" t="s">
        <v>26</v>
      </c>
      <c r="I1704" s="34" t="s">
        <v>19</v>
      </c>
      <c r="J1704" s="34" t="s">
        <v>27</v>
      </c>
      <c r="K1704" s="34" t="s">
        <v>49</v>
      </c>
      <c r="L1704" s="34" t="s">
        <v>47</v>
      </c>
      <c r="M1704">
        <v>5.7797407607460966E-3</v>
      </c>
    </row>
    <row r="1705" spans="1:13" x14ac:dyDescent="0.3">
      <c r="A1705" s="34" t="s">
        <v>662</v>
      </c>
      <c r="B1705">
        <v>-1</v>
      </c>
      <c r="C1705">
        <v>2050</v>
      </c>
      <c r="D1705" s="34" t="s">
        <v>387</v>
      </c>
      <c r="E1705" s="34" t="s">
        <v>388</v>
      </c>
      <c r="F1705" s="34" t="s">
        <v>589</v>
      </c>
      <c r="G1705" s="34" t="s">
        <v>16</v>
      </c>
      <c r="H1705" s="34" t="s">
        <v>12</v>
      </c>
      <c r="I1705" s="34" t="s">
        <v>13</v>
      </c>
      <c r="J1705" s="34" t="s">
        <v>14</v>
      </c>
      <c r="K1705" s="34" t="s">
        <v>49</v>
      </c>
      <c r="L1705" s="34" t="s">
        <v>47</v>
      </c>
      <c r="M1705">
        <v>7.6172869268929341E-2</v>
      </c>
    </row>
    <row r="1706" spans="1:13" x14ac:dyDescent="0.3">
      <c r="A1706" s="34" t="s">
        <v>662</v>
      </c>
      <c r="B1706">
        <v>-1</v>
      </c>
      <c r="C1706">
        <v>2050</v>
      </c>
      <c r="D1706" s="34" t="s">
        <v>387</v>
      </c>
      <c r="E1706" s="34" t="s">
        <v>388</v>
      </c>
      <c r="F1706" s="34" t="s">
        <v>589</v>
      </c>
      <c r="G1706" s="34" t="s">
        <v>393</v>
      </c>
      <c r="H1706" s="34" t="s">
        <v>13</v>
      </c>
      <c r="I1706" s="34" t="s">
        <v>19</v>
      </c>
      <c r="J1706" s="34" t="s">
        <v>391</v>
      </c>
      <c r="K1706" s="34" t="s">
        <v>49</v>
      </c>
      <c r="L1706" s="34" t="s">
        <v>47</v>
      </c>
      <c r="M1706">
        <v>5.1161462409174664E-2</v>
      </c>
    </row>
    <row r="1707" spans="1:13" x14ac:dyDescent="0.3">
      <c r="A1707" s="34" t="s">
        <v>662</v>
      </c>
      <c r="B1707">
        <v>-1</v>
      </c>
      <c r="C1707">
        <v>2050</v>
      </c>
      <c r="D1707" s="34" t="s">
        <v>387</v>
      </c>
      <c r="E1707" s="34" t="s">
        <v>388</v>
      </c>
      <c r="F1707" s="34" t="s">
        <v>589</v>
      </c>
      <c r="G1707" s="34" t="s">
        <v>57</v>
      </c>
      <c r="H1707" s="34" t="s">
        <v>13</v>
      </c>
      <c r="I1707" s="34" t="s">
        <v>13</v>
      </c>
      <c r="J1707" s="34" t="s">
        <v>17</v>
      </c>
      <c r="K1707" s="34" t="s">
        <v>49</v>
      </c>
      <c r="L1707" s="34" t="s">
        <v>47</v>
      </c>
      <c r="M1707">
        <v>8.4846141725961406</v>
      </c>
    </row>
    <row r="1708" spans="1:13" x14ac:dyDescent="0.3">
      <c r="A1708" s="34" t="s">
        <v>662</v>
      </c>
      <c r="B1708">
        <v>-1</v>
      </c>
      <c r="C1708">
        <v>2050</v>
      </c>
      <c r="D1708" s="34" t="s">
        <v>387</v>
      </c>
      <c r="E1708" s="34" t="s">
        <v>388</v>
      </c>
      <c r="F1708" s="34" t="s">
        <v>642</v>
      </c>
      <c r="G1708" s="34" t="s">
        <v>28</v>
      </c>
      <c r="H1708" s="34" t="s">
        <v>23</v>
      </c>
      <c r="I1708" s="34" t="s">
        <v>19</v>
      </c>
      <c r="J1708" s="34" t="s">
        <v>24</v>
      </c>
      <c r="K1708" s="34" t="s">
        <v>46</v>
      </c>
      <c r="L1708" s="34" t="s">
        <v>47</v>
      </c>
      <c r="M1708">
        <v>0.36799999999999999</v>
      </c>
    </row>
    <row r="1709" spans="1:13" x14ac:dyDescent="0.3">
      <c r="A1709" s="34" t="s">
        <v>662</v>
      </c>
      <c r="B1709">
        <v>-1</v>
      </c>
      <c r="C1709">
        <v>2050</v>
      </c>
      <c r="D1709" s="34" t="s">
        <v>387</v>
      </c>
      <c r="E1709" s="34" t="s">
        <v>388</v>
      </c>
      <c r="F1709" s="34" t="s">
        <v>642</v>
      </c>
      <c r="G1709" s="34" t="s">
        <v>28</v>
      </c>
      <c r="H1709" s="34" t="s">
        <v>23</v>
      </c>
      <c r="I1709" s="34" t="s">
        <v>19</v>
      </c>
      <c r="J1709" s="34" t="s">
        <v>24</v>
      </c>
      <c r="K1709" s="34" t="s">
        <v>48</v>
      </c>
      <c r="L1709" s="34" t="s">
        <v>47</v>
      </c>
      <c r="M1709">
        <v>-0.36799999999999988</v>
      </c>
    </row>
    <row r="1710" spans="1:13" x14ac:dyDescent="0.3">
      <c r="A1710" s="34" t="s">
        <v>662</v>
      </c>
      <c r="B1710">
        <v>-1</v>
      </c>
      <c r="C1710">
        <v>2050</v>
      </c>
      <c r="D1710" s="34" t="s">
        <v>387</v>
      </c>
      <c r="E1710" s="34" t="s">
        <v>388</v>
      </c>
      <c r="F1710" s="34" t="s">
        <v>642</v>
      </c>
      <c r="G1710" s="34" t="s">
        <v>645</v>
      </c>
      <c r="H1710" s="34" t="s">
        <v>23</v>
      </c>
      <c r="I1710" s="34" t="s">
        <v>19</v>
      </c>
      <c r="J1710" s="34" t="s">
        <v>24</v>
      </c>
      <c r="K1710" s="34" t="s">
        <v>49</v>
      </c>
      <c r="L1710" s="34" t="s">
        <v>47</v>
      </c>
      <c r="M1710">
        <v>0.77251502985766307</v>
      </c>
    </row>
    <row r="1711" spans="1:13" x14ac:dyDescent="0.3">
      <c r="A1711" s="34" t="s">
        <v>662</v>
      </c>
      <c r="B1711">
        <v>-1</v>
      </c>
      <c r="C1711">
        <v>2050</v>
      </c>
      <c r="D1711" s="34" t="s">
        <v>389</v>
      </c>
      <c r="E1711" s="34" t="s">
        <v>390</v>
      </c>
      <c r="F1711" s="34" t="s">
        <v>590</v>
      </c>
      <c r="G1711" s="34" t="s">
        <v>279</v>
      </c>
      <c r="H1711" s="34" t="s">
        <v>237</v>
      </c>
      <c r="I1711" s="34" t="s">
        <v>19</v>
      </c>
      <c r="J1711" s="34" t="s">
        <v>27</v>
      </c>
      <c r="K1711" s="34" t="s">
        <v>46</v>
      </c>
      <c r="L1711" s="34" t="s">
        <v>47</v>
      </c>
      <c r="M1711">
        <v>0.44</v>
      </c>
    </row>
    <row r="1712" spans="1:13" x14ac:dyDescent="0.3">
      <c r="A1712" s="34" t="s">
        <v>662</v>
      </c>
      <c r="B1712">
        <v>-1</v>
      </c>
      <c r="C1712">
        <v>2050</v>
      </c>
      <c r="D1712" s="34" t="s">
        <v>389</v>
      </c>
      <c r="E1712" s="34" t="s">
        <v>390</v>
      </c>
      <c r="F1712" s="34" t="s">
        <v>590</v>
      </c>
      <c r="G1712" s="34" t="s">
        <v>279</v>
      </c>
      <c r="H1712" s="34" t="s">
        <v>237</v>
      </c>
      <c r="I1712" s="34" t="s">
        <v>19</v>
      </c>
      <c r="J1712" s="34" t="s">
        <v>27</v>
      </c>
      <c r="K1712" s="34" t="s">
        <v>48</v>
      </c>
      <c r="L1712" s="34" t="s">
        <v>47</v>
      </c>
      <c r="M1712">
        <v>-0.44</v>
      </c>
    </row>
    <row r="1713" spans="1:13" x14ac:dyDescent="0.3">
      <c r="A1713" s="34" t="s">
        <v>662</v>
      </c>
      <c r="B1713">
        <v>-1</v>
      </c>
      <c r="C1713">
        <v>2050</v>
      </c>
      <c r="D1713" s="34" t="s">
        <v>389</v>
      </c>
      <c r="E1713" s="34" t="s">
        <v>390</v>
      </c>
      <c r="F1713" s="34" t="s">
        <v>590</v>
      </c>
      <c r="G1713" s="34" t="s">
        <v>261</v>
      </c>
      <c r="H1713" s="34" t="s">
        <v>237</v>
      </c>
      <c r="I1713" s="34" t="s">
        <v>19</v>
      </c>
      <c r="J1713" s="34" t="s">
        <v>27</v>
      </c>
      <c r="K1713" s="34" t="s">
        <v>46</v>
      </c>
      <c r="L1713" s="34" t="s">
        <v>47</v>
      </c>
      <c r="M1713">
        <v>0.15</v>
      </c>
    </row>
    <row r="1714" spans="1:13" x14ac:dyDescent="0.3">
      <c r="A1714" s="34" t="s">
        <v>662</v>
      </c>
      <c r="B1714">
        <v>-1</v>
      </c>
      <c r="C1714">
        <v>2050</v>
      </c>
      <c r="D1714" s="34" t="s">
        <v>389</v>
      </c>
      <c r="E1714" s="34" t="s">
        <v>390</v>
      </c>
      <c r="F1714" s="34" t="s">
        <v>590</v>
      </c>
      <c r="G1714" s="34" t="s">
        <v>261</v>
      </c>
      <c r="H1714" s="34" t="s">
        <v>237</v>
      </c>
      <c r="I1714" s="34" t="s">
        <v>19</v>
      </c>
      <c r="J1714" s="34" t="s">
        <v>27</v>
      </c>
      <c r="K1714" s="34" t="s">
        <v>48</v>
      </c>
      <c r="L1714" s="34" t="s">
        <v>47</v>
      </c>
      <c r="M1714">
        <v>-0.15</v>
      </c>
    </row>
    <row r="1715" spans="1:13" x14ac:dyDescent="0.3">
      <c r="A1715" s="34" t="s">
        <v>662</v>
      </c>
      <c r="B1715">
        <v>-1</v>
      </c>
      <c r="C1715">
        <v>2050</v>
      </c>
      <c r="D1715" s="34" t="s">
        <v>389</v>
      </c>
      <c r="E1715" s="34" t="s">
        <v>390</v>
      </c>
      <c r="F1715" s="34" t="s">
        <v>590</v>
      </c>
      <c r="G1715" s="34" t="s">
        <v>343</v>
      </c>
      <c r="H1715" s="34" t="s">
        <v>40</v>
      </c>
      <c r="I1715" s="34" t="s">
        <v>19</v>
      </c>
      <c r="J1715" s="34" t="s">
        <v>27</v>
      </c>
      <c r="K1715" s="34" t="s">
        <v>46</v>
      </c>
      <c r="L1715" s="34" t="s">
        <v>47</v>
      </c>
      <c r="M1715">
        <v>3.5000000000000003E-2</v>
      </c>
    </row>
    <row r="1716" spans="1:13" x14ac:dyDescent="0.3">
      <c r="A1716" s="34" t="s">
        <v>662</v>
      </c>
      <c r="B1716">
        <v>-1</v>
      </c>
      <c r="C1716">
        <v>2050</v>
      </c>
      <c r="D1716" s="34" t="s">
        <v>389</v>
      </c>
      <c r="E1716" s="34" t="s">
        <v>390</v>
      </c>
      <c r="F1716" s="34" t="s">
        <v>590</v>
      </c>
      <c r="G1716" s="34" t="s">
        <v>343</v>
      </c>
      <c r="H1716" s="34" t="s">
        <v>40</v>
      </c>
      <c r="I1716" s="34" t="s">
        <v>19</v>
      </c>
      <c r="J1716" s="34" t="s">
        <v>27</v>
      </c>
      <c r="K1716" s="34" t="s">
        <v>48</v>
      </c>
      <c r="L1716" s="34" t="s">
        <v>47</v>
      </c>
      <c r="M1716">
        <v>-3.5000000000000003E-2</v>
      </c>
    </row>
    <row r="1717" spans="1:13" x14ac:dyDescent="0.3">
      <c r="A1717" s="34" t="s">
        <v>662</v>
      </c>
      <c r="B1717">
        <v>-1</v>
      </c>
      <c r="C1717">
        <v>2050</v>
      </c>
      <c r="D1717" s="34" t="s">
        <v>389</v>
      </c>
      <c r="E1717" s="34" t="s">
        <v>390</v>
      </c>
      <c r="F1717" s="34" t="s">
        <v>590</v>
      </c>
      <c r="G1717" s="34" t="s">
        <v>288</v>
      </c>
      <c r="H1717" s="34" t="s">
        <v>237</v>
      </c>
      <c r="I1717" s="34" t="s">
        <v>19</v>
      </c>
      <c r="J1717" s="34" t="s">
        <v>27</v>
      </c>
      <c r="K1717" s="34" t="s">
        <v>46</v>
      </c>
      <c r="L1717" s="34" t="s">
        <v>47</v>
      </c>
      <c r="M1717">
        <v>0.85</v>
      </c>
    </row>
    <row r="1718" spans="1:13" x14ac:dyDescent="0.3">
      <c r="A1718" s="34" t="s">
        <v>662</v>
      </c>
      <c r="B1718">
        <v>-1</v>
      </c>
      <c r="C1718">
        <v>2050</v>
      </c>
      <c r="D1718" s="34" t="s">
        <v>389</v>
      </c>
      <c r="E1718" s="34" t="s">
        <v>390</v>
      </c>
      <c r="F1718" s="34" t="s">
        <v>590</v>
      </c>
      <c r="G1718" s="34" t="s">
        <v>288</v>
      </c>
      <c r="H1718" s="34" t="s">
        <v>237</v>
      </c>
      <c r="I1718" s="34" t="s">
        <v>19</v>
      </c>
      <c r="J1718" s="34" t="s">
        <v>27</v>
      </c>
      <c r="K1718" s="34" t="s">
        <v>48</v>
      </c>
      <c r="L1718" s="34" t="s">
        <v>47</v>
      </c>
      <c r="M1718">
        <v>-0.85</v>
      </c>
    </row>
    <row r="1719" spans="1:13" x14ac:dyDescent="0.3">
      <c r="A1719" s="34" t="s">
        <v>662</v>
      </c>
      <c r="B1719">
        <v>-1</v>
      </c>
      <c r="C1719">
        <v>2050</v>
      </c>
      <c r="D1719" s="34" t="s">
        <v>389</v>
      </c>
      <c r="E1719" s="34" t="s">
        <v>390</v>
      </c>
      <c r="F1719" s="34" t="s">
        <v>590</v>
      </c>
      <c r="G1719" s="34" t="s">
        <v>52</v>
      </c>
      <c r="H1719" s="34" t="s">
        <v>53</v>
      </c>
      <c r="I1719" s="34" t="s">
        <v>19</v>
      </c>
      <c r="J1719" s="34" t="s">
        <v>27</v>
      </c>
      <c r="K1719" s="34" t="s">
        <v>46</v>
      </c>
      <c r="L1719" s="34" t="s">
        <v>47</v>
      </c>
      <c r="M1719">
        <v>1.7000000000000001E-2</v>
      </c>
    </row>
    <row r="1720" spans="1:13" x14ac:dyDescent="0.3">
      <c r="A1720" s="34" t="s">
        <v>662</v>
      </c>
      <c r="B1720">
        <v>-1</v>
      </c>
      <c r="C1720">
        <v>2050</v>
      </c>
      <c r="D1720" s="34" t="s">
        <v>389</v>
      </c>
      <c r="E1720" s="34" t="s">
        <v>390</v>
      </c>
      <c r="F1720" s="34" t="s">
        <v>590</v>
      </c>
      <c r="G1720" s="34" t="s">
        <v>52</v>
      </c>
      <c r="H1720" s="34" t="s">
        <v>53</v>
      </c>
      <c r="I1720" s="34" t="s">
        <v>19</v>
      </c>
      <c r="J1720" s="34" t="s">
        <v>27</v>
      </c>
      <c r="K1720" s="34" t="s">
        <v>48</v>
      </c>
      <c r="L1720" s="34" t="s">
        <v>47</v>
      </c>
      <c r="M1720">
        <v>-1.6999999999999998E-2</v>
      </c>
    </row>
    <row r="1721" spans="1:13" x14ac:dyDescent="0.3">
      <c r="A1721" s="34" t="s">
        <v>662</v>
      </c>
      <c r="B1721">
        <v>-1</v>
      </c>
      <c r="C1721">
        <v>2050</v>
      </c>
      <c r="D1721" s="34" t="s">
        <v>389</v>
      </c>
      <c r="E1721" s="34" t="s">
        <v>390</v>
      </c>
      <c r="F1721" s="34" t="s">
        <v>643</v>
      </c>
      <c r="G1721" s="34" t="s">
        <v>28</v>
      </c>
      <c r="H1721" s="34" t="s">
        <v>23</v>
      </c>
      <c r="I1721" s="34" t="s">
        <v>19</v>
      </c>
      <c r="J1721" s="34" t="s">
        <v>24</v>
      </c>
      <c r="K1721" s="34" t="s">
        <v>46</v>
      </c>
      <c r="L1721" s="34" t="s">
        <v>47</v>
      </c>
      <c r="M1721">
        <v>0.26700000000000002</v>
      </c>
    </row>
    <row r="1722" spans="1:13" x14ac:dyDescent="0.3">
      <c r="A1722" s="34" t="s">
        <v>662</v>
      </c>
      <c r="B1722">
        <v>-1</v>
      </c>
      <c r="C1722">
        <v>2050</v>
      </c>
      <c r="D1722" s="34" t="s">
        <v>389</v>
      </c>
      <c r="E1722" s="34" t="s">
        <v>390</v>
      </c>
      <c r="F1722" s="34" t="s">
        <v>643</v>
      </c>
      <c r="G1722" s="34" t="s">
        <v>28</v>
      </c>
      <c r="H1722" s="34" t="s">
        <v>23</v>
      </c>
      <c r="I1722" s="34" t="s">
        <v>19</v>
      </c>
      <c r="J1722" s="34" t="s">
        <v>24</v>
      </c>
      <c r="K1722" s="34" t="s">
        <v>48</v>
      </c>
      <c r="L1722" s="34" t="s">
        <v>47</v>
      </c>
      <c r="M1722">
        <v>-0.26699999999999996</v>
      </c>
    </row>
    <row r="1723" spans="1:13" x14ac:dyDescent="0.3">
      <c r="A1723" s="34" t="s">
        <v>662</v>
      </c>
      <c r="B1723">
        <v>-1</v>
      </c>
      <c r="C1723">
        <v>2050</v>
      </c>
      <c r="D1723" s="34" t="s">
        <v>389</v>
      </c>
      <c r="E1723" s="34" t="s">
        <v>390</v>
      </c>
      <c r="F1723" s="34" t="s">
        <v>643</v>
      </c>
      <c r="G1723" s="34" t="s">
        <v>588</v>
      </c>
      <c r="H1723" s="34" t="s">
        <v>21</v>
      </c>
      <c r="I1723" s="34" t="s">
        <v>19</v>
      </c>
      <c r="J1723" s="34" t="s">
        <v>22</v>
      </c>
      <c r="K1723" s="34" t="s">
        <v>46</v>
      </c>
      <c r="L1723" s="34" t="s">
        <v>47</v>
      </c>
      <c r="M1723">
        <v>0.3</v>
      </c>
    </row>
    <row r="1724" spans="1:13" x14ac:dyDescent="0.3">
      <c r="A1724" s="34" t="s">
        <v>662</v>
      </c>
      <c r="B1724">
        <v>-1</v>
      </c>
      <c r="C1724">
        <v>2050</v>
      </c>
      <c r="D1724" s="34" t="s">
        <v>389</v>
      </c>
      <c r="E1724" s="34" t="s">
        <v>390</v>
      </c>
      <c r="F1724" s="34" t="s">
        <v>643</v>
      </c>
      <c r="G1724" s="34" t="s">
        <v>588</v>
      </c>
      <c r="H1724" s="34" t="s">
        <v>21</v>
      </c>
      <c r="I1724" s="34" t="s">
        <v>19</v>
      </c>
      <c r="J1724" s="34" t="s">
        <v>22</v>
      </c>
      <c r="K1724" s="34" t="s">
        <v>48</v>
      </c>
      <c r="L1724" s="34" t="s">
        <v>47</v>
      </c>
      <c r="M1724">
        <v>-0.3</v>
      </c>
    </row>
    <row r="1725" spans="1:13" x14ac:dyDescent="0.3">
      <c r="A1725" s="34" t="s">
        <v>662</v>
      </c>
      <c r="B1725">
        <v>-1</v>
      </c>
      <c r="C1725">
        <v>2050</v>
      </c>
      <c r="D1725" s="34" t="s">
        <v>389</v>
      </c>
      <c r="E1725" s="34" t="s">
        <v>390</v>
      </c>
      <c r="F1725" s="34" t="s">
        <v>643</v>
      </c>
      <c r="G1725" s="34" t="s">
        <v>29</v>
      </c>
      <c r="H1725" s="34" t="s">
        <v>21</v>
      </c>
      <c r="I1725" s="34" t="s">
        <v>19</v>
      </c>
      <c r="J1725" s="34" t="s">
        <v>22</v>
      </c>
      <c r="K1725" s="34" t="s">
        <v>46</v>
      </c>
      <c r="L1725" s="34" t="s">
        <v>47</v>
      </c>
      <c r="M1725">
        <v>0.09</v>
      </c>
    </row>
    <row r="1726" spans="1:13" x14ac:dyDescent="0.3">
      <c r="A1726" s="34" t="s">
        <v>662</v>
      </c>
      <c r="B1726">
        <v>-1</v>
      </c>
      <c r="C1726">
        <v>2050</v>
      </c>
      <c r="D1726" s="34" t="s">
        <v>389</v>
      </c>
      <c r="E1726" s="34" t="s">
        <v>390</v>
      </c>
      <c r="F1726" s="34" t="s">
        <v>643</v>
      </c>
      <c r="G1726" s="34" t="s">
        <v>29</v>
      </c>
      <c r="H1726" s="34" t="s">
        <v>21</v>
      </c>
      <c r="I1726" s="34" t="s">
        <v>19</v>
      </c>
      <c r="J1726" s="34" t="s">
        <v>22</v>
      </c>
      <c r="K1726" s="34" t="s">
        <v>48</v>
      </c>
      <c r="L1726" s="34" t="s">
        <v>47</v>
      </c>
      <c r="M1726">
        <v>-0.09</v>
      </c>
    </row>
    <row r="1727" spans="1:13" x14ac:dyDescent="0.3">
      <c r="A1727" s="34" t="s">
        <v>662</v>
      </c>
      <c r="B1727">
        <v>-1</v>
      </c>
      <c r="C1727">
        <v>2050</v>
      </c>
      <c r="D1727" s="34" t="s">
        <v>389</v>
      </c>
      <c r="E1727" s="34" t="s">
        <v>390</v>
      </c>
      <c r="F1727" s="34" t="s">
        <v>643</v>
      </c>
      <c r="G1727" s="34" t="s">
        <v>20</v>
      </c>
      <c r="H1727" s="34" t="s">
        <v>21</v>
      </c>
      <c r="I1727" s="34" t="s">
        <v>19</v>
      </c>
      <c r="J1727" s="34" t="s">
        <v>22</v>
      </c>
      <c r="K1727" s="34" t="s">
        <v>46</v>
      </c>
      <c r="L1727" s="34" t="s">
        <v>47</v>
      </c>
      <c r="M1727">
        <v>0.19500000000000001</v>
      </c>
    </row>
    <row r="1728" spans="1:13" x14ac:dyDescent="0.3">
      <c r="A1728" s="34" t="s">
        <v>662</v>
      </c>
      <c r="B1728">
        <v>-1</v>
      </c>
      <c r="C1728">
        <v>2050</v>
      </c>
      <c r="D1728" s="34" t="s">
        <v>389</v>
      </c>
      <c r="E1728" s="34" t="s">
        <v>390</v>
      </c>
      <c r="F1728" s="34" t="s">
        <v>643</v>
      </c>
      <c r="G1728" s="34" t="s">
        <v>20</v>
      </c>
      <c r="H1728" s="34" t="s">
        <v>21</v>
      </c>
      <c r="I1728" s="34" t="s">
        <v>19</v>
      </c>
      <c r="J1728" s="34" t="s">
        <v>22</v>
      </c>
      <c r="K1728" s="34" t="s">
        <v>48</v>
      </c>
      <c r="L1728" s="34" t="s">
        <v>47</v>
      </c>
      <c r="M1728">
        <v>-0.19500000000000001</v>
      </c>
    </row>
    <row r="1729" spans="1:13" x14ac:dyDescent="0.3">
      <c r="A1729" s="34" t="s">
        <v>662</v>
      </c>
      <c r="B1729">
        <v>-1</v>
      </c>
      <c r="C1729">
        <v>2050</v>
      </c>
      <c r="D1729" s="34" t="s">
        <v>389</v>
      </c>
      <c r="E1729" s="34" t="s">
        <v>390</v>
      </c>
      <c r="F1729" s="34" t="s">
        <v>643</v>
      </c>
      <c r="G1729" s="34" t="s">
        <v>30</v>
      </c>
      <c r="H1729" s="34" t="s">
        <v>21</v>
      </c>
      <c r="I1729" s="34" t="s">
        <v>19</v>
      </c>
      <c r="J1729" s="34" t="s">
        <v>22</v>
      </c>
      <c r="K1729" s="34" t="s">
        <v>46</v>
      </c>
      <c r="L1729" s="34" t="s">
        <v>47</v>
      </c>
      <c r="M1729">
        <v>1.4999999999999999E-2</v>
      </c>
    </row>
    <row r="1730" spans="1:13" x14ac:dyDescent="0.3">
      <c r="A1730" s="34" t="s">
        <v>662</v>
      </c>
      <c r="B1730">
        <v>-1</v>
      </c>
      <c r="C1730">
        <v>2050</v>
      </c>
      <c r="D1730" s="34" t="s">
        <v>389</v>
      </c>
      <c r="E1730" s="34" t="s">
        <v>390</v>
      </c>
      <c r="F1730" s="34" t="s">
        <v>643</v>
      </c>
      <c r="G1730" s="34" t="s">
        <v>30</v>
      </c>
      <c r="H1730" s="34" t="s">
        <v>21</v>
      </c>
      <c r="I1730" s="34" t="s">
        <v>19</v>
      </c>
      <c r="J1730" s="34" t="s">
        <v>22</v>
      </c>
      <c r="K1730" s="34" t="s">
        <v>48</v>
      </c>
      <c r="L1730" s="34" t="s">
        <v>47</v>
      </c>
      <c r="M1730">
        <v>-1.4999999999999999E-2</v>
      </c>
    </row>
    <row r="1731" spans="1:13" x14ac:dyDescent="0.3">
      <c r="A1731" s="34" t="s">
        <v>662</v>
      </c>
      <c r="B1731">
        <v>-1</v>
      </c>
      <c r="C1731">
        <v>2050</v>
      </c>
      <c r="D1731" s="34" t="s">
        <v>389</v>
      </c>
      <c r="E1731" s="34" t="s">
        <v>390</v>
      </c>
      <c r="F1731" s="34" t="s">
        <v>643</v>
      </c>
      <c r="G1731" s="34" t="s">
        <v>645</v>
      </c>
      <c r="H1731" s="34" t="s">
        <v>23</v>
      </c>
      <c r="I1731" s="34" t="s">
        <v>19</v>
      </c>
      <c r="J1731" s="34" t="s">
        <v>24</v>
      </c>
      <c r="K1731" s="34" t="s">
        <v>49</v>
      </c>
      <c r="L1731" s="34" t="s">
        <v>47</v>
      </c>
      <c r="M1731">
        <v>1.4715110021198021</v>
      </c>
    </row>
    <row r="8481" spans="24:24" x14ac:dyDescent="0.3">
      <c r="X8481" s="5"/>
    </row>
  </sheetData>
  <phoneticPr fontId="1" type="noConversion"/>
  <pageMargins left="0.7" right="0.7" top="0.75" bottom="0.75" header="0.3" footer="0.3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DF1D5-E791-46CD-8FAE-8D4E06954742}">
  <sheetPr codeName="Sheet5">
    <tabColor theme="4" tint="0.59999389629810485"/>
  </sheetPr>
  <dimension ref="A1:V440"/>
  <sheetViews>
    <sheetView topLeftCell="N1" workbookViewId="0">
      <selection activeCell="O18" sqref="O18"/>
    </sheetView>
  </sheetViews>
  <sheetFormatPr defaultRowHeight="14.4" x14ac:dyDescent="0.3"/>
  <cols>
    <col min="1" max="1" width="17.44140625" bestFit="1" customWidth="1"/>
    <col min="2" max="2" width="10.6640625" bestFit="1" customWidth="1"/>
    <col min="3" max="3" width="5" bestFit="1" customWidth="1"/>
    <col min="4" max="4" width="26.21875" bestFit="1" customWidth="1"/>
    <col min="5" max="5" width="5.44140625" bestFit="1" customWidth="1"/>
    <col min="6" max="6" width="12.109375" bestFit="1" customWidth="1"/>
    <col min="7" max="7" width="45.5546875" bestFit="1" customWidth="1"/>
    <col min="8" max="8" width="11.6640625" bestFit="1" customWidth="1"/>
    <col min="9" max="9" width="13.44140625" bestFit="1" customWidth="1"/>
    <col min="10" max="10" width="31.21875" bestFit="1" customWidth="1"/>
    <col min="11" max="11" width="6.77734375" bestFit="1" customWidth="1"/>
    <col min="12" max="12" width="12.6640625" bestFit="1" customWidth="1"/>
    <col min="15" max="15" width="18.88671875" bestFit="1" customWidth="1"/>
    <col min="16" max="16" width="16.77734375" bestFit="1" customWidth="1"/>
    <col min="17" max="17" width="14.6640625" bestFit="1" customWidth="1"/>
    <col min="18" max="18" width="19.6640625" bestFit="1" customWidth="1"/>
    <col min="19" max="19" width="21.5546875" bestFit="1" customWidth="1"/>
    <col min="20" max="25" width="12" bestFit="1" customWidth="1"/>
    <col min="26" max="26" width="17.109375" bestFit="1" customWidth="1"/>
    <col min="27" max="27" width="17.88671875" bestFit="1" customWidth="1"/>
    <col min="28" max="28" width="12" bestFit="1" customWidth="1"/>
    <col min="29" max="29" width="19.88671875" bestFit="1" customWidth="1"/>
    <col min="30" max="30" width="29.88671875" bestFit="1" customWidth="1"/>
    <col min="31" max="32" width="22.88671875" bestFit="1" customWidth="1"/>
    <col min="33" max="33" width="20.109375" bestFit="1" customWidth="1"/>
    <col min="34" max="36" width="22.6640625" bestFit="1" customWidth="1"/>
    <col min="37" max="37" width="19.88671875" bestFit="1" customWidth="1"/>
    <col min="38" max="38" width="22.44140625" bestFit="1" customWidth="1"/>
    <col min="39" max="39" width="19.6640625" bestFit="1" customWidth="1"/>
    <col min="40" max="40" width="29.6640625" bestFit="1" customWidth="1"/>
    <col min="41" max="41" width="32.6640625" bestFit="1" customWidth="1"/>
    <col min="42" max="42" width="33" bestFit="1" customWidth="1"/>
    <col min="43" max="43" width="28" bestFit="1" customWidth="1"/>
    <col min="44" max="44" width="25.44140625" bestFit="1" customWidth="1"/>
    <col min="45" max="45" width="25.5546875" bestFit="1" customWidth="1"/>
    <col min="46" max="46" width="22.77734375" bestFit="1" customWidth="1"/>
    <col min="47" max="47" width="32.6640625" bestFit="1" customWidth="1"/>
    <col min="48" max="48" width="33.44140625" bestFit="1" customWidth="1"/>
    <col min="49" max="49" width="24" bestFit="1" customWidth="1"/>
    <col min="50" max="50" width="21.33203125" bestFit="1" customWidth="1"/>
    <col min="51" max="52" width="23.5546875" bestFit="1" customWidth="1"/>
    <col min="53" max="53" width="30.77734375" bestFit="1" customWidth="1"/>
    <col min="54" max="54" width="24" bestFit="1" customWidth="1"/>
    <col min="55" max="55" width="21.33203125" bestFit="1" customWidth="1"/>
    <col min="56" max="57" width="23.5546875" bestFit="1" customWidth="1"/>
    <col min="58" max="58" width="30.77734375" bestFit="1" customWidth="1"/>
    <col min="59" max="59" width="22.33203125" bestFit="1" customWidth="1"/>
    <col min="60" max="60" width="22.77734375" bestFit="1" customWidth="1"/>
    <col min="61" max="61" width="20" bestFit="1" customWidth="1"/>
    <col min="62" max="64" width="22.33203125" bestFit="1" customWidth="1"/>
    <col min="65" max="65" width="19.5546875" bestFit="1" customWidth="1"/>
    <col min="66" max="66" width="29.5546875" bestFit="1" customWidth="1"/>
    <col min="67" max="67" width="30.21875" bestFit="1" customWidth="1"/>
    <col min="68" max="68" width="12" bestFit="1" customWidth="1"/>
    <col min="69" max="71" width="22.33203125" bestFit="1" customWidth="1"/>
    <col min="72" max="72" width="19.5546875" bestFit="1" customWidth="1"/>
    <col min="73" max="73" width="29.5546875" bestFit="1" customWidth="1"/>
    <col min="74" max="74" width="20.44140625" bestFit="1" customWidth="1"/>
    <col min="75" max="76" width="22.77734375" bestFit="1" customWidth="1"/>
    <col min="77" max="77" width="20" bestFit="1" customWidth="1"/>
    <col min="78" max="79" width="30" bestFit="1" customWidth="1"/>
    <col min="80" max="82" width="22.77734375" bestFit="1" customWidth="1"/>
    <col min="83" max="83" width="30" bestFit="1" customWidth="1"/>
    <col min="84" max="84" width="21.77734375" bestFit="1" customWidth="1"/>
    <col min="85" max="85" width="29" bestFit="1" customWidth="1"/>
    <col min="86" max="86" width="19.33203125" bestFit="1" customWidth="1"/>
    <col min="87" max="89" width="21.6640625" bestFit="1" customWidth="1"/>
    <col min="90" max="90" width="18.88671875" bestFit="1" customWidth="1"/>
    <col min="91" max="91" width="28.88671875" bestFit="1" customWidth="1"/>
    <col min="92" max="92" width="12" bestFit="1" customWidth="1"/>
    <col min="93" max="93" width="22.109375" bestFit="1" customWidth="1"/>
    <col min="94" max="94" width="29.33203125" bestFit="1" customWidth="1"/>
    <col min="95" max="97" width="22.33203125" bestFit="1" customWidth="1"/>
    <col min="98" max="98" width="19.5546875" bestFit="1" customWidth="1"/>
    <col min="99" max="99" width="22.77734375" bestFit="1" customWidth="1"/>
    <col min="100" max="100" width="20" bestFit="1" customWidth="1"/>
    <col min="101" max="101" width="30" bestFit="1" customWidth="1"/>
    <col min="102" max="104" width="22.77734375" bestFit="1" customWidth="1"/>
    <col min="105" max="105" width="20" bestFit="1" customWidth="1"/>
    <col min="106" max="106" width="30" bestFit="1" customWidth="1"/>
    <col min="107" max="109" width="22.6640625" bestFit="1" customWidth="1"/>
    <col min="110" max="110" width="19.88671875" bestFit="1" customWidth="1"/>
    <col min="111" max="111" width="12" bestFit="1" customWidth="1"/>
    <col min="112" max="112" width="22.44140625" bestFit="1" customWidth="1"/>
    <col min="113" max="113" width="29.6640625" bestFit="1" customWidth="1"/>
    <col min="114" max="118" width="31.109375" bestFit="1" customWidth="1"/>
    <col min="119" max="120" width="12" bestFit="1" customWidth="1"/>
    <col min="121" max="121" width="22.21875" bestFit="1" customWidth="1"/>
    <col min="122" max="122" width="29.44140625" bestFit="1" customWidth="1"/>
    <col min="123" max="123" width="19.88671875" bestFit="1" customWidth="1"/>
    <col min="124" max="126" width="22.21875" bestFit="1" customWidth="1"/>
    <col min="127" max="127" width="19.44140625" bestFit="1" customWidth="1"/>
    <col min="128" max="128" width="29.44140625" bestFit="1" customWidth="1"/>
    <col min="129" max="130" width="22.77734375" bestFit="1" customWidth="1"/>
    <col min="131" max="131" width="20" bestFit="1" customWidth="1"/>
    <col min="132" max="132" width="30" bestFit="1" customWidth="1"/>
    <col min="133" max="135" width="22.44140625" bestFit="1" customWidth="1"/>
    <col min="136" max="136" width="19.6640625" bestFit="1" customWidth="1"/>
    <col min="137" max="137" width="29.6640625" bestFit="1" customWidth="1"/>
    <col min="138" max="139" width="30.5546875" bestFit="1" customWidth="1"/>
    <col min="140" max="141" width="23.33203125" bestFit="1" customWidth="1"/>
    <col min="142" max="142" width="30.5546875" bestFit="1" customWidth="1"/>
    <col min="143" max="144" width="23.33203125" bestFit="1" customWidth="1"/>
    <col min="145" max="145" width="30.5546875" bestFit="1" customWidth="1"/>
    <col min="146" max="146" width="19" bestFit="1" customWidth="1"/>
    <col min="147" max="147" width="29" bestFit="1" customWidth="1"/>
    <col min="148" max="148" width="22.33203125" bestFit="1" customWidth="1"/>
    <col min="149" max="149" width="19.5546875" bestFit="1" customWidth="1"/>
    <col min="150" max="150" width="29.5546875" bestFit="1" customWidth="1"/>
    <col min="151" max="153" width="22.33203125" bestFit="1" customWidth="1"/>
    <col min="154" max="154" width="19.5546875" bestFit="1" customWidth="1"/>
    <col min="155" max="155" width="29.5546875" bestFit="1" customWidth="1"/>
    <col min="156" max="157" width="22.44140625" bestFit="1" customWidth="1"/>
    <col min="158" max="158" width="19.6640625" bestFit="1" customWidth="1"/>
    <col min="159" max="159" width="29.6640625" bestFit="1" customWidth="1"/>
    <col min="160" max="160" width="11" bestFit="1" customWidth="1"/>
    <col min="161" max="169" width="12" bestFit="1" customWidth="1"/>
    <col min="170" max="170" width="12.21875" bestFit="1" customWidth="1"/>
    <col min="171" max="173" width="12" bestFit="1" customWidth="1"/>
    <col min="174" max="174" width="11" bestFit="1" customWidth="1"/>
    <col min="175" max="190" width="12" bestFit="1" customWidth="1"/>
    <col min="191" max="191" width="10" bestFit="1" customWidth="1"/>
    <col min="192" max="193" width="12" bestFit="1" customWidth="1"/>
    <col min="194" max="194" width="11" bestFit="1" customWidth="1"/>
    <col min="195" max="195" width="12" bestFit="1" customWidth="1"/>
    <col min="196" max="196" width="10" bestFit="1" customWidth="1"/>
    <col min="197" max="201" width="12" bestFit="1" customWidth="1"/>
    <col min="202" max="202" width="10" bestFit="1" customWidth="1"/>
    <col min="203" max="222" width="12" bestFit="1" customWidth="1"/>
    <col min="223" max="223" width="12.21875" bestFit="1" customWidth="1"/>
    <col min="224" max="268" width="12" bestFit="1" customWidth="1"/>
    <col min="269" max="269" width="22.77734375" bestFit="1" customWidth="1"/>
    <col min="270" max="271" width="12" bestFit="1" customWidth="1"/>
    <col min="272" max="273" width="23.5546875" bestFit="1" customWidth="1"/>
    <col min="274" max="274" width="12" bestFit="1" customWidth="1"/>
    <col min="275" max="276" width="23.5546875" bestFit="1" customWidth="1"/>
    <col min="277" max="277" width="12" bestFit="1" customWidth="1"/>
    <col min="278" max="278" width="22.33203125" bestFit="1" customWidth="1"/>
    <col min="279" max="279" width="11" bestFit="1" customWidth="1"/>
    <col min="280" max="282" width="22.33203125" bestFit="1" customWidth="1"/>
    <col min="283" max="283" width="19.5546875" bestFit="1" customWidth="1"/>
    <col min="284" max="284" width="12" bestFit="1" customWidth="1"/>
    <col min="285" max="287" width="22.33203125" bestFit="1" customWidth="1"/>
    <col min="288" max="288" width="19.5546875" bestFit="1" customWidth="1"/>
    <col min="289" max="289" width="12" bestFit="1" customWidth="1"/>
    <col min="290" max="291" width="22.77734375" bestFit="1" customWidth="1"/>
    <col min="292" max="292" width="20" bestFit="1" customWidth="1"/>
    <col min="293" max="294" width="12" bestFit="1" customWidth="1"/>
    <col min="295" max="297" width="22.77734375" bestFit="1" customWidth="1"/>
    <col min="298" max="298" width="21.77734375" bestFit="1" customWidth="1"/>
    <col min="299" max="299" width="12" bestFit="1" customWidth="1"/>
    <col min="300" max="302" width="21.6640625" bestFit="1" customWidth="1"/>
    <col min="303" max="303" width="18.88671875" bestFit="1" customWidth="1"/>
    <col min="304" max="304" width="12" bestFit="1" customWidth="1"/>
    <col min="305" max="305" width="22.109375" bestFit="1" customWidth="1"/>
    <col min="306" max="306" width="12" bestFit="1" customWidth="1"/>
    <col min="307" max="309" width="22.33203125" bestFit="1" customWidth="1"/>
    <col min="310" max="310" width="19.5546875" bestFit="1" customWidth="1"/>
    <col min="311" max="311" width="22.77734375" bestFit="1" customWidth="1"/>
    <col min="312" max="312" width="20" bestFit="1" customWidth="1"/>
    <col min="313" max="315" width="22.77734375" bestFit="1" customWidth="1"/>
    <col min="316" max="316" width="20" bestFit="1" customWidth="1"/>
    <col min="317" max="317" width="12" bestFit="1" customWidth="1"/>
    <col min="318" max="320" width="22.6640625" bestFit="1" customWidth="1"/>
    <col min="321" max="321" width="19.88671875" bestFit="1" customWidth="1"/>
    <col min="322" max="322" width="12" bestFit="1" customWidth="1"/>
    <col min="323" max="323" width="22.44140625" bestFit="1" customWidth="1"/>
    <col min="324" max="324" width="12" bestFit="1" customWidth="1"/>
    <col min="325" max="325" width="22.21875" bestFit="1" customWidth="1"/>
    <col min="326" max="326" width="12" bestFit="1" customWidth="1"/>
    <col min="327" max="329" width="22.21875" bestFit="1" customWidth="1"/>
    <col min="330" max="330" width="19.44140625" bestFit="1" customWidth="1"/>
    <col min="331" max="331" width="12" bestFit="1" customWidth="1"/>
    <col min="332" max="333" width="22.77734375" bestFit="1" customWidth="1"/>
    <col min="334" max="334" width="20" bestFit="1" customWidth="1"/>
    <col min="335" max="335" width="12" bestFit="1" customWidth="1"/>
    <col min="336" max="338" width="22.44140625" bestFit="1" customWidth="1"/>
    <col min="339" max="339" width="19.6640625" bestFit="1" customWidth="1"/>
    <col min="340" max="343" width="23.33203125" bestFit="1" customWidth="1"/>
    <col min="344" max="344" width="12" bestFit="1" customWidth="1"/>
    <col min="345" max="345" width="19" bestFit="1" customWidth="1"/>
    <col min="346" max="346" width="12" bestFit="1" customWidth="1"/>
    <col min="347" max="347" width="22.33203125" bestFit="1" customWidth="1"/>
    <col min="348" max="348" width="19.5546875" bestFit="1" customWidth="1"/>
    <col min="349" max="349" width="12" bestFit="1" customWidth="1"/>
    <col min="350" max="352" width="22.33203125" bestFit="1" customWidth="1"/>
    <col min="353" max="353" width="19.5546875" bestFit="1" customWidth="1"/>
    <col min="354" max="354" width="12" bestFit="1" customWidth="1"/>
    <col min="355" max="356" width="22.44140625" bestFit="1" customWidth="1"/>
    <col min="357" max="357" width="19.6640625" bestFit="1" customWidth="1"/>
    <col min="358" max="358" width="14.5546875" bestFit="1" customWidth="1"/>
    <col min="359" max="359" width="12" bestFit="1" customWidth="1"/>
    <col min="360" max="360" width="15" bestFit="1" customWidth="1"/>
    <col min="361" max="361" width="15.21875" bestFit="1" customWidth="1"/>
    <col min="362" max="363" width="28" bestFit="1" customWidth="1"/>
    <col min="364" max="364" width="25.44140625" bestFit="1" customWidth="1"/>
    <col min="365" max="365" width="15.6640625" bestFit="1" customWidth="1"/>
    <col min="366" max="366" width="13.21875" bestFit="1" customWidth="1"/>
    <col min="367" max="367" width="24" bestFit="1" customWidth="1"/>
    <col min="368" max="368" width="21.33203125" bestFit="1" customWidth="1"/>
    <col min="369" max="369" width="13.21875" bestFit="1" customWidth="1"/>
    <col min="370" max="370" width="24" bestFit="1" customWidth="1"/>
    <col min="371" max="371" width="21.33203125" bestFit="1" customWidth="1"/>
    <col min="372" max="373" width="22.77734375" bestFit="1" customWidth="1"/>
    <col min="374" max="374" width="20" bestFit="1" customWidth="1"/>
    <col min="375" max="375" width="12" bestFit="1" customWidth="1"/>
    <col min="376" max="376" width="23.21875" bestFit="1" customWidth="1"/>
    <col min="377" max="377" width="20.44140625" bestFit="1" customWidth="1"/>
    <col min="378" max="378" width="22.109375" bestFit="1" customWidth="1"/>
    <col min="379" max="379" width="19.33203125" bestFit="1" customWidth="1"/>
    <col min="380" max="381" width="12" bestFit="1" customWidth="1"/>
    <col min="382" max="382" width="22.6640625" bestFit="1" customWidth="1"/>
    <col min="383" max="383" width="19.88671875" bestFit="1" customWidth="1"/>
    <col min="384" max="384" width="12" bestFit="1" customWidth="1"/>
    <col min="385" max="385" width="15" bestFit="1" customWidth="1"/>
    <col min="386" max="386" width="29.44140625" bestFit="1" customWidth="1"/>
    <col min="387" max="387" width="12" bestFit="1" customWidth="1"/>
    <col min="388" max="388" width="29.44140625" bestFit="1" customWidth="1"/>
    <col min="389" max="389" width="12" bestFit="1" customWidth="1"/>
    <col min="390" max="390" width="29.5546875" bestFit="1" customWidth="1"/>
    <col min="391" max="391" width="12" bestFit="1" customWidth="1"/>
    <col min="392" max="392" width="29.5546875" bestFit="1" customWidth="1"/>
    <col min="393" max="393" width="12" bestFit="1" customWidth="1"/>
    <col min="394" max="394" width="29.88671875" bestFit="1" customWidth="1"/>
    <col min="395" max="396" width="12" bestFit="1" customWidth="1"/>
    <col min="397" max="397" width="29.6640625" bestFit="1" customWidth="1"/>
    <col min="398" max="398" width="12" bestFit="1" customWidth="1"/>
    <col min="399" max="399" width="32.6640625" bestFit="1" customWidth="1"/>
    <col min="400" max="400" width="12" bestFit="1" customWidth="1"/>
    <col min="401" max="401" width="33" bestFit="1" customWidth="1"/>
    <col min="402" max="402" width="12" bestFit="1" customWidth="1"/>
    <col min="403" max="403" width="32.6640625" bestFit="1" customWidth="1"/>
    <col min="404" max="404" width="12" bestFit="1" customWidth="1"/>
    <col min="405" max="405" width="33.44140625" bestFit="1" customWidth="1"/>
    <col min="406" max="406" width="12" bestFit="1" customWidth="1"/>
    <col min="407" max="407" width="30.77734375" bestFit="1" customWidth="1"/>
    <col min="408" max="408" width="12" bestFit="1" customWidth="1"/>
    <col min="409" max="409" width="30.77734375" bestFit="1" customWidth="1"/>
    <col min="410" max="410" width="12" bestFit="1" customWidth="1"/>
    <col min="411" max="411" width="29.5546875" bestFit="1" customWidth="1"/>
    <col min="412" max="412" width="12" bestFit="1" customWidth="1"/>
    <col min="413" max="413" width="29.5546875" bestFit="1" customWidth="1"/>
    <col min="414" max="414" width="30.21875" bestFit="1" customWidth="1"/>
    <col min="415" max="416" width="12" bestFit="1" customWidth="1"/>
    <col min="417" max="417" width="29.5546875" bestFit="1" customWidth="1"/>
    <col min="418" max="418" width="12" bestFit="1" customWidth="1"/>
    <col min="419" max="419" width="30" bestFit="1" customWidth="1"/>
    <col min="420" max="420" width="12" bestFit="1" customWidth="1"/>
    <col min="421" max="421" width="30" bestFit="1" customWidth="1"/>
    <col min="422" max="422" width="12" bestFit="1" customWidth="1"/>
    <col min="423" max="423" width="30" bestFit="1" customWidth="1"/>
    <col min="424" max="424" width="12" bestFit="1" customWidth="1"/>
    <col min="425" max="425" width="29" bestFit="1" customWidth="1"/>
    <col min="426" max="426" width="12" bestFit="1" customWidth="1"/>
    <col min="427" max="427" width="28.88671875" bestFit="1" customWidth="1"/>
    <col min="428" max="428" width="12" bestFit="1" customWidth="1"/>
    <col min="429" max="429" width="29.33203125" bestFit="1" customWidth="1"/>
    <col min="430" max="432" width="12" bestFit="1" customWidth="1"/>
    <col min="433" max="433" width="30" bestFit="1" customWidth="1"/>
    <col min="434" max="434" width="12" bestFit="1" customWidth="1"/>
    <col min="435" max="435" width="30" bestFit="1" customWidth="1"/>
    <col min="436" max="436" width="12" bestFit="1" customWidth="1"/>
    <col min="437" max="437" width="29.6640625" bestFit="1" customWidth="1"/>
    <col min="438" max="439" width="31.109375" bestFit="1" customWidth="1"/>
    <col min="440" max="440" width="12" bestFit="1" customWidth="1"/>
    <col min="441" max="441" width="31.109375" bestFit="1" customWidth="1"/>
    <col min="442" max="442" width="12" bestFit="1" customWidth="1"/>
    <col min="443" max="444" width="31.109375" bestFit="1" customWidth="1"/>
    <col min="445" max="445" width="12" bestFit="1" customWidth="1"/>
    <col min="446" max="446" width="29.44140625" bestFit="1" customWidth="1"/>
    <col min="447" max="447" width="12" bestFit="1" customWidth="1"/>
    <col min="448" max="448" width="29.44140625" bestFit="1" customWidth="1"/>
    <col min="449" max="449" width="12" bestFit="1" customWidth="1"/>
    <col min="450" max="450" width="30" bestFit="1" customWidth="1"/>
    <col min="451" max="451" width="12" bestFit="1" customWidth="1"/>
    <col min="452" max="452" width="29.6640625" bestFit="1" customWidth="1"/>
    <col min="453" max="454" width="30.5546875" bestFit="1" customWidth="1"/>
    <col min="455" max="455" width="12" bestFit="1" customWidth="1"/>
    <col min="456" max="456" width="30.5546875" bestFit="1" customWidth="1"/>
    <col min="457" max="457" width="12" bestFit="1" customWidth="1"/>
    <col min="458" max="458" width="30.5546875" bestFit="1" customWidth="1"/>
    <col min="459" max="460" width="12" bestFit="1" customWidth="1"/>
    <col min="461" max="461" width="29" bestFit="1" customWidth="1"/>
    <col min="462" max="462" width="12" bestFit="1" customWidth="1"/>
    <col min="463" max="463" width="29.5546875" bestFit="1" customWidth="1"/>
    <col min="464" max="464" width="12" bestFit="1" customWidth="1"/>
    <col min="465" max="465" width="29.5546875" bestFit="1" customWidth="1"/>
    <col min="466" max="466" width="12" bestFit="1" customWidth="1"/>
    <col min="467" max="467" width="29.6640625" bestFit="1" customWidth="1"/>
    <col min="468" max="468" width="14.44140625" bestFit="1" customWidth="1"/>
    <col min="469" max="469" width="18.5546875" bestFit="1" customWidth="1"/>
    <col min="470" max="473" width="12" bestFit="1" customWidth="1"/>
    <col min="474" max="474" width="17.109375" bestFit="1" customWidth="1"/>
    <col min="475" max="475" width="15" bestFit="1" customWidth="1"/>
    <col min="476" max="481" width="12" bestFit="1" customWidth="1"/>
    <col min="482" max="482" width="11" bestFit="1" customWidth="1"/>
    <col min="483" max="483" width="12" bestFit="1" customWidth="1"/>
    <col min="484" max="484" width="17.77734375" bestFit="1" customWidth="1"/>
    <col min="485" max="485" width="14.109375" bestFit="1" customWidth="1"/>
    <col min="486" max="486" width="12" bestFit="1" customWidth="1"/>
    <col min="487" max="487" width="12.33203125" bestFit="1" customWidth="1"/>
    <col min="488" max="489" width="12" bestFit="1" customWidth="1"/>
    <col min="490" max="490" width="14.33203125" bestFit="1" customWidth="1"/>
    <col min="491" max="491" width="12" bestFit="1" customWidth="1"/>
    <col min="492" max="492" width="12.21875" bestFit="1" customWidth="1"/>
    <col min="493" max="495" width="12" bestFit="1" customWidth="1"/>
    <col min="496" max="496" width="17.21875" bestFit="1" customWidth="1"/>
    <col min="497" max="497" width="21.88671875" bestFit="1" customWidth="1"/>
    <col min="498" max="498" width="19.33203125" bestFit="1" customWidth="1"/>
    <col min="499" max="519" width="12" bestFit="1" customWidth="1"/>
    <col min="520" max="520" width="12.33203125" bestFit="1" customWidth="1"/>
    <col min="521" max="534" width="12" bestFit="1" customWidth="1"/>
    <col min="535" max="536" width="12.21875" bestFit="1" customWidth="1"/>
    <col min="537" max="541" width="12" bestFit="1" customWidth="1"/>
    <col min="542" max="542" width="22.77734375" bestFit="1" customWidth="1"/>
    <col min="543" max="543" width="12" bestFit="1" customWidth="1"/>
  </cols>
  <sheetData>
    <row r="1" spans="1:22" x14ac:dyDescent="0.3">
      <c r="A1" t="s">
        <v>1</v>
      </c>
      <c r="B1" t="s">
        <v>37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0</v>
      </c>
    </row>
    <row r="2" spans="1:22" x14ac:dyDescent="0.3">
      <c r="A2" s="34" t="s">
        <v>662</v>
      </c>
      <c r="B2">
        <v>-1</v>
      </c>
      <c r="C2">
        <v>2050</v>
      </c>
      <c r="D2" s="34" t="s">
        <v>167</v>
      </c>
      <c r="E2" s="34" t="s">
        <v>187</v>
      </c>
      <c r="F2" s="34" t="s">
        <v>188</v>
      </c>
      <c r="G2" s="34" t="s">
        <v>170</v>
      </c>
      <c r="H2" s="34" t="s">
        <v>18</v>
      </c>
      <c r="I2" s="34" t="s">
        <v>19</v>
      </c>
      <c r="J2" s="34" t="s">
        <v>32</v>
      </c>
      <c r="K2" s="34" t="s">
        <v>15</v>
      </c>
      <c r="L2">
        <v>1.6864771968459746</v>
      </c>
      <c r="O2" s="1" t="s">
        <v>37</v>
      </c>
      <c r="P2" t="s">
        <v>51</v>
      </c>
    </row>
    <row r="3" spans="1:22" x14ac:dyDescent="0.3">
      <c r="A3" s="34" t="s">
        <v>662</v>
      </c>
      <c r="B3">
        <v>-1</v>
      </c>
      <c r="C3">
        <v>2050</v>
      </c>
      <c r="D3" s="34" t="s">
        <v>167</v>
      </c>
      <c r="E3" s="34" t="s">
        <v>187</v>
      </c>
      <c r="F3" s="34" t="s">
        <v>188</v>
      </c>
      <c r="G3" s="34" t="s">
        <v>171</v>
      </c>
      <c r="H3" s="34" t="s">
        <v>18</v>
      </c>
      <c r="I3" s="34" t="s">
        <v>19</v>
      </c>
      <c r="J3" s="34" t="s">
        <v>32</v>
      </c>
      <c r="K3" s="34" t="s">
        <v>15</v>
      </c>
      <c r="L3">
        <v>2.1448777968459751</v>
      </c>
      <c r="O3" s="1" t="s">
        <v>7</v>
      </c>
      <c r="P3" t="s">
        <v>51</v>
      </c>
    </row>
    <row r="4" spans="1:22" x14ac:dyDescent="0.3">
      <c r="A4" s="34" t="s">
        <v>662</v>
      </c>
      <c r="B4">
        <v>-1</v>
      </c>
      <c r="C4">
        <v>2050</v>
      </c>
      <c r="D4" s="34" t="s">
        <v>167</v>
      </c>
      <c r="E4" s="34" t="s">
        <v>187</v>
      </c>
      <c r="F4" s="34" t="s">
        <v>188</v>
      </c>
      <c r="G4" s="34" t="s">
        <v>172</v>
      </c>
      <c r="H4" s="34" t="s">
        <v>18</v>
      </c>
      <c r="I4" s="34" t="s">
        <v>19</v>
      </c>
      <c r="J4" s="34" t="s">
        <v>32</v>
      </c>
      <c r="K4" s="34" t="s">
        <v>15</v>
      </c>
      <c r="L4">
        <v>2.0427407589009285</v>
      </c>
      <c r="O4" s="1" t="s">
        <v>4</v>
      </c>
      <c r="P4" t="s">
        <v>664</v>
      </c>
    </row>
    <row r="5" spans="1:22" x14ac:dyDescent="0.3">
      <c r="A5" s="34" t="s">
        <v>662</v>
      </c>
      <c r="B5">
        <v>-1</v>
      </c>
      <c r="C5">
        <v>2050</v>
      </c>
      <c r="D5" s="34" t="s">
        <v>167</v>
      </c>
      <c r="E5" s="34" t="s">
        <v>187</v>
      </c>
      <c r="F5" s="34" t="s">
        <v>188</v>
      </c>
      <c r="G5" s="34" t="s">
        <v>173</v>
      </c>
      <c r="H5" s="34" t="s">
        <v>18</v>
      </c>
      <c r="I5" s="34" t="s">
        <v>19</v>
      </c>
      <c r="J5" s="34" t="s">
        <v>32</v>
      </c>
      <c r="K5" s="34" t="s">
        <v>15</v>
      </c>
      <c r="L5">
        <v>1.8992704331471624</v>
      </c>
    </row>
    <row r="6" spans="1:22" x14ac:dyDescent="0.3">
      <c r="A6" s="34" t="s">
        <v>662</v>
      </c>
      <c r="B6">
        <v>-1</v>
      </c>
      <c r="C6">
        <v>2050</v>
      </c>
      <c r="D6" s="34" t="s">
        <v>167</v>
      </c>
      <c r="E6" s="34" t="s">
        <v>187</v>
      </c>
      <c r="F6" s="34" t="s">
        <v>188</v>
      </c>
      <c r="G6" s="34" t="s">
        <v>174</v>
      </c>
      <c r="H6" s="34" t="s">
        <v>18</v>
      </c>
      <c r="I6" s="34" t="s">
        <v>19</v>
      </c>
      <c r="J6" s="34" t="s">
        <v>32</v>
      </c>
      <c r="K6" s="34" t="s">
        <v>15</v>
      </c>
      <c r="L6" s="5">
        <v>1.4466616356092727</v>
      </c>
      <c r="O6" s="1" t="s">
        <v>35</v>
      </c>
      <c r="P6" s="1" t="s">
        <v>36</v>
      </c>
    </row>
    <row r="7" spans="1:22" x14ac:dyDescent="0.3">
      <c r="A7" s="34" t="s">
        <v>662</v>
      </c>
      <c r="B7">
        <v>-1</v>
      </c>
      <c r="C7">
        <v>2050</v>
      </c>
      <c r="D7" s="34" t="s">
        <v>167</v>
      </c>
      <c r="E7" s="34" t="s">
        <v>187</v>
      </c>
      <c r="F7" s="34" t="s">
        <v>188</v>
      </c>
      <c r="G7" s="34" t="s">
        <v>175</v>
      </c>
      <c r="H7" s="34" t="s">
        <v>18</v>
      </c>
      <c r="I7" s="34" t="s">
        <v>19</v>
      </c>
      <c r="J7" s="34" t="s">
        <v>32</v>
      </c>
      <c r="K7" s="34" t="s">
        <v>15</v>
      </c>
      <c r="L7">
        <v>1.1495435766984519</v>
      </c>
      <c r="O7" s="1" t="s">
        <v>33</v>
      </c>
      <c r="P7" t="s">
        <v>27</v>
      </c>
      <c r="Q7" t="s">
        <v>14</v>
      </c>
      <c r="R7" t="s">
        <v>32</v>
      </c>
      <c r="S7" t="s">
        <v>181</v>
      </c>
      <c r="T7" t="s">
        <v>24</v>
      </c>
      <c r="U7" t="s">
        <v>22</v>
      </c>
      <c r="V7" t="s">
        <v>34</v>
      </c>
    </row>
    <row r="8" spans="1:22" x14ac:dyDescent="0.3">
      <c r="A8" s="34" t="s">
        <v>662</v>
      </c>
      <c r="B8">
        <v>-1</v>
      </c>
      <c r="C8">
        <v>2050</v>
      </c>
      <c r="D8" s="34" t="s">
        <v>167</v>
      </c>
      <c r="E8" s="34" t="s">
        <v>187</v>
      </c>
      <c r="F8" s="34" t="s">
        <v>188</v>
      </c>
      <c r="G8" s="34" t="s">
        <v>176</v>
      </c>
      <c r="H8" s="34" t="s">
        <v>18</v>
      </c>
      <c r="I8" s="34" t="s">
        <v>19</v>
      </c>
      <c r="J8" s="34" t="s">
        <v>32</v>
      </c>
      <c r="K8" s="34" t="s">
        <v>15</v>
      </c>
      <c r="L8">
        <v>0.91257938699176444</v>
      </c>
      <c r="O8" s="2" t="s">
        <v>662</v>
      </c>
      <c r="P8" s="34">
        <v>4.1495695768389851E-16</v>
      </c>
      <c r="Q8" s="34">
        <v>96.336934193761124</v>
      </c>
      <c r="R8" s="34">
        <v>27.770305326681314</v>
      </c>
      <c r="S8" s="34">
        <v>59.627964813988171</v>
      </c>
      <c r="T8" s="34">
        <v>190.95506529353705</v>
      </c>
      <c r="U8" s="34">
        <v>110.1031266580915</v>
      </c>
      <c r="V8" s="34">
        <v>484.79339628605914</v>
      </c>
    </row>
    <row r="9" spans="1:22" x14ac:dyDescent="0.3">
      <c r="A9" s="34" t="s">
        <v>662</v>
      </c>
      <c r="B9">
        <v>-1</v>
      </c>
      <c r="C9">
        <v>2050</v>
      </c>
      <c r="D9" s="34" t="s">
        <v>167</v>
      </c>
      <c r="E9" s="34" t="s">
        <v>187</v>
      </c>
      <c r="F9" s="34" t="s">
        <v>188</v>
      </c>
      <c r="G9" s="34" t="s">
        <v>177</v>
      </c>
      <c r="H9" s="34" t="s">
        <v>18</v>
      </c>
      <c r="I9" s="34" t="s">
        <v>19</v>
      </c>
      <c r="J9" s="34" t="s">
        <v>32</v>
      </c>
      <c r="K9" s="34" t="s">
        <v>15</v>
      </c>
      <c r="L9">
        <v>0.5186778124288649</v>
      </c>
      <c r="O9" s="3" t="s">
        <v>19</v>
      </c>
      <c r="P9" s="34">
        <v>4.1495695768389851E-16</v>
      </c>
      <c r="Q9" s="34"/>
      <c r="R9" s="34">
        <v>27.770305326681314</v>
      </c>
      <c r="S9" s="34">
        <v>59.627964813988171</v>
      </c>
      <c r="T9" s="34">
        <v>190.95506529353705</v>
      </c>
      <c r="U9" s="34">
        <v>110.1031266580915</v>
      </c>
      <c r="V9" s="34">
        <v>388.45646209229801</v>
      </c>
    </row>
    <row r="10" spans="1:22" x14ac:dyDescent="0.3">
      <c r="A10" s="34" t="s">
        <v>662</v>
      </c>
      <c r="B10">
        <v>-1</v>
      </c>
      <c r="C10">
        <v>2050</v>
      </c>
      <c r="D10" s="34" t="s">
        <v>167</v>
      </c>
      <c r="E10" s="34" t="s">
        <v>187</v>
      </c>
      <c r="F10" s="34" t="s">
        <v>188</v>
      </c>
      <c r="G10" s="34" t="s">
        <v>178</v>
      </c>
      <c r="H10" s="34" t="s">
        <v>18</v>
      </c>
      <c r="I10" s="34" t="s">
        <v>19</v>
      </c>
      <c r="J10" s="34" t="s">
        <v>32</v>
      </c>
      <c r="K10" s="34" t="s">
        <v>15</v>
      </c>
      <c r="L10">
        <v>0.15320555691756951</v>
      </c>
      <c r="O10" s="4">
        <v>2050</v>
      </c>
      <c r="P10" s="34">
        <v>4.1495695768389851E-16</v>
      </c>
      <c r="Q10" s="34"/>
      <c r="R10" s="34">
        <v>27.770305326681314</v>
      </c>
      <c r="S10" s="34">
        <v>59.627964813988171</v>
      </c>
      <c r="T10" s="34">
        <v>190.95506529353705</v>
      </c>
      <c r="U10" s="34">
        <v>110.1031266580915</v>
      </c>
      <c r="V10" s="34">
        <v>388.45646209229801</v>
      </c>
    </row>
    <row r="11" spans="1:22" x14ac:dyDescent="0.3">
      <c r="A11" s="34" t="s">
        <v>662</v>
      </c>
      <c r="B11">
        <v>-1</v>
      </c>
      <c r="C11">
        <v>2050</v>
      </c>
      <c r="D11" s="34" t="s">
        <v>167</v>
      </c>
      <c r="E11" s="34" t="s">
        <v>187</v>
      </c>
      <c r="F11" s="34" t="s">
        <v>188</v>
      </c>
      <c r="G11" s="34" t="s">
        <v>179</v>
      </c>
      <c r="H11" s="34" t="s">
        <v>18</v>
      </c>
      <c r="I11" s="34" t="s">
        <v>19</v>
      </c>
      <c r="J11" s="34" t="s">
        <v>32</v>
      </c>
      <c r="K11" s="34" t="s">
        <v>15</v>
      </c>
      <c r="L11">
        <v>0.15320555691756951</v>
      </c>
      <c r="O11" s="3" t="s">
        <v>13</v>
      </c>
      <c r="P11" s="34"/>
      <c r="Q11" s="34">
        <v>96.336934193761124</v>
      </c>
      <c r="R11" s="34"/>
      <c r="S11" s="34"/>
      <c r="T11" s="34"/>
      <c r="U11" s="34"/>
      <c r="V11" s="34">
        <v>96.336934193761124</v>
      </c>
    </row>
    <row r="12" spans="1:22" x14ac:dyDescent="0.3">
      <c r="A12" s="34" t="s">
        <v>662</v>
      </c>
      <c r="B12">
        <v>-1</v>
      </c>
      <c r="C12">
        <v>2050</v>
      </c>
      <c r="D12" s="34" t="s">
        <v>167</v>
      </c>
      <c r="E12" s="34" t="s">
        <v>187</v>
      </c>
      <c r="F12" s="34" t="s">
        <v>188</v>
      </c>
      <c r="G12" s="34" t="s">
        <v>185</v>
      </c>
      <c r="H12" s="34" t="s">
        <v>18</v>
      </c>
      <c r="I12" s="34" t="s">
        <v>19</v>
      </c>
      <c r="J12" s="34" t="s">
        <v>32</v>
      </c>
      <c r="K12" s="34" t="s">
        <v>15</v>
      </c>
      <c r="L12">
        <v>0.45840059999999966</v>
      </c>
      <c r="O12" s="4">
        <v>2050</v>
      </c>
      <c r="P12" s="34"/>
      <c r="Q12" s="34">
        <v>96.336934193761124</v>
      </c>
      <c r="R12" s="34"/>
      <c r="S12" s="34"/>
      <c r="T12" s="34"/>
      <c r="U12" s="34"/>
      <c r="V12" s="34">
        <v>96.336934193761124</v>
      </c>
    </row>
    <row r="13" spans="1:22" x14ac:dyDescent="0.3">
      <c r="A13" s="34" t="s">
        <v>662</v>
      </c>
      <c r="B13">
        <v>-1</v>
      </c>
      <c r="C13">
        <v>2050</v>
      </c>
      <c r="D13" s="34" t="s">
        <v>167</v>
      </c>
      <c r="E13" s="34" t="s">
        <v>187</v>
      </c>
      <c r="F13" s="34" t="s">
        <v>188</v>
      </c>
      <c r="G13" s="34" t="s">
        <v>180</v>
      </c>
      <c r="H13" s="34" t="s">
        <v>18</v>
      </c>
      <c r="I13" s="34" t="s">
        <v>19</v>
      </c>
      <c r="J13" s="34" t="s">
        <v>181</v>
      </c>
      <c r="K13" s="34" t="s">
        <v>15</v>
      </c>
      <c r="L13">
        <v>7.0069609414594707</v>
      </c>
      <c r="O13" s="2" t="s">
        <v>34</v>
      </c>
      <c r="P13" s="34">
        <v>4.1495695768389851E-16</v>
      </c>
      <c r="Q13" s="34">
        <v>96.336934193761124</v>
      </c>
      <c r="R13" s="34">
        <v>27.770305326681314</v>
      </c>
      <c r="S13" s="34">
        <v>59.627964813988171</v>
      </c>
      <c r="T13" s="34">
        <v>190.95506529353705</v>
      </c>
      <c r="U13" s="34">
        <v>110.1031266580915</v>
      </c>
      <c r="V13" s="34">
        <v>484.79339628605914</v>
      </c>
    </row>
    <row r="14" spans="1:22" x14ac:dyDescent="0.3">
      <c r="A14" s="34" t="s">
        <v>662</v>
      </c>
      <c r="B14">
        <v>-1</v>
      </c>
      <c r="C14">
        <v>2050</v>
      </c>
      <c r="D14" s="34" t="s">
        <v>167</v>
      </c>
      <c r="E14" s="34" t="s">
        <v>187</v>
      </c>
      <c r="F14" s="34" t="s">
        <v>190</v>
      </c>
      <c r="G14" s="34" t="s">
        <v>16</v>
      </c>
      <c r="H14" s="34" t="s">
        <v>12</v>
      </c>
      <c r="I14" s="34" t="s">
        <v>13</v>
      </c>
      <c r="J14" s="34" t="s">
        <v>14</v>
      </c>
      <c r="K14" s="34" t="s">
        <v>15</v>
      </c>
      <c r="L14">
        <v>2.9031505928822146</v>
      </c>
    </row>
    <row r="15" spans="1:22" x14ac:dyDescent="0.3">
      <c r="A15" s="34" t="s">
        <v>662</v>
      </c>
      <c r="B15">
        <v>-1</v>
      </c>
      <c r="C15">
        <v>2050</v>
      </c>
      <c r="D15" s="34" t="s">
        <v>167</v>
      </c>
      <c r="E15" s="34" t="s">
        <v>187</v>
      </c>
      <c r="F15" s="34" t="s">
        <v>593</v>
      </c>
      <c r="G15" s="34" t="s">
        <v>20</v>
      </c>
      <c r="H15" s="34" t="s">
        <v>21</v>
      </c>
      <c r="I15" s="34" t="s">
        <v>19</v>
      </c>
      <c r="J15" s="34" t="s">
        <v>22</v>
      </c>
      <c r="K15" s="34" t="s">
        <v>15</v>
      </c>
      <c r="L15">
        <v>2.6972202249453404E-16</v>
      </c>
    </row>
    <row r="16" spans="1:22" x14ac:dyDescent="0.3">
      <c r="A16" s="34" t="s">
        <v>662</v>
      </c>
      <c r="B16">
        <v>-1</v>
      </c>
      <c r="C16">
        <v>2050</v>
      </c>
      <c r="D16" s="34" t="s">
        <v>167</v>
      </c>
      <c r="E16" s="34" t="s">
        <v>187</v>
      </c>
      <c r="F16" s="34" t="s">
        <v>593</v>
      </c>
      <c r="G16" s="34" t="s">
        <v>644</v>
      </c>
      <c r="H16" s="34" t="s">
        <v>21</v>
      </c>
      <c r="I16" s="34" t="s">
        <v>19</v>
      </c>
      <c r="J16" s="34" t="s">
        <v>22</v>
      </c>
      <c r="K16" s="34" t="s">
        <v>15</v>
      </c>
      <c r="L16">
        <v>8.0174948130841077</v>
      </c>
    </row>
    <row r="17" spans="1:12" x14ac:dyDescent="0.3">
      <c r="A17" s="34" t="s">
        <v>662</v>
      </c>
      <c r="B17">
        <v>-1</v>
      </c>
      <c r="C17">
        <v>2050</v>
      </c>
      <c r="D17" s="34" t="s">
        <v>167</v>
      </c>
      <c r="E17" s="34" t="s">
        <v>191</v>
      </c>
      <c r="F17" s="34" t="s">
        <v>192</v>
      </c>
      <c r="G17" s="34" t="s">
        <v>170</v>
      </c>
      <c r="H17" s="34" t="s">
        <v>18</v>
      </c>
      <c r="I17" s="34" t="s">
        <v>19</v>
      </c>
      <c r="J17" s="34" t="s">
        <v>32</v>
      </c>
      <c r="K17" s="34" t="s">
        <v>15</v>
      </c>
      <c r="L17">
        <v>2.9907576249029035</v>
      </c>
    </row>
    <row r="18" spans="1:12" x14ac:dyDescent="0.3">
      <c r="A18" s="34" t="s">
        <v>662</v>
      </c>
      <c r="B18">
        <v>-1</v>
      </c>
      <c r="C18">
        <v>2050</v>
      </c>
      <c r="D18" s="34" t="s">
        <v>167</v>
      </c>
      <c r="E18" s="34" t="s">
        <v>191</v>
      </c>
      <c r="F18" s="34" t="s">
        <v>192</v>
      </c>
      <c r="G18" s="34" t="s">
        <v>171</v>
      </c>
      <c r="H18" s="34" t="s">
        <v>18</v>
      </c>
      <c r="I18" s="34" t="s">
        <v>19</v>
      </c>
      <c r="J18" s="34" t="s">
        <v>32</v>
      </c>
      <c r="K18" s="34" t="s">
        <v>15</v>
      </c>
      <c r="L18">
        <v>2.5826210103758043</v>
      </c>
    </row>
    <row r="19" spans="1:12" x14ac:dyDescent="0.3">
      <c r="A19" s="34" t="s">
        <v>662</v>
      </c>
      <c r="B19">
        <v>-1</v>
      </c>
      <c r="C19">
        <v>2050</v>
      </c>
      <c r="D19" s="34" t="s">
        <v>167</v>
      </c>
      <c r="E19" s="34" t="s">
        <v>191</v>
      </c>
      <c r="F19" s="34" t="s">
        <v>192</v>
      </c>
      <c r="G19" s="34" t="s">
        <v>172</v>
      </c>
      <c r="H19" s="34" t="s">
        <v>18</v>
      </c>
      <c r="I19" s="34" t="s">
        <v>19</v>
      </c>
      <c r="J19" s="34" t="s">
        <v>32</v>
      </c>
      <c r="K19" s="34" t="s">
        <v>15</v>
      </c>
      <c r="L19">
        <v>2.5060536024869875</v>
      </c>
    </row>
    <row r="20" spans="1:12" x14ac:dyDescent="0.3">
      <c r="A20" s="34" t="s">
        <v>662</v>
      </c>
      <c r="B20">
        <v>-1</v>
      </c>
      <c r="C20">
        <v>2050</v>
      </c>
      <c r="D20" s="34" t="s">
        <v>167</v>
      </c>
      <c r="E20" s="34" t="s">
        <v>191</v>
      </c>
      <c r="F20" s="34" t="s">
        <v>192</v>
      </c>
      <c r="G20" s="34" t="s">
        <v>173</v>
      </c>
      <c r="H20" s="34" t="s">
        <v>18</v>
      </c>
      <c r="I20" s="34" t="s">
        <v>19</v>
      </c>
      <c r="J20" s="34" t="s">
        <v>32</v>
      </c>
      <c r="K20" s="34" t="s">
        <v>15</v>
      </c>
      <c r="L20">
        <v>2.2590748993504568</v>
      </c>
    </row>
    <row r="21" spans="1:12" x14ac:dyDescent="0.3">
      <c r="A21" s="34" t="s">
        <v>662</v>
      </c>
      <c r="B21">
        <v>-1</v>
      </c>
      <c r="C21">
        <v>2050</v>
      </c>
      <c r="D21" s="34" t="s">
        <v>167</v>
      </c>
      <c r="E21" s="34" t="s">
        <v>191</v>
      </c>
      <c r="F21" s="34" t="s">
        <v>192</v>
      </c>
      <c r="G21" s="34" t="s">
        <v>174</v>
      </c>
      <c r="H21" s="34" t="s">
        <v>18</v>
      </c>
      <c r="I21" s="34" t="s">
        <v>19</v>
      </c>
      <c r="J21" s="34" t="s">
        <v>32</v>
      </c>
      <c r="K21" s="34" t="s">
        <v>15</v>
      </c>
      <c r="L21">
        <v>1.8299301063259816</v>
      </c>
    </row>
    <row r="22" spans="1:12" x14ac:dyDescent="0.3">
      <c r="A22" s="34" t="s">
        <v>662</v>
      </c>
      <c r="B22">
        <v>-1</v>
      </c>
      <c r="C22">
        <v>2050</v>
      </c>
      <c r="D22" s="34" t="s">
        <v>167</v>
      </c>
      <c r="E22" s="34" t="s">
        <v>191</v>
      </c>
      <c r="F22" s="34" t="s">
        <v>192</v>
      </c>
      <c r="G22" s="34" t="s">
        <v>175</v>
      </c>
      <c r="H22" s="34" t="s">
        <v>18</v>
      </c>
      <c r="I22" s="34" t="s">
        <v>19</v>
      </c>
      <c r="J22" s="34" t="s">
        <v>32</v>
      </c>
      <c r="K22" s="34" t="s">
        <v>15</v>
      </c>
      <c r="L22">
        <v>1.8225844381723537</v>
      </c>
    </row>
    <row r="23" spans="1:12" x14ac:dyDescent="0.3">
      <c r="A23" s="34" t="s">
        <v>662</v>
      </c>
      <c r="B23">
        <v>-1</v>
      </c>
      <c r="C23">
        <v>2050</v>
      </c>
      <c r="D23" s="34" t="s">
        <v>167</v>
      </c>
      <c r="E23" s="34" t="s">
        <v>191</v>
      </c>
      <c r="F23" s="34" t="s">
        <v>192</v>
      </c>
      <c r="G23" s="34" t="s">
        <v>176</v>
      </c>
      <c r="H23" s="34" t="s">
        <v>18</v>
      </c>
      <c r="I23" s="34" t="s">
        <v>19</v>
      </c>
      <c r="J23" s="34" t="s">
        <v>32</v>
      </c>
      <c r="K23" s="34" t="s">
        <v>15</v>
      </c>
      <c r="L23">
        <v>1.8225844381723537</v>
      </c>
    </row>
    <row r="24" spans="1:12" x14ac:dyDescent="0.3">
      <c r="A24" s="34" t="s">
        <v>662</v>
      </c>
      <c r="B24">
        <v>-1</v>
      </c>
      <c r="C24">
        <v>2050</v>
      </c>
      <c r="D24" s="34" t="s">
        <v>167</v>
      </c>
      <c r="E24" s="34" t="s">
        <v>191</v>
      </c>
      <c r="F24" s="34" t="s">
        <v>192</v>
      </c>
      <c r="G24" s="34" t="s">
        <v>177</v>
      </c>
      <c r="H24" s="34" t="s">
        <v>18</v>
      </c>
      <c r="I24" s="34" t="s">
        <v>19</v>
      </c>
      <c r="J24" s="34" t="s">
        <v>32</v>
      </c>
      <c r="K24" s="34" t="s">
        <v>15</v>
      </c>
      <c r="L24">
        <v>1.8225844381723537</v>
      </c>
    </row>
    <row r="25" spans="1:12" x14ac:dyDescent="0.3">
      <c r="A25" s="34" t="s">
        <v>662</v>
      </c>
      <c r="B25">
        <v>-1</v>
      </c>
      <c r="C25">
        <v>2050</v>
      </c>
      <c r="D25" s="34" t="s">
        <v>167</v>
      </c>
      <c r="E25" s="34" t="s">
        <v>191</v>
      </c>
      <c r="F25" s="34" t="s">
        <v>192</v>
      </c>
      <c r="G25" s="34" t="s">
        <v>178</v>
      </c>
      <c r="H25" s="34" t="s">
        <v>18</v>
      </c>
      <c r="I25" s="34" t="s">
        <v>19</v>
      </c>
      <c r="J25" s="34" t="s">
        <v>32</v>
      </c>
      <c r="K25" s="34" t="s">
        <v>15</v>
      </c>
      <c r="L25">
        <v>1.7466434199151724</v>
      </c>
    </row>
    <row r="26" spans="1:12" x14ac:dyDescent="0.3">
      <c r="A26" s="34" t="s">
        <v>662</v>
      </c>
      <c r="B26">
        <v>-1</v>
      </c>
      <c r="C26">
        <v>2050</v>
      </c>
      <c r="D26" s="34" t="s">
        <v>167</v>
      </c>
      <c r="E26" s="34" t="s">
        <v>191</v>
      </c>
      <c r="F26" s="34" t="s">
        <v>192</v>
      </c>
      <c r="G26" s="34" t="s">
        <v>179</v>
      </c>
      <c r="H26" s="34" t="s">
        <v>18</v>
      </c>
      <c r="I26" s="34" t="s">
        <v>19</v>
      </c>
      <c r="J26" s="34" t="s">
        <v>32</v>
      </c>
      <c r="K26" s="34" t="s">
        <v>15</v>
      </c>
      <c r="L26">
        <v>1.7466434199151724</v>
      </c>
    </row>
    <row r="27" spans="1:12" x14ac:dyDescent="0.3">
      <c r="A27" s="34" t="s">
        <v>662</v>
      </c>
      <c r="B27">
        <v>-1</v>
      </c>
      <c r="C27">
        <v>2050</v>
      </c>
      <c r="D27" s="34" t="s">
        <v>167</v>
      </c>
      <c r="E27" s="34" t="s">
        <v>191</v>
      </c>
      <c r="F27" s="34" t="s">
        <v>192</v>
      </c>
      <c r="G27" s="34" t="s">
        <v>180</v>
      </c>
      <c r="H27" s="34" t="s">
        <v>18</v>
      </c>
      <c r="I27" s="34" t="s">
        <v>19</v>
      </c>
      <c r="J27" s="34" t="s">
        <v>181</v>
      </c>
      <c r="K27" s="34" t="s">
        <v>15</v>
      </c>
      <c r="L27">
        <v>4.1044643710532513</v>
      </c>
    </row>
    <row r="28" spans="1:12" x14ac:dyDescent="0.3">
      <c r="A28" s="34" t="s">
        <v>662</v>
      </c>
      <c r="B28">
        <v>-1</v>
      </c>
      <c r="C28">
        <v>2050</v>
      </c>
      <c r="D28" s="34" t="s">
        <v>167</v>
      </c>
      <c r="E28" s="34" t="s">
        <v>191</v>
      </c>
      <c r="F28" s="34" t="s">
        <v>193</v>
      </c>
      <c r="G28" s="34" t="s">
        <v>16</v>
      </c>
      <c r="H28" s="34" t="s">
        <v>12</v>
      </c>
      <c r="I28" s="34" t="s">
        <v>13</v>
      </c>
      <c r="J28" s="34" t="s">
        <v>14</v>
      </c>
      <c r="K28" s="34" t="s">
        <v>15</v>
      </c>
      <c r="L28">
        <v>14.926711351661899</v>
      </c>
    </row>
    <row r="29" spans="1:12" x14ac:dyDescent="0.3">
      <c r="A29" s="34" t="s">
        <v>662</v>
      </c>
      <c r="B29">
        <v>-1</v>
      </c>
      <c r="C29">
        <v>2050</v>
      </c>
      <c r="D29" s="34" t="s">
        <v>167</v>
      </c>
      <c r="E29" s="34" t="s">
        <v>191</v>
      </c>
      <c r="F29" s="34" t="s">
        <v>594</v>
      </c>
      <c r="G29" s="34" t="s">
        <v>20</v>
      </c>
      <c r="H29" s="34" t="s">
        <v>21</v>
      </c>
      <c r="I29" s="34" t="s">
        <v>19</v>
      </c>
      <c r="J29" s="34" t="s">
        <v>22</v>
      </c>
      <c r="K29" s="34" t="s">
        <v>15</v>
      </c>
      <c r="L29">
        <v>6.2243543652584779E-17</v>
      </c>
    </row>
    <row r="30" spans="1:12" x14ac:dyDescent="0.3">
      <c r="A30" s="34" t="s">
        <v>662</v>
      </c>
      <c r="B30">
        <v>-1</v>
      </c>
      <c r="C30">
        <v>2050</v>
      </c>
      <c r="D30" s="34" t="s">
        <v>167</v>
      </c>
      <c r="E30" s="34" t="s">
        <v>191</v>
      </c>
      <c r="F30" s="34" t="s">
        <v>594</v>
      </c>
      <c r="G30" s="34" t="s">
        <v>644</v>
      </c>
      <c r="H30" s="34" t="s">
        <v>21</v>
      </c>
      <c r="I30" s="34" t="s">
        <v>19</v>
      </c>
      <c r="J30" s="34" t="s">
        <v>22</v>
      </c>
      <c r="K30" s="34" t="s">
        <v>15</v>
      </c>
      <c r="L30">
        <v>25.353299018691594</v>
      </c>
    </row>
    <row r="31" spans="1:12" x14ac:dyDescent="0.3">
      <c r="A31" s="34" t="s">
        <v>662</v>
      </c>
      <c r="B31">
        <v>-1</v>
      </c>
      <c r="C31">
        <v>2050</v>
      </c>
      <c r="D31" s="34" t="s">
        <v>167</v>
      </c>
      <c r="E31" s="34" t="s">
        <v>395</v>
      </c>
      <c r="F31" s="34" t="s">
        <v>169</v>
      </c>
      <c r="G31" s="34" t="s">
        <v>170</v>
      </c>
      <c r="H31" s="34" t="s">
        <v>18</v>
      </c>
      <c r="I31" s="34" t="s">
        <v>19</v>
      </c>
      <c r="J31" s="34" t="s">
        <v>32</v>
      </c>
      <c r="K31" s="34" t="s">
        <v>15</v>
      </c>
      <c r="L31">
        <v>0.69503999999999999</v>
      </c>
    </row>
    <row r="32" spans="1:12" x14ac:dyDescent="0.3">
      <c r="A32" s="34" t="s">
        <v>662</v>
      </c>
      <c r="B32">
        <v>-1</v>
      </c>
      <c r="C32">
        <v>2050</v>
      </c>
      <c r="D32" s="34" t="s">
        <v>167</v>
      </c>
      <c r="E32" s="34" t="s">
        <v>395</v>
      </c>
      <c r="F32" s="34" t="s">
        <v>169</v>
      </c>
      <c r="G32" s="34" t="s">
        <v>171</v>
      </c>
      <c r="H32" s="34" t="s">
        <v>18</v>
      </c>
      <c r="I32" s="34" t="s">
        <v>19</v>
      </c>
      <c r="J32" s="34" t="s">
        <v>32</v>
      </c>
      <c r="K32" s="34" t="s">
        <v>15</v>
      </c>
      <c r="L32">
        <v>0.66608000000000001</v>
      </c>
    </row>
    <row r="33" spans="1:12" x14ac:dyDescent="0.3">
      <c r="A33" s="34" t="s">
        <v>662</v>
      </c>
      <c r="B33">
        <v>-1</v>
      </c>
      <c r="C33">
        <v>2050</v>
      </c>
      <c r="D33" s="34" t="s">
        <v>167</v>
      </c>
      <c r="E33" s="34" t="s">
        <v>395</v>
      </c>
      <c r="F33" s="34" t="s">
        <v>169</v>
      </c>
      <c r="G33" s="34" t="s">
        <v>172</v>
      </c>
      <c r="H33" s="34" t="s">
        <v>18</v>
      </c>
      <c r="I33" s="34" t="s">
        <v>19</v>
      </c>
      <c r="J33" s="34" t="s">
        <v>32</v>
      </c>
      <c r="K33" s="34" t="s">
        <v>15</v>
      </c>
      <c r="L33">
        <v>0.65319527036992053</v>
      </c>
    </row>
    <row r="34" spans="1:12" x14ac:dyDescent="0.3">
      <c r="A34" s="34" t="s">
        <v>662</v>
      </c>
      <c r="B34">
        <v>-1</v>
      </c>
      <c r="C34">
        <v>2050</v>
      </c>
      <c r="D34" s="34" t="s">
        <v>167</v>
      </c>
      <c r="E34" s="34" t="s">
        <v>395</v>
      </c>
      <c r="F34" s="34" t="s">
        <v>169</v>
      </c>
      <c r="G34" s="34" t="s">
        <v>173</v>
      </c>
      <c r="H34" s="34" t="s">
        <v>18</v>
      </c>
      <c r="I34" s="34" t="s">
        <v>19</v>
      </c>
      <c r="J34" s="34" t="s">
        <v>32</v>
      </c>
      <c r="K34" s="34" t="s">
        <v>15</v>
      </c>
      <c r="L34">
        <v>0.63712000000000002</v>
      </c>
    </row>
    <row r="35" spans="1:12" x14ac:dyDescent="0.3">
      <c r="A35" s="34" t="s">
        <v>662</v>
      </c>
      <c r="B35">
        <v>-1</v>
      </c>
      <c r="C35">
        <v>2050</v>
      </c>
      <c r="D35" s="34" t="s">
        <v>167</v>
      </c>
      <c r="E35" s="34" t="s">
        <v>395</v>
      </c>
      <c r="F35" s="34" t="s">
        <v>169</v>
      </c>
      <c r="G35" s="34" t="s">
        <v>174</v>
      </c>
      <c r="H35" s="34" t="s">
        <v>18</v>
      </c>
      <c r="I35" s="34" t="s">
        <v>19</v>
      </c>
      <c r="J35" s="34" t="s">
        <v>32</v>
      </c>
      <c r="K35" s="34" t="s">
        <v>15</v>
      </c>
      <c r="L35">
        <v>0.62644735871611668</v>
      </c>
    </row>
    <row r="36" spans="1:12" x14ac:dyDescent="0.3">
      <c r="A36" s="34" t="s">
        <v>662</v>
      </c>
      <c r="B36">
        <v>-1</v>
      </c>
      <c r="C36">
        <v>2050</v>
      </c>
      <c r="D36" s="34" t="s">
        <v>167</v>
      </c>
      <c r="E36" s="34" t="s">
        <v>395</v>
      </c>
      <c r="F36" s="34" t="s">
        <v>169</v>
      </c>
      <c r="G36" s="34" t="s">
        <v>175</v>
      </c>
      <c r="H36" s="34" t="s">
        <v>18</v>
      </c>
      <c r="I36" s="34" t="s">
        <v>19</v>
      </c>
      <c r="J36" s="34" t="s">
        <v>32</v>
      </c>
      <c r="K36" s="34" t="s">
        <v>15</v>
      </c>
      <c r="L36">
        <v>0.43439999999999995</v>
      </c>
    </row>
    <row r="37" spans="1:12" x14ac:dyDescent="0.3">
      <c r="A37" s="34" t="s">
        <v>662</v>
      </c>
      <c r="B37">
        <v>-1</v>
      </c>
      <c r="C37">
        <v>2050</v>
      </c>
      <c r="D37" s="34" t="s">
        <v>167</v>
      </c>
      <c r="E37" s="34" t="s">
        <v>395</v>
      </c>
      <c r="F37" s="34" t="s">
        <v>169</v>
      </c>
      <c r="G37" s="34" t="s">
        <v>176</v>
      </c>
      <c r="H37" s="34" t="s">
        <v>18</v>
      </c>
      <c r="I37" s="34" t="s">
        <v>19</v>
      </c>
      <c r="J37" s="34" t="s">
        <v>32</v>
      </c>
      <c r="K37" s="34" t="s">
        <v>15</v>
      </c>
      <c r="L37">
        <v>0.37647999999999998</v>
      </c>
    </row>
    <row r="38" spans="1:12" x14ac:dyDescent="0.3">
      <c r="A38" s="34" t="s">
        <v>662</v>
      </c>
      <c r="B38">
        <v>-1</v>
      </c>
      <c r="C38">
        <v>2050</v>
      </c>
      <c r="D38" s="34" t="s">
        <v>167</v>
      </c>
      <c r="E38" s="34" t="s">
        <v>395</v>
      </c>
      <c r="F38" s="34" t="s">
        <v>169</v>
      </c>
      <c r="G38" s="34" t="s">
        <v>177</v>
      </c>
      <c r="H38" s="34" t="s">
        <v>18</v>
      </c>
      <c r="I38" s="34" t="s">
        <v>19</v>
      </c>
      <c r="J38" s="34" t="s">
        <v>32</v>
      </c>
      <c r="K38" s="34" t="s">
        <v>15</v>
      </c>
      <c r="L38">
        <v>0.37647999999999998</v>
      </c>
    </row>
    <row r="39" spans="1:12" x14ac:dyDescent="0.3">
      <c r="A39" s="34" t="s">
        <v>662</v>
      </c>
      <c r="B39">
        <v>-1</v>
      </c>
      <c r="C39">
        <v>2050</v>
      </c>
      <c r="D39" s="34" t="s">
        <v>167</v>
      </c>
      <c r="E39" s="34" t="s">
        <v>395</v>
      </c>
      <c r="F39" s="34" t="s">
        <v>169</v>
      </c>
      <c r="G39" s="34" t="s">
        <v>178</v>
      </c>
      <c r="H39" s="34" t="s">
        <v>18</v>
      </c>
      <c r="I39" s="34" t="s">
        <v>19</v>
      </c>
      <c r="J39" s="34" t="s">
        <v>32</v>
      </c>
      <c r="K39" s="34" t="s">
        <v>15</v>
      </c>
      <c r="L39">
        <v>0.26063999999999998</v>
      </c>
    </row>
    <row r="40" spans="1:12" x14ac:dyDescent="0.3">
      <c r="A40" s="34" t="s">
        <v>662</v>
      </c>
      <c r="B40">
        <v>-1</v>
      </c>
      <c r="C40">
        <v>2050</v>
      </c>
      <c r="D40" s="34" t="s">
        <v>167</v>
      </c>
      <c r="E40" s="34" t="s">
        <v>395</v>
      </c>
      <c r="F40" s="34" t="s">
        <v>169</v>
      </c>
      <c r="G40" s="34" t="s">
        <v>179</v>
      </c>
      <c r="H40" s="34" t="s">
        <v>18</v>
      </c>
      <c r="I40" s="34" t="s">
        <v>19</v>
      </c>
      <c r="J40" s="34" t="s">
        <v>32</v>
      </c>
      <c r="K40" s="34" t="s">
        <v>15</v>
      </c>
      <c r="L40">
        <v>0.11584</v>
      </c>
    </row>
    <row r="41" spans="1:12" x14ac:dyDescent="0.3">
      <c r="A41" s="34" t="s">
        <v>662</v>
      </c>
      <c r="B41">
        <v>-1</v>
      </c>
      <c r="C41">
        <v>2050</v>
      </c>
      <c r="D41" s="34" t="s">
        <v>167</v>
      </c>
      <c r="E41" s="34" t="s">
        <v>395</v>
      </c>
      <c r="F41" s="34" t="s">
        <v>169</v>
      </c>
      <c r="G41" s="34" t="s">
        <v>180</v>
      </c>
      <c r="H41" s="34" t="s">
        <v>18</v>
      </c>
      <c r="I41" s="34" t="s">
        <v>19</v>
      </c>
      <c r="J41" s="34" t="s">
        <v>181</v>
      </c>
      <c r="K41" s="34" t="s">
        <v>15</v>
      </c>
      <c r="L41">
        <v>8.7128712294922526</v>
      </c>
    </row>
    <row r="42" spans="1:12" x14ac:dyDescent="0.3">
      <c r="A42" s="34" t="s">
        <v>662</v>
      </c>
      <c r="B42">
        <v>-1</v>
      </c>
      <c r="C42">
        <v>2050</v>
      </c>
      <c r="D42" s="34" t="s">
        <v>167</v>
      </c>
      <c r="E42" s="34" t="s">
        <v>395</v>
      </c>
      <c r="F42" s="34" t="s">
        <v>184</v>
      </c>
      <c r="G42" s="34" t="s">
        <v>170</v>
      </c>
      <c r="H42" s="34" t="s">
        <v>18</v>
      </c>
      <c r="I42" s="34" t="s">
        <v>19</v>
      </c>
      <c r="J42" s="34" t="s">
        <v>32</v>
      </c>
      <c r="K42" s="34" t="s">
        <v>15</v>
      </c>
      <c r="L42">
        <v>2.3253134428296267</v>
      </c>
    </row>
    <row r="43" spans="1:12" x14ac:dyDescent="0.3">
      <c r="A43" s="34" t="s">
        <v>662</v>
      </c>
      <c r="B43">
        <v>-1</v>
      </c>
      <c r="C43">
        <v>2050</v>
      </c>
      <c r="D43" s="34" t="s">
        <v>167</v>
      </c>
      <c r="E43" s="34" t="s">
        <v>395</v>
      </c>
      <c r="F43" s="34" t="s">
        <v>184</v>
      </c>
      <c r="G43" s="34" t="s">
        <v>171</v>
      </c>
      <c r="H43" s="34" t="s">
        <v>18</v>
      </c>
      <c r="I43" s="34" t="s">
        <v>19</v>
      </c>
      <c r="J43" s="34" t="s">
        <v>32</v>
      </c>
      <c r="K43" s="34" t="s">
        <v>15</v>
      </c>
      <c r="L43">
        <v>4.8174528627462072</v>
      </c>
    </row>
    <row r="44" spans="1:12" x14ac:dyDescent="0.3">
      <c r="A44" s="34" t="s">
        <v>662</v>
      </c>
      <c r="B44">
        <v>-1</v>
      </c>
      <c r="C44">
        <v>2050</v>
      </c>
      <c r="D44" s="34" t="s">
        <v>167</v>
      </c>
      <c r="E44" s="34" t="s">
        <v>395</v>
      </c>
      <c r="F44" s="34" t="s">
        <v>184</v>
      </c>
      <c r="G44" s="34" t="s">
        <v>172</v>
      </c>
      <c r="H44" s="34" t="s">
        <v>18</v>
      </c>
      <c r="I44" s="34" t="s">
        <v>19</v>
      </c>
      <c r="J44" s="34" t="s">
        <v>32</v>
      </c>
      <c r="K44" s="34" t="s">
        <v>15</v>
      </c>
      <c r="L44">
        <v>4.721754387070404</v>
      </c>
    </row>
    <row r="45" spans="1:12" x14ac:dyDescent="0.3">
      <c r="A45" s="34" t="s">
        <v>662</v>
      </c>
      <c r="B45">
        <v>-1</v>
      </c>
      <c r="C45">
        <v>2050</v>
      </c>
      <c r="D45" s="34" t="s">
        <v>167</v>
      </c>
      <c r="E45" s="34" t="s">
        <v>395</v>
      </c>
      <c r="F45" s="34" t="s">
        <v>184</v>
      </c>
      <c r="G45" s="34" t="s">
        <v>173</v>
      </c>
      <c r="H45" s="34" t="s">
        <v>18</v>
      </c>
      <c r="I45" s="34" t="s">
        <v>19</v>
      </c>
      <c r="J45" s="34" t="s">
        <v>32</v>
      </c>
      <c r="K45" s="34" t="s">
        <v>15</v>
      </c>
      <c r="L45">
        <v>4.4162252264508322</v>
      </c>
    </row>
    <row r="46" spans="1:12" x14ac:dyDescent="0.3">
      <c r="A46" s="34" t="s">
        <v>662</v>
      </c>
      <c r="B46">
        <v>-1</v>
      </c>
      <c r="C46">
        <v>2050</v>
      </c>
      <c r="D46" s="34" t="s">
        <v>167</v>
      </c>
      <c r="E46" s="34" t="s">
        <v>395</v>
      </c>
      <c r="F46" s="34" t="s">
        <v>184</v>
      </c>
      <c r="G46" s="34" t="s">
        <v>174</v>
      </c>
      <c r="H46" s="34" t="s">
        <v>18</v>
      </c>
      <c r="I46" s="34" t="s">
        <v>19</v>
      </c>
      <c r="J46" s="34" t="s">
        <v>32</v>
      </c>
      <c r="K46" s="34" t="s">
        <v>15</v>
      </c>
      <c r="L46">
        <v>3.7956305753517663</v>
      </c>
    </row>
    <row r="47" spans="1:12" x14ac:dyDescent="0.3">
      <c r="A47" s="34" t="s">
        <v>662</v>
      </c>
      <c r="B47">
        <v>-1</v>
      </c>
      <c r="C47">
        <v>2050</v>
      </c>
      <c r="D47" s="34" t="s">
        <v>167</v>
      </c>
      <c r="E47" s="34" t="s">
        <v>395</v>
      </c>
      <c r="F47" s="34" t="s">
        <v>184</v>
      </c>
      <c r="G47" s="34" t="s">
        <v>175</v>
      </c>
      <c r="H47" s="34" t="s">
        <v>18</v>
      </c>
      <c r="I47" s="34" t="s">
        <v>19</v>
      </c>
      <c r="J47" s="34" t="s">
        <v>32</v>
      </c>
      <c r="K47" s="34" t="s">
        <v>15</v>
      </c>
      <c r="L47">
        <v>3.5327987660138858</v>
      </c>
    </row>
    <row r="48" spans="1:12" x14ac:dyDescent="0.3">
      <c r="A48" s="34" t="s">
        <v>662</v>
      </c>
      <c r="B48">
        <v>-1</v>
      </c>
      <c r="C48">
        <v>2050</v>
      </c>
      <c r="D48" s="34" t="s">
        <v>167</v>
      </c>
      <c r="E48" s="34" t="s">
        <v>395</v>
      </c>
      <c r="F48" s="34" t="s">
        <v>184</v>
      </c>
      <c r="G48" s="34" t="s">
        <v>176</v>
      </c>
      <c r="H48" s="34" t="s">
        <v>18</v>
      </c>
      <c r="I48" s="34" t="s">
        <v>19</v>
      </c>
      <c r="J48" s="34" t="s">
        <v>32</v>
      </c>
      <c r="K48" s="34" t="s">
        <v>15</v>
      </c>
      <c r="L48">
        <v>3.5327987660138858</v>
      </c>
    </row>
    <row r="49" spans="1:12" x14ac:dyDescent="0.3">
      <c r="A49" s="34" t="s">
        <v>662</v>
      </c>
      <c r="B49">
        <v>-1</v>
      </c>
      <c r="C49">
        <v>2050</v>
      </c>
      <c r="D49" s="34" t="s">
        <v>167</v>
      </c>
      <c r="E49" s="34" t="s">
        <v>395</v>
      </c>
      <c r="F49" s="34" t="s">
        <v>184</v>
      </c>
      <c r="G49" s="34" t="s">
        <v>177</v>
      </c>
      <c r="H49" s="34" t="s">
        <v>18</v>
      </c>
      <c r="I49" s="34" t="s">
        <v>19</v>
      </c>
      <c r="J49" s="34" t="s">
        <v>32</v>
      </c>
      <c r="K49" s="34" t="s">
        <v>15</v>
      </c>
      <c r="L49">
        <v>2.9891258265518958</v>
      </c>
    </row>
    <row r="50" spans="1:12" x14ac:dyDescent="0.3">
      <c r="A50" s="34" t="s">
        <v>662</v>
      </c>
      <c r="B50">
        <v>-1</v>
      </c>
      <c r="C50">
        <v>2050</v>
      </c>
      <c r="D50" s="34" t="s">
        <v>167</v>
      </c>
      <c r="E50" s="34" t="s">
        <v>395</v>
      </c>
      <c r="F50" s="34" t="s">
        <v>184</v>
      </c>
      <c r="G50" s="34" t="s">
        <v>178</v>
      </c>
      <c r="H50" s="34" t="s">
        <v>18</v>
      </c>
      <c r="I50" s="34" t="s">
        <v>19</v>
      </c>
      <c r="J50" s="34" t="s">
        <v>32</v>
      </c>
      <c r="K50" s="34" t="s">
        <v>15</v>
      </c>
      <c r="L50">
        <v>2.2481446692815634</v>
      </c>
    </row>
    <row r="51" spans="1:12" x14ac:dyDescent="0.3">
      <c r="A51" s="34" t="s">
        <v>662</v>
      </c>
      <c r="B51">
        <v>-1</v>
      </c>
      <c r="C51">
        <v>2050</v>
      </c>
      <c r="D51" s="34" t="s">
        <v>167</v>
      </c>
      <c r="E51" s="34" t="s">
        <v>395</v>
      </c>
      <c r="F51" s="34" t="s">
        <v>184</v>
      </c>
      <c r="G51" s="34" t="s">
        <v>179</v>
      </c>
      <c r="H51" s="34" t="s">
        <v>18</v>
      </c>
      <c r="I51" s="34" t="s">
        <v>19</v>
      </c>
      <c r="J51" s="34" t="s">
        <v>32</v>
      </c>
      <c r="K51" s="34" t="s">
        <v>15</v>
      </c>
      <c r="L51">
        <v>2.0875629071900232</v>
      </c>
    </row>
    <row r="52" spans="1:12" x14ac:dyDescent="0.3">
      <c r="A52" s="34" t="s">
        <v>662</v>
      </c>
      <c r="B52">
        <v>-1</v>
      </c>
      <c r="C52">
        <v>2050</v>
      </c>
      <c r="D52" s="34" t="s">
        <v>167</v>
      </c>
      <c r="E52" s="34" t="s">
        <v>395</v>
      </c>
      <c r="F52" s="34" t="s">
        <v>184</v>
      </c>
      <c r="G52" s="34" t="s">
        <v>185</v>
      </c>
      <c r="H52" s="34" t="s">
        <v>18</v>
      </c>
      <c r="I52" s="34" t="s">
        <v>19</v>
      </c>
      <c r="J52" s="34" t="s">
        <v>32</v>
      </c>
      <c r="K52" s="34" t="s">
        <v>15</v>
      </c>
      <c r="L52">
        <v>3.1183849056019559</v>
      </c>
    </row>
    <row r="53" spans="1:12" x14ac:dyDescent="0.3">
      <c r="A53" s="34" t="s">
        <v>662</v>
      </c>
      <c r="B53">
        <v>-1</v>
      </c>
      <c r="C53">
        <v>2050</v>
      </c>
      <c r="D53" s="34" t="s">
        <v>167</v>
      </c>
      <c r="E53" s="34" t="s">
        <v>395</v>
      </c>
      <c r="F53" s="34" t="s">
        <v>184</v>
      </c>
      <c r="G53" s="34" t="s">
        <v>180</v>
      </c>
      <c r="H53" s="34" t="s">
        <v>18</v>
      </c>
      <c r="I53" s="34" t="s">
        <v>19</v>
      </c>
      <c r="J53" s="34" t="s">
        <v>181</v>
      </c>
      <c r="K53" s="34" t="s">
        <v>15</v>
      </c>
      <c r="L53">
        <v>10.677481750275051</v>
      </c>
    </row>
    <row r="54" spans="1:12" x14ac:dyDescent="0.3">
      <c r="A54" s="34" t="s">
        <v>662</v>
      </c>
      <c r="B54">
        <v>-1</v>
      </c>
      <c r="C54">
        <v>2050</v>
      </c>
      <c r="D54" s="34" t="s">
        <v>167</v>
      </c>
      <c r="E54" s="34" t="s">
        <v>395</v>
      </c>
      <c r="F54" s="34" t="s">
        <v>195</v>
      </c>
      <c r="G54" s="34" t="s">
        <v>170</v>
      </c>
      <c r="H54" s="34" t="s">
        <v>18</v>
      </c>
      <c r="I54" s="34" t="s">
        <v>19</v>
      </c>
      <c r="J54" s="34" t="s">
        <v>32</v>
      </c>
      <c r="K54" s="34" t="s">
        <v>15</v>
      </c>
      <c r="L54">
        <v>1.0605411176913302</v>
      </c>
    </row>
    <row r="55" spans="1:12" x14ac:dyDescent="0.3">
      <c r="A55" s="34" t="s">
        <v>662</v>
      </c>
      <c r="B55">
        <v>-1</v>
      </c>
      <c r="C55">
        <v>2050</v>
      </c>
      <c r="D55" s="34" t="s">
        <v>167</v>
      </c>
      <c r="E55" s="34" t="s">
        <v>395</v>
      </c>
      <c r="F55" s="34" t="s">
        <v>195</v>
      </c>
      <c r="G55" s="34" t="s">
        <v>171</v>
      </c>
      <c r="H55" s="34" t="s">
        <v>18</v>
      </c>
      <c r="I55" s="34" t="s">
        <v>19</v>
      </c>
      <c r="J55" s="34" t="s">
        <v>32</v>
      </c>
      <c r="K55" s="34" t="s">
        <v>15</v>
      </c>
      <c r="L55">
        <v>3.8978271641286324</v>
      </c>
    </row>
    <row r="56" spans="1:12" x14ac:dyDescent="0.3">
      <c r="A56" s="34" t="s">
        <v>662</v>
      </c>
      <c r="B56">
        <v>-1</v>
      </c>
      <c r="C56">
        <v>2050</v>
      </c>
      <c r="D56" s="34" t="s">
        <v>167</v>
      </c>
      <c r="E56" s="34" t="s">
        <v>395</v>
      </c>
      <c r="F56" s="34" t="s">
        <v>195</v>
      </c>
      <c r="G56" s="34" t="s">
        <v>172</v>
      </c>
      <c r="H56" s="34" t="s">
        <v>18</v>
      </c>
      <c r="I56" s="34" t="s">
        <v>19</v>
      </c>
      <c r="J56" s="34" t="s">
        <v>32</v>
      </c>
      <c r="K56" s="34" t="s">
        <v>15</v>
      </c>
      <c r="L56">
        <v>3.7533341331670411</v>
      </c>
    </row>
    <row r="57" spans="1:12" x14ac:dyDescent="0.3">
      <c r="A57" s="34" t="s">
        <v>662</v>
      </c>
      <c r="B57">
        <v>-1</v>
      </c>
      <c r="C57">
        <v>2050</v>
      </c>
      <c r="D57" s="34" t="s">
        <v>167</v>
      </c>
      <c r="E57" s="34" t="s">
        <v>395</v>
      </c>
      <c r="F57" s="34" t="s">
        <v>195</v>
      </c>
      <c r="G57" s="34" t="s">
        <v>173</v>
      </c>
      <c r="H57" s="34" t="s">
        <v>18</v>
      </c>
      <c r="I57" s="34" t="s">
        <v>19</v>
      </c>
      <c r="J57" s="34" t="s">
        <v>32</v>
      </c>
      <c r="K57" s="34" t="s">
        <v>15</v>
      </c>
      <c r="L57">
        <v>3.6299469594972686</v>
      </c>
    </row>
    <row r="58" spans="1:12" x14ac:dyDescent="0.3">
      <c r="A58" s="34" t="s">
        <v>662</v>
      </c>
      <c r="B58">
        <v>-1</v>
      </c>
      <c r="C58">
        <v>2050</v>
      </c>
      <c r="D58" s="34" t="s">
        <v>167</v>
      </c>
      <c r="E58" s="34" t="s">
        <v>395</v>
      </c>
      <c r="F58" s="34" t="s">
        <v>195</v>
      </c>
      <c r="G58" s="34" t="s">
        <v>174</v>
      </c>
      <c r="H58" s="34" t="s">
        <v>18</v>
      </c>
      <c r="I58" s="34" t="s">
        <v>19</v>
      </c>
      <c r="J58" s="34" t="s">
        <v>32</v>
      </c>
      <c r="K58" s="34" t="s">
        <v>15</v>
      </c>
      <c r="L58">
        <v>2.9233703730964735</v>
      </c>
    </row>
    <row r="59" spans="1:12" x14ac:dyDescent="0.3">
      <c r="A59" s="34" t="s">
        <v>662</v>
      </c>
      <c r="B59">
        <v>-1</v>
      </c>
      <c r="C59">
        <v>2050</v>
      </c>
      <c r="D59" s="34" t="s">
        <v>167</v>
      </c>
      <c r="E59" s="34" t="s">
        <v>395</v>
      </c>
      <c r="F59" s="34" t="s">
        <v>195</v>
      </c>
      <c r="G59" s="34" t="s">
        <v>175</v>
      </c>
      <c r="H59" s="34" t="s">
        <v>18</v>
      </c>
      <c r="I59" s="34" t="s">
        <v>19</v>
      </c>
      <c r="J59" s="34" t="s">
        <v>32</v>
      </c>
      <c r="K59" s="34" t="s">
        <v>15</v>
      </c>
      <c r="L59">
        <v>2.2398256278919844</v>
      </c>
    </row>
    <row r="60" spans="1:12" x14ac:dyDescent="0.3">
      <c r="A60" s="34" t="s">
        <v>662</v>
      </c>
      <c r="B60">
        <v>-1</v>
      </c>
      <c r="C60">
        <v>2050</v>
      </c>
      <c r="D60" s="34" t="s">
        <v>167</v>
      </c>
      <c r="E60" s="34" t="s">
        <v>395</v>
      </c>
      <c r="F60" s="34" t="s">
        <v>195</v>
      </c>
      <c r="G60" s="34" t="s">
        <v>176</v>
      </c>
      <c r="H60" s="34" t="s">
        <v>18</v>
      </c>
      <c r="I60" s="34" t="s">
        <v>19</v>
      </c>
      <c r="J60" s="34" t="s">
        <v>32</v>
      </c>
      <c r="K60" s="34" t="s">
        <v>15</v>
      </c>
      <c r="L60">
        <v>2.057186558845665</v>
      </c>
    </row>
    <row r="61" spans="1:12" x14ac:dyDescent="0.3">
      <c r="A61" s="34" t="s">
        <v>662</v>
      </c>
      <c r="B61">
        <v>-1</v>
      </c>
      <c r="C61">
        <v>2050</v>
      </c>
      <c r="D61" s="34" t="s">
        <v>167</v>
      </c>
      <c r="E61" s="34" t="s">
        <v>395</v>
      </c>
      <c r="F61" s="34" t="s">
        <v>195</v>
      </c>
      <c r="G61" s="34" t="s">
        <v>177</v>
      </c>
      <c r="H61" s="34" t="s">
        <v>18</v>
      </c>
      <c r="I61" s="34" t="s">
        <v>19</v>
      </c>
      <c r="J61" s="34" t="s">
        <v>32</v>
      </c>
      <c r="K61" s="34" t="s">
        <v>15</v>
      </c>
      <c r="L61">
        <v>1.665342758228727</v>
      </c>
    </row>
    <row r="62" spans="1:12" x14ac:dyDescent="0.3">
      <c r="A62" s="34" t="s">
        <v>662</v>
      </c>
      <c r="B62">
        <v>-1</v>
      </c>
      <c r="C62">
        <v>2050</v>
      </c>
      <c r="D62" s="34" t="s">
        <v>167</v>
      </c>
      <c r="E62" s="34" t="s">
        <v>395</v>
      </c>
      <c r="F62" s="34" t="s">
        <v>195</v>
      </c>
      <c r="G62" s="34" t="s">
        <v>178</v>
      </c>
      <c r="H62" s="34" t="s">
        <v>18</v>
      </c>
      <c r="I62" s="34" t="s">
        <v>19</v>
      </c>
      <c r="J62" s="34" t="s">
        <v>32</v>
      </c>
      <c r="K62" s="34" t="s">
        <v>15</v>
      </c>
      <c r="L62">
        <v>0.75791083746945564</v>
      </c>
    </row>
    <row r="63" spans="1:12" x14ac:dyDescent="0.3">
      <c r="A63" s="34" t="s">
        <v>662</v>
      </c>
      <c r="B63">
        <v>-1</v>
      </c>
      <c r="C63">
        <v>2050</v>
      </c>
      <c r="D63" s="34" t="s">
        <v>167</v>
      </c>
      <c r="E63" s="34" t="s">
        <v>395</v>
      </c>
      <c r="F63" s="34" t="s">
        <v>195</v>
      </c>
      <c r="G63" s="34" t="s">
        <v>179</v>
      </c>
      <c r="H63" s="34" t="s">
        <v>18</v>
      </c>
      <c r="I63" s="34" t="s">
        <v>19</v>
      </c>
      <c r="J63" s="34" t="s">
        <v>32</v>
      </c>
      <c r="K63" s="34" t="s">
        <v>15</v>
      </c>
      <c r="L63">
        <v>0.43309190712540319</v>
      </c>
    </row>
    <row r="64" spans="1:12" x14ac:dyDescent="0.3">
      <c r="A64" s="34" t="s">
        <v>662</v>
      </c>
      <c r="B64">
        <v>-1</v>
      </c>
      <c r="C64">
        <v>2050</v>
      </c>
      <c r="D64" s="34" t="s">
        <v>167</v>
      </c>
      <c r="E64" s="34" t="s">
        <v>395</v>
      </c>
      <c r="F64" s="34" t="s">
        <v>195</v>
      </c>
      <c r="G64" s="34" t="s">
        <v>185</v>
      </c>
      <c r="H64" s="34" t="s">
        <v>18</v>
      </c>
      <c r="I64" s="34" t="s">
        <v>19</v>
      </c>
      <c r="J64" s="34" t="s">
        <v>32</v>
      </c>
      <c r="K64" s="34" t="s">
        <v>15</v>
      </c>
      <c r="L64">
        <v>3.0538319999999999</v>
      </c>
    </row>
    <row r="65" spans="1:12" x14ac:dyDescent="0.3">
      <c r="A65" s="34" t="s">
        <v>662</v>
      </c>
      <c r="B65">
        <v>-1</v>
      </c>
      <c r="C65">
        <v>2050</v>
      </c>
      <c r="D65" s="34" t="s">
        <v>167</v>
      </c>
      <c r="E65" s="34" t="s">
        <v>395</v>
      </c>
      <c r="F65" s="34" t="s">
        <v>195</v>
      </c>
      <c r="G65" s="34" t="s">
        <v>180</v>
      </c>
      <c r="H65" s="34" t="s">
        <v>18</v>
      </c>
      <c r="I65" s="34" t="s">
        <v>19</v>
      </c>
      <c r="J65" s="34" t="s">
        <v>181</v>
      </c>
      <c r="K65" s="34" t="s">
        <v>15</v>
      </c>
      <c r="L65">
        <v>9.8497535111950789</v>
      </c>
    </row>
    <row r="66" spans="1:12" x14ac:dyDescent="0.3">
      <c r="A66" s="34" t="s">
        <v>662</v>
      </c>
      <c r="B66">
        <v>-1</v>
      </c>
      <c r="C66">
        <v>2050</v>
      </c>
      <c r="D66" s="34" t="s">
        <v>167</v>
      </c>
      <c r="E66" s="34" t="s">
        <v>395</v>
      </c>
      <c r="F66" s="34" t="s">
        <v>595</v>
      </c>
      <c r="G66" s="34" t="s">
        <v>20</v>
      </c>
      <c r="H66" s="34" t="s">
        <v>21</v>
      </c>
      <c r="I66" s="34" t="s">
        <v>19</v>
      </c>
      <c r="J66" s="34" t="s">
        <v>22</v>
      </c>
      <c r="K66" s="34" t="s">
        <v>15</v>
      </c>
      <c r="L66">
        <v>4.1495695768389851E-16</v>
      </c>
    </row>
    <row r="67" spans="1:12" x14ac:dyDescent="0.3">
      <c r="A67" s="34" t="s">
        <v>662</v>
      </c>
      <c r="B67">
        <v>-1</v>
      </c>
      <c r="C67">
        <v>2050</v>
      </c>
      <c r="D67" s="34" t="s">
        <v>167</v>
      </c>
      <c r="E67" s="34" t="s">
        <v>395</v>
      </c>
      <c r="F67" s="34" t="s">
        <v>595</v>
      </c>
      <c r="G67" s="34" t="s">
        <v>644</v>
      </c>
      <c r="H67" s="34" t="s">
        <v>21</v>
      </c>
      <c r="I67" s="34" t="s">
        <v>19</v>
      </c>
      <c r="J67" s="34" t="s">
        <v>22</v>
      </c>
      <c r="K67" s="34" t="s">
        <v>15</v>
      </c>
      <c r="L67">
        <v>24.874074766355132</v>
      </c>
    </row>
    <row r="68" spans="1:12" x14ac:dyDescent="0.3">
      <c r="A68" s="34" t="s">
        <v>662</v>
      </c>
      <c r="B68">
        <v>-1</v>
      </c>
      <c r="C68">
        <v>2050</v>
      </c>
      <c r="D68" s="34" t="s">
        <v>197</v>
      </c>
      <c r="E68" s="34" t="s">
        <v>198</v>
      </c>
      <c r="F68" s="34" t="s">
        <v>199</v>
      </c>
      <c r="G68" s="34" t="s">
        <v>11</v>
      </c>
      <c r="H68" s="34" t="s">
        <v>12</v>
      </c>
      <c r="I68" s="34" t="s">
        <v>13</v>
      </c>
      <c r="J68" s="34" t="s">
        <v>14</v>
      </c>
      <c r="K68" s="34" t="s">
        <v>15</v>
      </c>
      <c r="L68">
        <v>4.0030650759627298</v>
      </c>
    </row>
    <row r="69" spans="1:12" x14ac:dyDescent="0.3">
      <c r="A69" s="34" t="s">
        <v>662</v>
      </c>
      <c r="B69">
        <v>-1</v>
      </c>
      <c r="C69">
        <v>2050</v>
      </c>
      <c r="D69" s="34" t="s">
        <v>197</v>
      </c>
      <c r="E69" s="34" t="s">
        <v>198</v>
      </c>
      <c r="F69" s="34" t="s">
        <v>199</v>
      </c>
      <c r="G69" s="34" t="s">
        <v>392</v>
      </c>
      <c r="H69" s="34" t="s">
        <v>13</v>
      </c>
      <c r="I69" s="34" t="s">
        <v>13</v>
      </c>
      <c r="J69" s="34" t="s">
        <v>17</v>
      </c>
      <c r="K69" s="34" t="s">
        <v>15</v>
      </c>
      <c r="L69">
        <v>6.5037654597358037</v>
      </c>
    </row>
    <row r="70" spans="1:12" x14ac:dyDescent="0.3">
      <c r="A70" s="34" t="s">
        <v>662</v>
      </c>
      <c r="B70">
        <v>-1</v>
      </c>
      <c r="C70">
        <v>2050</v>
      </c>
      <c r="D70" s="34" t="s">
        <v>197</v>
      </c>
      <c r="E70" s="34" t="s">
        <v>198</v>
      </c>
      <c r="F70" s="34" t="s">
        <v>220</v>
      </c>
      <c r="G70" s="34" t="s">
        <v>180</v>
      </c>
      <c r="H70" s="34" t="s">
        <v>18</v>
      </c>
      <c r="I70" s="34" t="s">
        <v>19</v>
      </c>
      <c r="J70" s="34" t="s">
        <v>181</v>
      </c>
      <c r="K70" s="34" t="s">
        <v>15</v>
      </c>
      <c r="L70">
        <v>3.2348306234087611E-2</v>
      </c>
    </row>
    <row r="71" spans="1:12" x14ac:dyDescent="0.3">
      <c r="A71" s="34" t="s">
        <v>662</v>
      </c>
      <c r="B71">
        <v>-1</v>
      </c>
      <c r="C71">
        <v>2050</v>
      </c>
      <c r="D71" s="34" t="s">
        <v>197</v>
      </c>
      <c r="E71" s="34" t="s">
        <v>198</v>
      </c>
      <c r="F71" s="34" t="s">
        <v>596</v>
      </c>
      <c r="G71" s="34" t="s">
        <v>222</v>
      </c>
      <c r="H71" s="34" t="s">
        <v>21</v>
      </c>
      <c r="I71" s="34" t="s">
        <v>19</v>
      </c>
      <c r="J71" s="34" t="s">
        <v>223</v>
      </c>
      <c r="K71" s="34" t="s">
        <v>15</v>
      </c>
      <c r="L71">
        <v>-8.2991391536779698E-17</v>
      </c>
    </row>
    <row r="72" spans="1:12" x14ac:dyDescent="0.3">
      <c r="A72" s="34" t="s">
        <v>662</v>
      </c>
      <c r="B72">
        <v>-1</v>
      </c>
      <c r="C72">
        <v>2050</v>
      </c>
      <c r="D72" s="34" t="s">
        <v>197</v>
      </c>
      <c r="E72" s="34" t="s">
        <v>198</v>
      </c>
      <c r="F72" s="34" t="s">
        <v>596</v>
      </c>
      <c r="G72" s="34" t="s">
        <v>20</v>
      </c>
      <c r="H72" s="34" t="s">
        <v>21</v>
      </c>
      <c r="I72" s="34" t="s">
        <v>19</v>
      </c>
      <c r="J72" s="34" t="s">
        <v>22</v>
      </c>
      <c r="K72" s="34" t="s">
        <v>15</v>
      </c>
      <c r="L72">
        <v>-1.659827830735594E-15</v>
      </c>
    </row>
    <row r="73" spans="1:12" x14ac:dyDescent="0.3">
      <c r="A73" s="34" t="s">
        <v>662</v>
      </c>
      <c r="B73">
        <v>-1</v>
      </c>
      <c r="C73">
        <v>2050</v>
      </c>
      <c r="D73" s="34" t="s">
        <v>197</v>
      </c>
      <c r="E73" s="34" t="s">
        <v>198</v>
      </c>
      <c r="F73" s="34" t="s">
        <v>596</v>
      </c>
      <c r="G73" s="34" t="s">
        <v>30</v>
      </c>
      <c r="H73" s="34" t="s">
        <v>21</v>
      </c>
      <c r="I73" s="34" t="s">
        <v>19</v>
      </c>
      <c r="J73" s="34" t="s">
        <v>22</v>
      </c>
      <c r="K73" s="34" t="s">
        <v>15</v>
      </c>
      <c r="L73">
        <v>-4.7720050133648327E-16</v>
      </c>
    </row>
    <row r="74" spans="1:12" x14ac:dyDescent="0.3">
      <c r="A74" s="34" t="s">
        <v>662</v>
      </c>
      <c r="B74">
        <v>-1</v>
      </c>
      <c r="C74">
        <v>2050</v>
      </c>
      <c r="D74" s="34" t="s">
        <v>197</v>
      </c>
      <c r="E74" s="34" t="s">
        <v>198</v>
      </c>
      <c r="F74" s="34" t="s">
        <v>596</v>
      </c>
      <c r="G74" s="34" t="s">
        <v>644</v>
      </c>
      <c r="H74" s="34" t="s">
        <v>21</v>
      </c>
      <c r="I74" s="34" t="s">
        <v>19</v>
      </c>
      <c r="J74" s="34" t="s">
        <v>22</v>
      </c>
      <c r="K74" s="34" t="s">
        <v>15</v>
      </c>
      <c r="L74">
        <v>41.973427975778534</v>
      </c>
    </row>
    <row r="75" spans="1:12" x14ac:dyDescent="0.3">
      <c r="A75" s="34" t="s">
        <v>662</v>
      </c>
      <c r="B75">
        <v>-1</v>
      </c>
      <c r="C75">
        <v>2050</v>
      </c>
      <c r="D75" s="34" t="s">
        <v>197</v>
      </c>
      <c r="E75" s="34" t="s">
        <v>231</v>
      </c>
      <c r="F75" s="34" t="s">
        <v>232</v>
      </c>
      <c r="G75" s="34" t="s">
        <v>11</v>
      </c>
      <c r="H75" s="34" t="s">
        <v>12</v>
      </c>
      <c r="I75" s="34" t="s">
        <v>13</v>
      </c>
      <c r="J75" s="34" t="s">
        <v>14</v>
      </c>
      <c r="K75" s="34" t="s">
        <v>15</v>
      </c>
      <c r="L75">
        <v>2.9557095500051327</v>
      </c>
    </row>
    <row r="76" spans="1:12" x14ac:dyDescent="0.3">
      <c r="A76" s="34" t="s">
        <v>662</v>
      </c>
      <c r="B76">
        <v>-1</v>
      </c>
      <c r="C76">
        <v>2050</v>
      </c>
      <c r="D76" s="34" t="s">
        <v>197</v>
      </c>
      <c r="E76" s="34" t="s">
        <v>231</v>
      </c>
      <c r="F76" s="34" t="s">
        <v>244</v>
      </c>
      <c r="G76" s="34" t="s">
        <v>180</v>
      </c>
      <c r="H76" s="34" t="s">
        <v>18</v>
      </c>
      <c r="I76" s="34" t="s">
        <v>19</v>
      </c>
      <c r="J76" s="34" t="s">
        <v>181</v>
      </c>
      <c r="K76" s="34" t="s">
        <v>15</v>
      </c>
      <c r="L76">
        <v>6.9917088402206564E-5</v>
      </c>
    </row>
    <row r="77" spans="1:12" x14ac:dyDescent="0.3">
      <c r="A77" s="34" t="s">
        <v>662</v>
      </c>
      <c r="B77">
        <v>-1</v>
      </c>
      <c r="C77">
        <v>2050</v>
      </c>
      <c r="D77" s="34" t="s">
        <v>197</v>
      </c>
      <c r="E77" s="34" t="s">
        <v>231</v>
      </c>
      <c r="F77" s="34" t="s">
        <v>597</v>
      </c>
      <c r="G77" s="34" t="s">
        <v>222</v>
      </c>
      <c r="H77" s="34" t="s">
        <v>21</v>
      </c>
      <c r="I77" s="34" t="s">
        <v>19</v>
      </c>
      <c r="J77" s="34" t="s">
        <v>223</v>
      </c>
      <c r="K77" s="34" t="s">
        <v>15</v>
      </c>
      <c r="L77">
        <v>1.4523493518936448E-16</v>
      </c>
    </row>
    <row r="78" spans="1:12" x14ac:dyDescent="0.3">
      <c r="A78" s="34" t="s">
        <v>662</v>
      </c>
      <c r="B78">
        <v>-1</v>
      </c>
      <c r="C78">
        <v>2050</v>
      </c>
      <c r="D78" s="34" t="s">
        <v>197</v>
      </c>
      <c r="E78" s="34" t="s">
        <v>231</v>
      </c>
      <c r="F78" s="34" t="s">
        <v>597</v>
      </c>
      <c r="G78" s="34" t="s">
        <v>644</v>
      </c>
      <c r="H78" s="34" t="s">
        <v>21</v>
      </c>
      <c r="I78" s="34" t="s">
        <v>19</v>
      </c>
      <c r="J78" s="34" t="s">
        <v>22</v>
      </c>
      <c r="K78" s="34" t="s">
        <v>15</v>
      </c>
      <c r="L78">
        <v>16.442131141868526</v>
      </c>
    </row>
    <row r="79" spans="1:12" x14ac:dyDescent="0.3">
      <c r="A79" s="34" t="s">
        <v>662</v>
      </c>
      <c r="B79">
        <v>-1</v>
      </c>
      <c r="C79">
        <v>2050</v>
      </c>
      <c r="D79" s="34" t="s">
        <v>250</v>
      </c>
      <c r="E79" s="34" t="s">
        <v>251</v>
      </c>
      <c r="F79" s="34" t="s">
        <v>444</v>
      </c>
      <c r="G79" s="34" t="s">
        <v>170</v>
      </c>
      <c r="H79" s="34" t="s">
        <v>18</v>
      </c>
      <c r="I79" s="34" t="s">
        <v>19</v>
      </c>
      <c r="J79" s="34" t="s">
        <v>32</v>
      </c>
      <c r="K79" s="34" t="s">
        <v>15</v>
      </c>
      <c r="L79">
        <v>1.1799735207419724</v>
      </c>
    </row>
    <row r="80" spans="1:12" x14ac:dyDescent="0.3">
      <c r="A80" s="34" t="s">
        <v>662</v>
      </c>
      <c r="B80">
        <v>-1</v>
      </c>
      <c r="C80">
        <v>2050</v>
      </c>
      <c r="D80" s="34" t="s">
        <v>250</v>
      </c>
      <c r="E80" s="34" t="s">
        <v>251</v>
      </c>
      <c r="F80" s="34" t="s">
        <v>444</v>
      </c>
      <c r="G80" s="34" t="s">
        <v>171</v>
      </c>
      <c r="H80" s="34" t="s">
        <v>18</v>
      </c>
      <c r="I80" s="34" t="s">
        <v>19</v>
      </c>
      <c r="J80" s="34" t="s">
        <v>32</v>
      </c>
      <c r="K80" s="34" t="s">
        <v>15</v>
      </c>
      <c r="L80">
        <v>1.1497893736933142</v>
      </c>
    </row>
    <row r="81" spans="1:12" x14ac:dyDescent="0.3">
      <c r="A81" s="34" t="s">
        <v>662</v>
      </c>
      <c r="B81">
        <v>-1</v>
      </c>
      <c r="C81">
        <v>2050</v>
      </c>
      <c r="D81" s="34" t="s">
        <v>250</v>
      </c>
      <c r="E81" s="34" t="s">
        <v>251</v>
      </c>
      <c r="F81" s="34" t="s">
        <v>444</v>
      </c>
      <c r="G81" s="34" t="s">
        <v>172</v>
      </c>
      <c r="H81" s="34" t="s">
        <v>18</v>
      </c>
      <c r="I81" s="34" t="s">
        <v>19</v>
      </c>
      <c r="J81" s="34" t="s">
        <v>32</v>
      </c>
      <c r="K81" s="34" t="s">
        <v>15</v>
      </c>
      <c r="L81">
        <v>1.1363179999999993</v>
      </c>
    </row>
    <row r="82" spans="1:12" x14ac:dyDescent="0.3">
      <c r="A82" s="34" t="s">
        <v>662</v>
      </c>
      <c r="B82">
        <v>-1</v>
      </c>
      <c r="C82">
        <v>2050</v>
      </c>
      <c r="D82" s="34" t="s">
        <v>250</v>
      </c>
      <c r="E82" s="34" t="s">
        <v>251</v>
      </c>
      <c r="F82" s="34" t="s">
        <v>444</v>
      </c>
      <c r="G82" s="34" t="s">
        <v>173</v>
      </c>
      <c r="H82" s="34" t="s">
        <v>18</v>
      </c>
      <c r="I82" s="34" t="s">
        <v>19</v>
      </c>
      <c r="J82" s="34" t="s">
        <v>32</v>
      </c>
      <c r="K82" s="34" t="s">
        <v>15</v>
      </c>
      <c r="L82">
        <v>1.0422901649457943</v>
      </c>
    </row>
    <row r="83" spans="1:12" x14ac:dyDescent="0.3">
      <c r="A83" s="34" t="s">
        <v>662</v>
      </c>
      <c r="B83">
        <v>-1</v>
      </c>
      <c r="C83">
        <v>2050</v>
      </c>
      <c r="D83" s="34" t="s">
        <v>250</v>
      </c>
      <c r="E83" s="34" t="s">
        <v>251</v>
      </c>
      <c r="F83" s="34" t="s">
        <v>444</v>
      </c>
      <c r="G83" s="34" t="s">
        <v>174</v>
      </c>
      <c r="H83" s="34" t="s">
        <v>18</v>
      </c>
      <c r="I83" s="34" t="s">
        <v>19</v>
      </c>
      <c r="J83" s="34" t="s">
        <v>32</v>
      </c>
      <c r="K83" s="34" t="s">
        <v>15</v>
      </c>
      <c r="L83">
        <v>0.9658702999999994</v>
      </c>
    </row>
    <row r="84" spans="1:12" x14ac:dyDescent="0.3">
      <c r="A84" s="34" t="s">
        <v>662</v>
      </c>
      <c r="B84">
        <v>-1</v>
      </c>
      <c r="C84">
        <v>2050</v>
      </c>
      <c r="D84" s="34" t="s">
        <v>250</v>
      </c>
      <c r="E84" s="34" t="s">
        <v>251</v>
      </c>
      <c r="F84" s="34" t="s">
        <v>444</v>
      </c>
      <c r="G84" s="34" t="s">
        <v>175</v>
      </c>
      <c r="H84" s="34" t="s">
        <v>18</v>
      </c>
      <c r="I84" s="34" t="s">
        <v>19</v>
      </c>
      <c r="J84" s="34" t="s">
        <v>32</v>
      </c>
      <c r="K84" s="34" t="s">
        <v>15</v>
      </c>
      <c r="L84">
        <v>0.90905439999999949</v>
      </c>
    </row>
    <row r="85" spans="1:12" x14ac:dyDescent="0.3">
      <c r="A85" s="34" t="s">
        <v>662</v>
      </c>
      <c r="B85">
        <v>-1</v>
      </c>
      <c r="C85">
        <v>2050</v>
      </c>
      <c r="D85" s="34" t="s">
        <v>250</v>
      </c>
      <c r="E85" s="34" t="s">
        <v>251</v>
      </c>
      <c r="F85" s="34" t="s">
        <v>444</v>
      </c>
      <c r="G85" s="34" t="s">
        <v>176</v>
      </c>
      <c r="H85" s="34" t="s">
        <v>18</v>
      </c>
      <c r="I85" s="34" t="s">
        <v>19</v>
      </c>
      <c r="J85" s="34" t="s">
        <v>32</v>
      </c>
      <c r="K85" s="34" t="s">
        <v>15</v>
      </c>
      <c r="L85">
        <v>0.6997391898309383</v>
      </c>
    </row>
    <row r="86" spans="1:12" x14ac:dyDescent="0.3">
      <c r="A86" s="34" t="s">
        <v>662</v>
      </c>
      <c r="B86">
        <v>-1</v>
      </c>
      <c r="C86">
        <v>2050</v>
      </c>
      <c r="D86" s="34" t="s">
        <v>250</v>
      </c>
      <c r="E86" s="34" t="s">
        <v>251</v>
      </c>
      <c r="F86" s="34" t="s">
        <v>444</v>
      </c>
      <c r="G86" s="34" t="s">
        <v>177</v>
      </c>
      <c r="H86" s="34" t="s">
        <v>18</v>
      </c>
      <c r="I86" s="34" t="s">
        <v>19</v>
      </c>
      <c r="J86" s="34" t="s">
        <v>32</v>
      </c>
      <c r="K86" s="34" t="s">
        <v>15</v>
      </c>
      <c r="L86">
        <v>0.68179079999999992</v>
      </c>
    </row>
    <row r="87" spans="1:12" x14ac:dyDescent="0.3">
      <c r="A87" s="34" t="s">
        <v>662</v>
      </c>
      <c r="B87">
        <v>-1</v>
      </c>
      <c r="C87">
        <v>2050</v>
      </c>
      <c r="D87" s="34" t="s">
        <v>250</v>
      </c>
      <c r="E87" s="34" t="s">
        <v>251</v>
      </c>
      <c r="F87" s="34" t="s">
        <v>444</v>
      </c>
      <c r="G87" s="34" t="s">
        <v>178</v>
      </c>
      <c r="H87" s="34" t="s">
        <v>18</v>
      </c>
      <c r="I87" s="34" t="s">
        <v>19</v>
      </c>
      <c r="J87" s="34" t="s">
        <v>32</v>
      </c>
      <c r="K87" s="34" t="s">
        <v>15</v>
      </c>
      <c r="L87">
        <v>0.68179079999999992</v>
      </c>
    </row>
    <row r="88" spans="1:12" x14ac:dyDescent="0.3">
      <c r="A88" s="34" t="s">
        <v>662</v>
      </c>
      <c r="B88">
        <v>-1</v>
      </c>
      <c r="C88">
        <v>2050</v>
      </c>
      <c r="D88" s="34" t="s">
        <v>250</v>
      </c>
      <c r="E88" s="34" t="s">
        <v>251</v>
      </c>
      <c r="F88" s="34" t="s">
        <v>444</v>
      </c>
      <c r="G88" s="34" t="s">
        <v>179</v>
      </c>
      <c r="H88" s="34" t="s">
        <v>18</v>
      </c>
      <c r="I88" s="34" t="s">
        <v>19</v>
      </c>
      <c r="J88" s="34" t="s">
        <v>32</v>
      </c>
      <c r="K88" s="34" t="s">
        <v>15</v>
      </c>
      <c r="L88">
        <v>0.68149196727148187</v>
      </c>
    </row>
    <row r="89" spans="1:12" x14ac:dyDescent="0.3">
      <c r="A89" s="34" t="s">
        <v>662</v>
      </c>
      <c r="B89">
        <v>-1</v>
      </c>
      <c r="C89">
        <v>2050</v>
      </c>
      <c r="D89" s="34" t="s">
        <v>250</v>
      </c>
      <c r="E89" s="34" t="s">
        <v>251</v>
      </c>
      <c r="F89" s="34" t="s">
        <v>444</v>
      </c>
      <c r="G89" s="34" t="s">
        <v>180</v>
      </c>
      <c r="H89" s="34" t="s">
        <v>18</v>
      </c>
      <c r="I89" s="34" t="s">
        <v>19</v>
      </c>
      <c r="J89" s="34" t="s">
        <v>181</v>
      </c>
      <c r="K89" s="34" t="s">
        <v>15</v>
      </c>
      <c r="L89">
        <v>8.8743941342837811</v>
      </c>
    </row>
    <row r="90" spans="1:12" x14ac:dyDescent="0.3">
      <c r="A90" s="34" t="s">
        <v>662</v>
      </c>
      <c r="B90">
        <v>-1</v>
      </c>
      <c r="C90">
        <v>2050</v>
      </c>
      <c r="D90" s="34" t="s">
        <v>250</v>
      </c>
      <c r="E90" s="34" t="s">
        <v>251</v>
      </c>
      <c r="F90" s="34" t="s">
        <v>444</v>
      </c>
      <c r="G90" s="34" t="s">
        <v>253</v>
      </c>
      <c r="H90" s="34" t="s">
        <v>254</v>
      </c>
      <c r="I90" s="34" t="s">
        <v>19</v>
      </c>
      <c r="J90" s="34" t="s">
        <v>27</v>
      </c>
      <c r="K90" s="34" t="s">
        <v>15</v>
      </c>
      <c r="L90">
        <v>1.0536855651700989</v>
      </c>
    </row>
    <row r="91" spans="1:12" x14ac:dyDescent="0.3">
      <c r="A91" s="34" t="s">
        <v>662</v>
      </c>
      <c r="B91">
        <v>-1</v>
      </c>
      <c r="C91">
        <v>2050</v>
      </c>
      <c r="D91" s="34" t="s">
        <v>250</v>
      </c>
      <c r="E91" s="34" t="s">
        <v>251</v>
      </c>
      <c r="F91" s="34" t="s">
        <v>449</v>
      </c>
      <c r="G91" s="34" t="s">
        <v>16</v>
      </c>
      <c r="H91" s="34" t="s">
        <v>12</v>
      </c>
      <c r="I91" s="34" t="s">
        <v>13</v>
      </c>
      <c r="J91" s="34" t="s">
        <v>14</v>
      </c>
      <c r="K91" s="34" t="s">
        <v>15</v>
      </c>
      <c r="L91">
        <v>1.0723548930232358</v>
      </c>
    </row>
    <row r="92" spans="1:12" x14ac:dyDescent="0.3">
      <c r="A92" s="34" t="s">
        <v>662</v>
      </c>
      <c r="B92">
        <v>-1</v>
      </c>
      <c r="C92">
        <v>2050</v>
      </c>
      <c r="D92" s="34" t="s">
        <v>250</v>
      </c>
      <c r="E92" s="34" t="s">
        <v>251</v>
      </c>
      <c r="F92" s="34" t="s">
        <v>449</v>
      </c>
      <c r="G92" s="34" t="s">
        <v>57</v>
      </c>
      <c r="H92" s="34" t="s">
        <v>13</v>
      </c>
      <c r="I92" s="34" t="s">
        <v>13</v>
      </c>
      <c r="J92" s="34" t="s">
        <v>17</v>
      </c>
      <c r="K92" s="34" t="s">
        <v>15</v>
      </c>
      <c r="L92">
        <v>-5.1967134595543032E-15</v>
      </c>
    </row>
    <row r="93" spans="1:12" x14ac:dyDescent="0.3">
      <c r="A93" s="34" t="s">
        <v>662</v>
      </c>
      <c r="B93">
        <v>-1</v>
      </c>
      <c r="C93">
        <v>2050</v>
      </c>
      <c r="D93" s="34" t="s">
        <v>250</v>
      </c>
      <c r="E93" s="34" t="s">
        <v>251</v>
      </c>
      <c r="F93" s="34" t="s">
        <v>598</v>
      </c>
      <c r="G93" s="34" t="s">
        <v>20</v>
      </c>
      <c r="H93" s="34" t="s">
        <v>21</v>
      </c>
      <c r="I93" s="34" t="s">
        <v>19</v>
      </c>
      <c r="J93" s="34" t="s">
        <v>22</v>
      </c>
      <c r="K93" s="34" t="s">
        <v>15</v>
      </c>
      <c r="L93">
        <v>-8.2991391536779698E-17</v>
      </c>
    </row>
    <row r="94" spans="1:12" x14ac:dyDescent="0.3">
      <c r="A94" s="34" t="s">
        <v>662</v>
      </c>
      <c r="B94">
        <v>-1</v>
      </c>
      <c r="C94">
        <v>2050</v>
      </c>
      <c r="D94" s="34" t="s">
        <v>250</v>
      </c>
      <c r="E94" s="34" t="s">
        <v>251</v>
      </c>
      <c r="F94" s="34" t="s">
        <v>598</v>
      </c>
      <c r="G94" s="34" t="s">
        <v>30</v>
      </c>
      <c r="H94" s="34" t="s">
        <v>21</v>
      </c>
      <c r="I94" s="34" t="s">
        <v>19</v>
      </c>
      <c r="J94" s="34" t="s">
        <v>22</v>
      </c>
      <c r="K94" s="34" t="s">
        <v>15</v>
      </c>
      <c r="L94">
        <v>-2.6972202249453404E-16</v>
      </c>
    </row>
    <row r="95" spans="1:12" x14ac:dyDescent="0.3">
      <c r="A95" s="34" t="s">
        <v>662</v>
      </c>
      <c r="B95">
        <v>-1</v>
      </c>
      <c r="C95">
        <v>2050</v>
      </c>
      <c r="D95" s="34" t="s">
        <v>250</v>
      </c>
      <c r="E95" s="34" t="s">
        <v>251</v>
      </c>
      <c r="F95" s="34" t="s">
        <v>598</v>
      </c>
      <c r="G95" s="34" t="s">
        <v>644</v>
      </c>
      <c r="H95" s="34" t="s">
        <v>21</v>
      </c>
      <c r="I95" s="34" t="s">
        <v>19</v>
      </c>
      <c r="J95" s="34" t="s">
        <v>22</v>
      </c>
      <c r="K95" s="34" t="s">
        <v>15</v>
      </c>
      <c r="L95">
        <v>58.860353222758178</v>
      </c>
    </row>
    <row r="96" spans="1:12" x14ac:dyDescent="0.3">
      <c r="A96" s="34" t="s">
        <v>662</v>
      </c>
      <c r="B96">
        <v>-1</v>
      </c>
      <c r="C96">
        <v>2050</v>
      </c>
      <c r="D96" s="34" t="s">
        <v>255</v>
      </c>
      <c r="E96" s="34" t="s">
        <v>396</v>
      </c>
      <c r="F96" s="34" t="s">
        <v>257</v>
      </c>
      <c r="G96" s="34" t="s">
        <v>180</v>
      </c>
      <c r="H96" s="34" t="s">
        <v>18</v>
      </c>
      <c r="I96" s="34" t="s">
        <v>19</v>
      </c>
      <c r="J96" s="34" t="s">
        <v>181</v>
      </c>
      <c r="K96" s="34" t="s">
        <v>15</v>
      </c>
      <c r="L96">
        <v>1.1103964436146827</v>
      </c>
    </row>
    <row r="97" spans="1:12" x14ac:dyDescent="0.3">
      <c r="A97" s="34" t="s">
        <v>662</v>
      </c>
      <c r="B97">
        <v>-1</v>
      </c>
      <c r="C97">
        <v>2050</v>
      </c>
      <c r="D97" s="34" t="s">
        <v>255</v>
      </c>
      <c r="E97" s="34" t="s">
        <v>396</v>
      </c>
      <c r="F97" s="34" t="s">
        <v>257</v>
      </c>
      <c r="G97" s="34" t="s">
        <v>11</v>
      </c>
      <c r="H97" s="34" t="s">
        <v>12</v>
      </c>
      <c r="I97" s="34" t="s">
        <v>13</v>
      </c>
      <c r="J97" s="34" t="s">
        <v>14</v>
      </c>
      <c r="K97" s="34" t="s">
        <v>15</v>
      </c>
      <c r="L97">
        <v>3.9770279999999958</v>
      </c>
    </row>
    <row r="98" spans="1:12" x14ac:dyDescent="0.3">
      <c r="A98" s="34" t="s">
        <v>662</v>
      </c>
      <c r="B98">
        <v>-1</v>
      </c>
      <c r="C98">
        <v>2050</v>
      </c>
      <c r="D98" s="34" t="s">
        <v>255</v>
      </c>
      <c r="E98" s="34" t="s">
        <v>396</v>
      </c>
      <c r="F98" s="34" t="s">
        <v>257</v>
      </c>
      <c r="G98" s="34" t="s">
        <v>392</v>
      </c>
      <c r="H98" s="34" t="s">
        <v>13</v>
      </c>
      <c r="I98" s="34" t="s">
        <v>13</v>
      </c>
      <c r="J98" s="34" t="s">
        <v>17</v>
      </c>
      <c r="K98" s="34" t="s">
        <v>15</v>
      </c>
      <c r="L98">
        <v>5.1713973433701721</v>
      </c>
    </row>
    <row r="99" spans="1:12" x14ac:dyDescent="0.3">
      <c r="A99" s="34" t="s">
        <v>662</v>
      </c>
      <c r="B99">
        <v>-1</v>
      </c>
      <c r="C99">
        <v>2050</v>
      </c>
      <c r="D99" s="34" t="s">
        <v>255</v>
      </c>
      <c r="E99" s="34" t="s">
        <v>396</v>
      </c>
      <c r="F99" s="34" t="s">
        <v>274</v>
      </c>
      <c r="G99" s="34" t="s">
        <v>180</v>
      </c>
      <c r="H99" s="34" t="s">
        <v>18</v>
      </c>
      <c r="I99" s="34" t="s">
        <v>19</v>
      </c>
      <c r="J99" s="34" t="s">
        <v>181</v>
      </c>
      <c r="K99" s="34" t="s">
        <v>15</v>
      </c>
      <c r="L99">
        <v>9.7702452180541705E-3</v>
      </c>
    </row>
    <row r="100" spans="1:12" x14ac:dyDescent="0.3">
      <c r="A100" s="34" t="s">
        <v>662</v>
      </c>
      <c r="B100">
        <v>-1</v>
      </c>
      <c r="C100">
        <v>2050</v>
      </c>
      <c r="D100" s="34" t="s">
        <v>255</v>
      </c>
      <c r="E100" s="34" t="s">
        <v>396</v>
      </c>
      <c r="F100" s="34" t="s">
        <v>274</v>
      </c>
      <c r="G100" s="34" t="s">
        <v>11</v>
      </c>
      <c r="H100" s="34" t="s">
        <v>12</v>
      </c>
      <c r="I100" s="34" t="s">
        <v>13</v>
      </c>
      <c r="J100" s="34" t="s">
        <v>14</v>
      </c>
      <c r="K100" s="34" t="s">
        <v>15</v>
      </c>
      <c r="L100">
        <v>0.32851500000000056</v>
      </c>
    </row>
    <row r="101" spans="1:12" x14ac:dyDescent="0.3">
      <c r="A101" s="34" t="s">
        <v>662</v>
      </c>
      <c r="B101">
        <v>-1</v>
      </c>
      <c r="C101">
        <v>2050</v>
      </c>
      <c r="D101" s="34" t="s">
        <v>255</v>
      </c>
      <c r="E101" s="34" t="s">
        <v>396</v>
      </c>
      <c r="F101" s="34" t="s">
        <v>274</v>
      </c>
      <c r="G101" s="34" t="s">
        <v>392</v>
      </c>
      <c r="H101" s="34" t="s">
        <v>13</v>
      </c>
      <c r="I101" s="34" t="s">
        <v>13</v>
      </c>
      <c r="J101" s="34" t="s">
        <v>17</v>
      </c>
      <c r="K101" s="34" t="s">
        <v>15</v>
      </c>
      <c r="L101">
        <v>6.3368881534447974</v>
      </c>
    </row>
    <row r="102" spans="1:12" x14ac:dyDescent="0.3">
      <c r="A102" s="34" t="s">
        <v>662</v>
      </c>
      <c r="B102">
        <v>-1</v>
      </c>
      <c r="C102">
        <v>2050</v>
      </c>
      <c r="D102" s="34" t="s">
        <v>255</v>
      </c>
      <c r="E102" s="34" t="s">
        <v>396</v>
      </c>
      <c r="F102" s="34" t="s">
        <v>278</v>
      </c>
      <c r="G102" s="34" t="s">
        <v>31</v>
      </c>
      <c r="H102" s="34" t="s">
        <v>18</v>
      </c>
      <c r="I102" s="34" t="s">
        <v>19</v>
      </c>
      <c r="J102" s="34" t="s">
        <v>32</v>
      </c>
      <c r="K102" s="34" t="s">
        <v>15</v>
      </c>
      <c r="L102">
        <v>0.59930464999494959</v>
      </c>
    </row>
    <row r="103" spans="1:12" x14ac:dyDescent="0.3">
      <c r="A103" s="34" t="s">
        <v>662</v>
      </c>
      <c r="B103">
        <v>-1</v>
      </c>
      <c r="C103">
        <v>2050</v>
      </c>
      <c r="D103" s="34" t="s">
        <v>255</v>
      </c>
      <c r="E103" s="34" t="s">
        <v>396</v>
      </c>
      <c r="F103" s="34" t="s">
        <v>278</v>
      </c>
      <c r="G103" s="34" t="s">
        <v>180</v>
      </c>
      <c r="H103" s="34" t="s">
        <v>18</v>
      </c>
      <c r="I103" s="34" t="s">
        <v>19</v>
      </c>
      <c r="J103" s="34" t="s">
        <v>181</v>
      </c>
      <c r="K103" s="34" t="s">
        <v>15</v>
      </c>
      <c r="L103">
        <v>16.002066937064839</v>
      </c>
    </row>
    <row r="104" spans="1:12" x14ac:dyDescent="0.3">
      <c r="A104" s="34" t="s">
        <v>662</v>
      </c>
      <c r="B104">
        <v>-1</v>
      </c>
      <c r="C104">
        <v>2050</v>
      </c>
      <c r="D104" s="34" t="s">
        <v>255</v>
      </c>
      <c r="E104" s="34" t="s">
        <v>396</v>
      </c>
      <c r="F104" s="34" t="s">
        <v>278</v>
      </c>
      <c r="G104" s="34" t="s">
        <v>11</v>
      </c>
      <c r="H104" s="34" t="s">
        <v>12</v>
      </c>
      <c r="I104" s="34" t="s">
        <v>13</v>
      </c>
      <c r="J104" s="34" t="s">
        <v>14</v>
      </c>
      <c r="K104" s="34" t="s">
        <v>15</v>
      </c>
      <c r="L104">
        <v>2.3522168657071032</v>
      </c>
    </row>
    <row r="105" spans="1:12" x14ac:dyDescent="0.3">
      <c r="A105" s="34" t="s">
        <v>662</v>
      </c>
      <c r="B105">
        <v>-1</v>
      </c>
      <c r="C105">
        <v>2050</v>
      </c>
      <c r="D105" s="34" t="s">
        <v>255</v>
      </c>
      <c r="E105" s="34" t="s">
        <v>396</v>
      </c>
      <c r="F105" s="34" t="s">
        <v>290</v>
      </c>
      <c r="G105" s="34" t="s">
        <v>226</v>
      </c>
      <c r="H105" s="34" t="s">
        <v>209</v>
      </c>
      <c r="I105" s="34" t="s">
        <v>19</v>
      </c>
      <c r="J105" s="34" t="s">
        <v>27</v>
      </c>
      <c r="K105" s="34" t="s">
        <v>15</v>
      </c>
      <c r="L105">
        <v>3.3196556614711879E-16</v>
      </c>
    </row>
    <row r="106" spans="1:12" x14ac:dyDescent="0.3">
      <c r="A106" s="34" t="s">
        <v>662</v>
      </c>
      <c r="B106">
        <v>-1</v>
      </c>
      <c r="C106">
        <v>2050</v>
      </c>
      <c r="D106" s="34" t="s">
        <v>255</v>
      </c>
      <c r="E106" s="34" t="s">
        <v>396</v>
      </c>
      <c r="F106" s="34" t="s">
        <v>290</v>
      </c>
      <c r="G106" s="34" t="s">
        <v>180</v>
      </c>
      <c r="H106" s="34" t="s">
        <v>18</v>
      </c>
      <c r="I106" s="34" t="s">
        <v>19</v>
      </c>
      <c r="J106" s="34" t="s">
        <v>181</v>
      </c>
      <c r="K106" s="34" t="s">
        <v>15</v>
      </c>
      <c r="L106">
        <v>0.72751991251791859</v>
      </c>
    </row>
    <row r="107" spans="1:12" x14ac:dyDescent="0.3">
      <c r="A107" s="34" t="s">
        <v>662</v>
      </c>
      <c r="B107">
        <v>-1</v>
      </c>
      <c r="C107">
        <v>2050</v>
      </c>
      <c r="D107" s="34" t="s">
        <v>255</v>
      </c>
      <c r="E107" s="34" t="s">
        <v>396</v>
      </c>
      <c r="F107" s="34" t="s">
        <v>290</v>
      </c>
      <c r="G107" s="34" t="s">
        <v>11</v>
      </c>
      <c r="H107" s="34" t="s">
        <v>12</v>
      </c>
      <c r="I107" s="34" t="s">
        <v>13</v>
      </c>
      <c r="J107" s="34" t="s">
        <v>14</v>
      </c>
      <c r="K107" s="34" t="s">
        <v>15</v>
      </c>
      <c r="L107">
        <v>6.6053295953256255</v>
      </c>
    </row>
    <row r="108" spans="1:12" x14ac:dyDescent="0.3">
      <c r="A108" s="34" t="s">
        <v>662</v>
      </c>
      <c r="B108">
        <v>-1</v>
      </c>
      <c r="C108">
        <v>2050</v>
      </c>
      <c r="D108" s="34" t="s">
        <v>255</v>
      </c>
      <c r="E108" s="34" t="s">
        <v>396</v>
      </c>
      <c r="F108" s="34" t="s">
        <v>290</v>
      </c>
      <c r="G108" s="34" t="s">
        <v>392</v>
      </c>
      <c r="H108" s="34" t="s">
        <v>13</v>
      </c>
      <c r="I108" s="34" t="s">
        <v>13</v>
      </c>
      <c r="J108" s="34" t="s">
        <v>17</v>
      </c>
      <c r="K108" s="34" t="s">
        <v>15</v>
      </c>
      <c r="L108">
        <v>5.4043862837292274</v>
      </c>
    </row>
    <row r="109" spans="1:12" x14ac:dyDescent="0.3">
      <c r="A109" s="34" t="s">
        <v>662</v>
      </c>
      <c r="B109">
        <v>-1</v>
      </c>
      <c r="C109">
        <v>2050</v>
      </c>
      <c r="D109" s="34" t="s">
        <v>255</v>
      </c>
      <c r="E109" s="34" t="s">
        <v>396</v>
      </c>
      <c r="F109" s="34" t="s">
        <v>599</v>
      </c>
      <c r="G109" s="34" t="s">
        <v>28</v>
      </c>
      <c r="H109" s="34" t="s">
        <v>23</v>
      </c>
      <c r="I109" s="34" t="s">
        <v>19</v>
      </c>
      <c r="J109" s="34" t="s">
        <v>24</v>
      </c>
      <c r="K109" s="34" t="s">
        <v>15</v>
      </c>
      <c r="L109">
        <v>1.1618794815149158E-15</v>
      </c>
    </row>
    <row r="110" spans="1:12" x14ac:dyDescent="0.3">
      <c r="A110" s="34" t="s">
        <v>662</v>
      </c>
      <c r="B110">
        <v>-1</v>
      </c>
      <c r="C110">
        <v>2050</v>
      </c>
      <c r="D110" s="34" t="s">
        <v>255</v>
      </c>
      <c r="E110" s="34" t="s">
        <v>396</v>
      </c>
      <c r="F110" s="34" t="s">
        <v>599</v>
      </c>
      <c r="G110" s="34" t="s">
        <v>222</v>
      </c>
      <c r="H110" s="34" t="s">
        <v>21</v>
      </c>
      <c r="I110" s="34" t="s">
        <v>19</v>
      </c>
      <c r="J110" s="34" t="s">
        <v>223</v>
      </c>
      <c r="K110" s="34" t="s">
        <v>15</v>
      </c>
      <c r="L110">
        <v>-8.7140961113618686E-16</v>
      </c>
    </row>
    <row r="111" spans="1:12" x14ac:dyDescent="0.3">
      <c r="A111" s="34" t="s">
        <v>662</v>
      </c>
      <c r="B111">
        <v>-1</v>
      </c>
      <c r="C111">
        <v>2050</v>
      </c>
      <c r="D111" s="34" t="s">
        <v>255</v>
      </c>
      <c r="E111" s="34" t="s">
        <v>396</v>
      </c>
      <c r="F111" s="34" t="s">
        <v>599</v>
      </c>
      <c r="G111" s="34" t="s">
        <v>29</v>
      </c>
      <c r="H111" s="34" t="s">
        <v>21</v>
      </c>
      <c r="I111" s="34" t="s">
        <v>19</v>
      </c>
      <c r="J111" s="34" t="s">
        <v>22</v>
      </c>
      <c r="K111" s="34" t="s">
        <v>15</v>
      </c>
      <c r="L111">
        <v>4.8549964049016125E-15</v>
      </c>
    </row>
    <row r="112" spans="1:12" x14ac:dyDescent="0.3">
      <c r="A112" s="34" t="s">
        <v>662</v>
      </c>
      <c r="B112">
        <v>-1</v>
      </c>
      <c r="C112">
        <v>2050</v>
      </c>
      <c r="D112" s="34" t="s">
        <v>255</v>
      </c>
      <c r="E112" s="34" t="s">
        <v>396</v>
      </c>
      <c r="F112" s="34" t="s">
        <v>599</v>
      </c>
      <c r="G112" s="34" t="s">
        <v>20</v>
      </c>
      <c r="H112" s="34" t="s">
        <v>21</v>
      </c>
      <c r="I112" s="34" t="s">
        <v>19</v>
      </c>
      <c r="J112" s="34" t="s">
        <v>22</v>
      </c>
      <c r="K112" s="34" t="s">
        <v>15</v>
      </c>
      <c r="L112">
        <v>1.3278622645884752E-15</v>
      </c>
    </row>
    <row r="113" spans="1:12" x14ac:dyDescent="0.3">
      <c r="A113" s="34" t="s">
        <v>662</v>
      </c>
      <c r="B113">
        <v>-1</v>
      </c>
      <c r="C113">
        <v>2050</v>
      </c>
      <c r="D113" s="34" t="s">
        <v>255</v>
      </c>
      <c r="E113" s="34" t="s">
        <v>396</v>
      </c>
      <c r="F113" s="34" t="s">
        <v>599</v>
      </c>
      <c r="G113" s="34" t="s">
        <v>30</v>
      </c>
      <c r="H113" s="34" t="s">
        <v>21</v>
      </c>
      <c r="I113" s="34" t="s">
        <v>19</v>
      </c>
      <c r="J113" s="34" t="s">
        <v>22</v>
      </c>
      <c r="K113" s="34" t="s">
        <v>15</v>
      </c>
      <c r="L113">
        <v>9.5440100267296653E-15</v>
      </c>
    </row>
    <row r="114" spans="1:12" x14ac:dyDescent="0.3">
      <c r="A114" s="34" t="s">
        <v>662</v>
      </c>
      <c r="B114">
        <v>-1</v>
      </c>
      <c r="C114">
        <v>2050</v>
      </c>
      <c r="D114" s="34" t="s">
        <v>255</v>
      </c>
      <c r="E114" s="34" t="s">
        <v>396</v>
      </c>
      <c r="F114" s="34" t="s">
        <v>599</v>
      </c>
      <c r="G114" s="34" t="s">
        <v>644</v>
      </c>
      <c r="H114" s="34" t="s">
        <v>21</v>
      </c>
      <c r="I114" s="34" t="s">
        <v>19</v>
      </c>
      <c r="J114" s="34" t="s">
        <v>22</v>
      </c>
      <c r="K114" s="34" t="s">
        <v>15</v>
      </c>
      <c r="L114">
        <v>400.31436899999977</v>
      </c>
    </row>
    <row r="115" spans="1:12" x14ac:dyDescent="0.3">
      <c r="A115" s="34" t="s">
        <v>662</v>
      </c>
      <c r="B115">
        <v>-1</v>
      </c>
      <c r="C115">
        <v>2050</v>
      </c>
      <c r="D115" s="34" t="s">
        <v>255</v>
      </c>
      <c r="E115" s="34" t="s">
        <v>396</v>
      </c>
      <c r="F115" s="34" t="s">
        <v>599</v>
      </c>
      <c r="G115" s="34" t="s">
        <v>645</v>
      </c>
      <c r="H115" s="34" t="s">
        <v>23</v>
      </c>
      <c r="I115" s="34" t="s">
        <v>19</v>
      </c>
      <c r="J115" s="34" t="s">
        <v>24</v>
      </c>
      <c r="K115" s="34" t="s">
        <v>15</v>
      </c>
      <c r="L115">
        <v>9.9510832438421843</v>
      </c>
    </row>
    <row r="116" spans="1:12" x14ac:dyDescent="0.3">
      <c r="A116" s="34" t="s">
        <v>662</v>
      </c>
      <c r="B116">
        <v>-1</v>
      </c>
      <c r="C116">
        <v>2050</v>
      </c>
      <c r="D116" s="34" t="s">
        <v>305</v>
      </c>
      <c r="E116" s="34" t="s">
        <v>306</v>
      </c>
      <c r="F116" s="34" t="s">
        <v>463</v>
      </c>
      <c r="G116" s="34" t="s">
        <v>180</v>
      </c>
      <c r="H116" s="34" t="s">
        <v>18</v>
      </c>
      <c r="I116" s="34" t="s">
        <v>19</v>
      </c>
      <c r="J116" s="34" t="s">
        <v>181</v>
      </c>
      <c r="K116" s="34" t="s">
        <v>15</v>
      </c>
      <c r="L116">
        <v>0.15828821917808222</v>
      </c>
    </row>
    <row r="117" spans="1:12" x14ac:dyDescent="0.3">
      <c r="A117" s="34" t="s">
        <v>662</v>
      </c>
      <c r="B117">
        <v>-1</v>
      </c>
      <c r="C117">
        <v>2050</v>
      </c>
      <c r="D117" s="34" t="s">
        <v>305</v>
      </c>
      <c r="E117" s="34" t="s">
        <v>306</v>
      </c>
      <c r="F117" s="34" t="s">
        <v>463</v>
      </c>
      <c r="G117" s="34" t="s">
        <v>11</v>
      </c>
      <c r="H117" s="34" t="s">
        <v>12</v>
      </c>
      <c r="I117" s="34" t="s">
        <v>13</v>
      </c>
      <c r="J117" s="34" t="s">
        <v>14</v>
      </c>
      <c r="K117" s="34" t="s">
        <v>15</v>
      </c>
      <c r="L117">
        <v>10.733699691251163</v>
      </c>
    </row>
    <row r="118" spans="1:12" x14ac:dyDescent="0.3">
      <c r="A118" s="34" t="s">
        <v>662</v>
      </c>
      <c r="B118">
        <v>-1</v>
      </c>
      <c r="C118">
        <v>2050</v>
      </c>
      <c r="D118" s="34" t="s">
        <v>305</v>
      </c>
      <c r="E118" s="34" t="s">
        <v>306</v>
      </c>
      <c r="F118" s="34" t="s">
        <v>463</v>
      </c>
      <c r="G118" s="34" t="s">
        <v>392</v>
      </c>
      <c r="H118" s="34" t="s">
        <v>13</v>
      </c>
      <c r="I118" s="34" t="s">
        <v>13</v>
      </c>
      <c r="J118" s="34" t="s">
        <v>17</v>
      </c>
      <c r="K118" s="34" t="s">
        <v>15</v>
      </c>
      <c r="L118">
        <v>11.946962907471413</v>
      </c>
    </row>
    <row r="119" spans="1:12" x14ac:dyDescent="0.3">
      <c r="A119" s="34" t="s">
        <v>662</v>
      </c>
      <c r="B119">
        <v>-1</v>
      </c>
      <c r="C119">
        <v>2050</v>
      </c>
      <c r="D119" s="34" t="s">
        <v>305</v>
      </c>
      <c r="E119" s="34" t="s">
        <v>306</v>
      </c>
      <c r="F119" s="34" t="s">
        <v>600</v>
      </c>
      <c r="G119" s="34" t="s">
        <v>28</v>
      </c>
      <c r="H119" s="34" t="s">
        <v>23</v>
      </c>
      <c r="I119" s="34" t="s">
        <v>19</v>
      </c>
      <c r="J119" s="34" t="s">
        <v>24</v>
      </c>
      <c r="K119" s="34" t="s">
        <v>15</v>
      </c>
      <c r="L119">
        <v>1.0373923942097463E-16</v>
      </c>
    </row>
    <row r="120" spans="1:12" x14ac:dyDescent="0.3">
      <c r="A120" s="34" t="s">
        <v>662</v>
      </c>
      <c r="B120">
        <v>-1</v>
      </c>
      <c r="C120">
        <v>2050</v>
      </c>
      <c r="D120" s="34" t="s">
        <v>305</v>
      </c>
      <c r="E120" s="34" t="s">
        <v>306</v>
      </c>
      <c r="F120" s="34" t="s">
        <v>600</v>
      </c>
      <c r="G120" s="34" t="s">
        <v>222</v>
      </c>
      <c r="H120" s="34" t="s">
        <v>21</v>
      </c>
      <c r="I120" s="34" t="s">
        <v>19</v>
      </c>
      <c r="J120" s="34" t="s">
        <v>223</v>
      </c>
      <c r="K120" s="34" t="s">
        <v>15</v>
      </c>
      <c r="L120">
        <v>1.2055164947550736</v>
      </c>
    </row>
    <row r="121" spans="1:12" x14ac:dyDescent="0.3">
      <c r="A121" s="34" t="s">
        <v>662</v>
      </c>
      <c r="B121">
        <v>-1</v>
      </c>
      <c r="C121">
        <v>2050</v>
      </c>
      <c r="D121" s="34" t="s">
        <v>305</v>
      </c>
      <c r="E121" s="34" t="s">
        <v>306</v>
      </c>
      <c r="F121" s="34" t="s">
        <v>600</v>
      </c>
      <c r="G121" s="34" t="s">
        <v>29</v>
      </c>
      <c r="H121" s="34" t="s">
        <v>21</v>
      </c>
      <c r="I121" s="34" t="s">
        <v>19</v>
      </c>
      <c r="J121" s="34" t="s">
        <v>22</v>
      </c>
      <c r="K121" s="34" t="s">
        <v>15</v>
      </c>
      <c r="L121">
        <v>-4.1495695768389849E-17</v>
      </c>
    </row>
    <row r="122" spans="1:12" x14ac:dyDescent="0.3">
      <c r="A122" s="34" t="s">
        <v>662</v>
      </c>
      <c r="B122">
        <v>-1</v>
      </c>
      <c r="C122">
        <v>2050</v>
      </c>
      <c r="D122" s="34" t="s">
        <v>305</v>
      </c>
      <c r="E122" s="34" t="s">
        <v>306</v>
      </c>
      <c r="F122" s="34" t="s">
        <v>600</v>
      </c>
      <c r="G122" s="34" t="s">
        <v>20</v>
      </c>
      <c r="H122" s="34" t="s">
        <v>21</v>
      </c>
      <c r="I122" s="34" t="s">
        <v>19</v>
      </c>
      <c r="J122" s="34" t="s">
        <v>22</v>
      </c>
      <c r="K122" s="34" t="s">
        <v>15</v>
      </c>
      <c r="L122">
        <v>-8.9215745902038183E-16</v>
      </c>
    </row>
    <row r="123" spans="1:12" x14ac:dyDescent="0.3">
      <c r="A123" s="34" t="s">
        <v>662</v>
      </c>
      <c r="B123">
        <v>-1</v>
      </c>
      <c r="C123">
        <v>2050</v>
      </c>
      <c r="D123" s="34" t="s">
        <v>305</v>
      </c>
      <c r="E123" s="34" t="s">
        <v>306</v>
      </c>
      <c r="F123" s="34" t="s">
        <v>600</v>
      </c>
      <c r="G123" s="34" t="s">
        <v>644</v>
      </c>
      <c r="H123" s="34" t="s">
        <v>21</v>
      </c>
      <c r="I123" s="34" t="s">
        <v>19</v>
      </c>
      <c r="J123" s="34" t="s">
        <v>22</v>
      </c>
      <c r="K123" s="34" t="s">
        <v>15</v>
      </c>
      <c r="L123">
        <v>41.424230999999978</v>
      </c>
    </row>
    <row r="124" spans="1:12" x14ac:dyDescent="0.3">
      <c r="A124" s="34" t="s">
        <v>662</v>
      </c>
      <c r="B124">
        <v>-1</v>
      </c>
      <c r="C124">
        <v>2050</v>
      </c>
      <c r="D124" s="34" t="s">
        <v>305</v>
      </c>
      <c r="E124" s="34" t="s">
        <v>306</v>
      </c>
      <c r="F124" s="34" t="s">
        <v>600</v>
      </c>
      <c r="G124" s="34" t="s">
        <v>645</v>
      </c>
      <c r="H124" s="34" t="s">
        <v>23</v>
      </c>
      <c r="I124" s="34" t="s">
        <v>19</v>
      </c>
      <c r="J124" s="34" t="s">
        <v>24</v>
      </c>
      <c r="K124" s="34" t="s">
        <v>15</v>
      </c>
      <c r="L124">
        <v>41.097236079691605</v>
      </c>
    </row>
    <row r="125" spans="1:12" x14ac:dyDescent="0.3">
      <c r="A125" s="34" t="s">
        <v>662</v>
      </c>
      <c r="B125">
        <v>-1</v>
      </c>
      <c r="C125">
        <v>2050</v>
      </c>
      <c r="D125" s="34" t="s">
        <v>309</v>
      </c>
      <c r="E125" s="34" t="s">
        <v>310</v>
      </c>
      <c r="F125" s="34" t="s">
        <v>466</v>
      </c>
      <c r="G125" s="34" t="s">
        <v>170</v>
      </c>
      <c r="H125" s="34" t="s">
        <v>18</v>
      </c>
      <c r="I125" s="34" t="s">
        <v>19</v>
      </c>
      <c r="J125" s="34" t="s">
        <v>32</v>
      </c>
      <c r="K125" s="34" t="s">
        <v>15</v>
      </c>
      <c r="L125">
        <v>1.7614919999999998</v>
      </c>
    </row>
    <row r="126" spans="1:12" x14ac:dyDescent="0.3">
      <c r="A126" s="34" t="s">
        <v>662</v>
      </c>
      <c r="B126">
        <v>-1</v>
      </c>
      <c r="C126">
        <v>2050</v>
      </c>
      <c r="D126" s="34" t="s">
        <v>309</v>
      </c>
      <c r="E126" s="34" t="s">
        <v>310</v>
      </c>
      <c r="F126" s="34" t="s">
        <v>466</v>
      </c>
      <c r="G126" s="34" t="s">
        <v>171</v>
      </c>
      <c r="H126" s="34" t="s">
        <v>18</v>
      </c>
      <c r="I126" s="34" t="s">
        <v>19</v>
      </c>
      <c r="J126" s="34" t="s">
        <v>32</v>
      </c>
      <c r="K126" s="34" t="s">
        <v>15</v>
      </c>
      <c r="L126">
        <v>1.7614919999999998</v>
      </c>
    </row>
    <row r="127" spans="1:12" x14ac:dyDescent="0.3">
      <c r="A127" s="34" t="s">
        <v>662</v>
      </c>
      <c r="B127">
        <v>-1</v>
      </c>
      <c r="C127">
        <v>2050</v>
      </c>
      <c r="D127" s="34" t="s">
        <v>309</v>
      </c>
      <c r="E127" s="34" t="s">
        <v>310</v>
      </c>
      <c r="F127" s="34" t="s">
        <v>466</v>
      </c>
      <c r="G127" s="34" t="s">
        <v>172</v>
      </c>
      <c r="H127" s="34" t="s">
        <v>18</v>
      </c>
      <c r="I127" s="34" t="s">
        <v>19</v>
      </c>
      <c r="J127" s="34" t="s">
        <v>32</v>
      </c>
      <c r="K127" s="34" t="s">
        <v>15</v>
      </c>
      <c r="L127">
        <v>1.6147009999999999</v>
      </c>
    </row>
    <row r="128" spans="1:12" x14ac:dyDescent="0.3">
      <c r="A128" s="34" t="s">
        <v>662</v>
      </c>
      <c r="B128">
        <v>-1</v>
      </c>
      <c r="C128">
        <v>2050</v>
      </c>
      <c r="D128" s="34" t="s">
        <v>309</v>
      </c>
      <c r="E128" s="34" t="s">
        <v>310</v>
      </c>
      <c r="F128" s="34" t="s">
        <v>466</v>
      </c>
      <c r="G128" s="34" t="s">
        <v>173</v>
      </c>
      <c r="H128" s="34" t="s">
        <v>18</v>
      </c>
      <c r="I128" s="34" t="s">
        <v>19</v>
      </c>
      <c r="J128" s="34" t="s">
        <v>32</v>
      </c>
      <c r="K128" s="34" t="s">
        <v>15</v>
      </c>
      <c r="L128">
        <v>1.5814073485633804</v>
      </c>
    </row>
    <row r="129" spans="1:12" x14ac:dyDescent="0.3">
      <c r="A129" s="34" t="s">
        <v>662</v>
      </c>
      <c r="B129">
        <v>-1</v>
      </c>
      <c r="C129">
        <v>2050</v>
      </c>
      <c r="D129" s="34" t="s">
        <v>309</v>
      </c>
      <c r="E129" s="34" t="s">
        <v>310</v>
      </c>
      <c r="F129" s="34" t="s">
        <v>466</v>
      </c>
      <c r="G129" s="34" t="s">
        <v>174</v>
      </c>
      <c r="H129" s="34" t="s">
        <v>18</v>
      </c>
      <c r="I129" s="34" t="s">
        <v>19</v>
      </c>
      <c r="J129" s="34" t="s">
        <v>32</v>
      </c>
      <c r="K129" s="34" t="s">
        <v>15</v>
      </c>
      <c r="L129">
        <v>1.5413055</v>
      </c>
    </row>
    <row r="130" spans="1:12" x14ac:dyDescent="0.3">
      <c r="A130" s="34" t="s">
        <v>662</v>
      </c>
      <c r="B130">
        <v>-1</v>
      </c>
      <c r="C130">
        <v>2050</v>
      </c>
      <c r="D130" s="34" t="s">
        <v>309</v>
      </c>
      <c r="E130" s="34" t="s">
        <v>310</v>
      </c>
      <c r="F130" s="34" t="s">
        <v>466</v>
      </c>
      <c r="G130" s="34" t="s">
        <v>175</v>
      </c>
      <c r="H130" s="34" t="s">
        <v>18</v>
      </c>
      <c r="I130" s="34" t="s">
        <v>19</v>
      </c>
      <c r="J130" s="34" t="s">
        <v>32</v>
      </c>
      <c r="K130" s="34" t="s">
        <v>15</v>
      </c>
      <c r="L130">
        <v>1.4759631713180701</v>
      </c>
    </row>
    <row r="131" spans="1:12" x14ac:dyDescent="0.3">
      <c r="A131" s="34" t="s">
        <v>662</v>
      </c>
      <c r="B131">
        <v>-1</v>
      </c>
      <c r="C131">
        <v>2050</v>
      </c>
      <c r="D131" s="34" t="s">
        <v>309</v>
      </c>
      <c r="E131" s="34" t="s">
        <v>310</v>
      </c>
      <c r="F131" s="34" t="s">
        <v>466</v>
      </c>
      <c r="G131" s="34" t="s">
        <v>176</v>
      </c>
      <c r="H131" s="34" t="s">
        <v>18</v>
      </c>
      <c r="I131" s="34" t="s">
        <v>19</v>
      </c>
      <c r="J131" s="34" t="s">
        <v>32</v>
      </c>
      <c r="K131" s="34" t="s">
        <v>15</v>
      </c>
      <c r="L131">
        <v>1.1009324999999999</v>
      </c>
    </row>
    <row r="132" spans="1:12" x14ac:dyDescent="0.3">
      <c r="A132" s="34" t="s">
        <v>662</v>
      </c>
      <c r="B132">
        <v>-1</v>
      </c>
      <c r="C132">
        <v>2050</v>
      </c>
      <c r="D132" s="34" t="s">
        <v>309</v>
      </c>
      <c r="E132" s="34" t="s">
        <v>310</v>
      </c>
      <c r="F132" s="34" t="s">
        <v>466</v>
      </c>
      <c r="G132" s="34" t="s">
        <v>177</v>
      </c>
      <c r="H132" s="34" t="s">
        <v>18</v>
      </c>
      <c r="I132" s="34" t="s">
        <v>19</v>
      </c>
      <c r="J132" s="34" t="s">
        <v>32</v>
      </c>
      <c r="K132" s="34" t="s">
        <v>15</v>
      </c>
      <c r="L132">
        <v>0.95414149999999998</v>
      </c>
    </row>
    <row r="133" spans="1:12" x14ac:dyDescent="0.3">
      <c r="A133" s="34" t="s">
        <v>662</v>
      </c>
      <c r="B133">
        <v>-1</v>
      </c>
      <c r="C133">
        <v>2050</v>
      </c>
      <c r="D133" s="34" t="s">
        <v>309</v>
      </c>
      <c r="E133" s="34" t="s">
        <v>310</v>
      </c>
      <c r="F133" s="34" t="s">
        <v>466</v>
      </c>
      <c r="G133" s="34" t="s">
        <v>178</v>
      </c>
      <c r="H133" s="34" t="s">
        <v>18</v>
      </c>
      <c r="I133" s="34" t="s">
        <v>19</v>
      </c>
      <c r="J133" s="34" t="s">
        <v>32</v>
      </c>
      <c r="K133" s="34" t="s">
        <v>15</v>
      </c>
      <c r="L133">
        <v>0.93731774686711389</v>
      </c>
    </row>
    <row r="134" spans="1:12" x14ac:dyDescent="0.3">
      <c r="A134" s="34" t="s">
        <v>662</v>
      </c>
      <c r="B134">
        <v>-1</v>
      </c>
      <c r="C134">
        <v>2050</v>
      </c>
      <c r="D134" s="34" t="s">
        <v>309</v>
      </c>
      <c r="E134" s="34" t="s">
        <v>310</v>
      </c>
      <c r="F134" s="34" t="s">
        <v>466</v>
      </c>
      <c r="G134" s="34" t="s">
        <v>179</v>
      </c>
      <c r="H134" s="34" t="s">
        <v>18</v>
      </c>
      <c r="I134" s="34" t="s">
        <v>19</v>
      </c>
      <c r="J134" s="34" t="s">
        <v>32</v>
      </c>
      <c r="K134" s="34" t="s">
        <v>15</v>
      </c>
      <c r="L134">
        <v>0.61016542819109398</v>
      </c>
    </row>
    <row r="135" spans="1:12" x14ac:dyDescent="0.3">
      <c r="A135" s="34" t="s">
        <v>662</v>
      </c>
      <c r="B135">
        <v>-1</v>
      </c>
      <c r="C135">
        <v>2050</v>
      </c>
      <c r="D135" s="34" t="s">
        <v>309</v>
      </c>
      <c r="E135" s="34" t="s">
        <v>310</v>
      </c>
      <c r="F135" s="34" t="s">
        <v>466</v>
      </c>
      <c r="G135" s="34" t="s">
        <v>180</v>
      </c>
      <c r="H135" s="34" t="s">
        <v>18</v>
      </c>
      <c r="I135" s="34" t="s">
        <v>19</v>
      </c>
      <c r="J135" s="34" t="s">
        <v>181</v>
      </c>
      <c r="K135" s="34" t="s">
        <v>15</v>
      </c>
      <c r="L135">
        <v>5.0158181249413092</v>
      </c>
    </row>
    <row r="136" spans="1:12" x14ac:dyDescent="0.3">
      <c r="A136" s="34" t="s">
        <v>662</v>
      </c>
      <c r="B136">
        <v>-1</v>
      </c>
      <c r="C136">
        <v>2050</v>
      </c>
      <c r="D136" s="34" t="s">
        <v>309</v>
      </c>
      <c r="E136" s="34" t="s">
        <v>310</v>
      </c>
      <c r="F136" s="34" t="s">
        <v>467</v>
      </c>
      <c r="G136" s="34" t="s">
        <v>11</v>
      </c>
      <c r="H136" s="34" t="s">
        <v>12</v>
      </c>
      <c r="I136" s="34" t="s">
        <v>13</v>
      </c>
      <c r="J136" s="34" t="s">
        <v>14</v>
      </c>
      <c r="K136" s="34" t="s">
        <v>15</v>
      </c>
      <c r="L136">
        <v>1.839626458435119</v>
      </c>
    </row>
    <row r="137" spans="1:12" x14ac:dyDescent="0.3">
      <c r="A137" s="34" t="s">
        <v>662</v>
      </c>
      <c r="B137">
        <v>-1</v>
      </c>
      <c r="C137">
        <v>2050</v>
      </c>
      <c r="D137" s="34" t="s">
        <v>309</v>
      </c>
      <c r="E137" s="34" t="s">
        <v>310</v>
      </c>
      <c r="F137" s="34" t="s">
        <v>601</v>
      </c>
      <c r="G137" s="34" t="s">
        <v>20</v>
      </c>
      <c r="H137" s="34" t="s">
        <v>21</v>
      </c>
      <c r="I137" s="34" t="s">
        <v>19</v>
      </c>
      <c r="J137" s="34" t="s">
        <v>22</v>
      </c>
      <c r="K137" s="34" t="s">
        <v>15</v>
      </c>
      <c r="L137">
        <v>-1.2552447969937929E-15</v>
      </c>
    </row>
    <row r="138" spans="1:12" x14ac:dyDescent="0.3">
      <c r="A138" s="34" t="s">
        <v>662</v>
      </c>
      <c r="B138">
        <v>-1</v>
      </c>
      <c r="C138">
        <v>2050</v>
      </c>
      <c r="D138" s="34" t="s">
        <v>309</v>
      </c>
      <c r="E138" s="34" t="s">
        <v>310</v>
      </c>
      <c r="F138" s="34" t="s">
        <v>601</v>
      </c>
      <c r="G138" s="34" t="s">
        <v>30</v>
      </c>
      <c r="H138" s="34" t="s">
        <v>21</v>
      </c>
      <c r="I138" s="34" t="s">
        <v>19</v>
      </c>
      <c r="J138" s="34" t="s">
        <v>22</v>
      </c>
      <c r="K138" s="34" t="s">
        <v>15</v>
      </c>
      <c r="L138">
        <v>-8.2991391536779698E-17</v>
      </c>
    </row>
    <row r="139" spans="1:12" x14ac:dyDescent="0.3">
      <c r="A139" s="34" t="s">
        <v>662</v>
      </c>
      <c r="B139">
        <v>-1</v>
      </c>
      <c r="C139">
        <v>2050</v>
      </c>
      <c r="D139" s="34" t="s">
        <v>309</v>
      </c>
      <c r="E139" s="34" t="s">
        <v>311</v>
      </c>
      <c r="F139" s="34" t="s">
        <v>471</v>
      </c>
      <c r="G139" s="34" t="s">
        <v>170</v>
      </c>
      <c r="H139" s="34" t="s">
        <v>18</v>
      </c>
      <c r="I139" s="34" t="s">
        <v>19</v>
      </c>
      <c r="J139" s="34" t="s">
        <v>32</v>
      </c>
      <c r="K139" s="34" t="s">
        <v>15</v>
      </c>
      <c r="L139">
        <v>2.9501930060910988</v>
      </c>
    </row>
    <row r="140" spans="1:12" x14ac:dyDescent="0.3">
      <c r="A140" s="34" t="s">
        <v>662</v>
      </c>
      <c r="B140">
        <v>-1</v>
      </c>
      <c r="C140">
        <v>2050</v>
      </c>
      <c r="D140" s="34" t="s">
        <v>309</v>
      </c>
      <c r="E140" s="34" t="s">
        <v>311</v>
      </c>
      <c r="F140" s="34" t="s">
        <v>471</v>
      </c>
      <c r="G140" s="34" t="s">
        <v>171</v>
      </c>
      <c r="H140" s="34" t="s">
        <v>18</v>
      </c>
      <c r="I140" s="34" t="s">
        <v>19</v>
      </c>
      <c r="J140" s="34" t="s">
        <v>32</v>
      </c>
      <c r="K140" s="34" t="s">
        <v>15</v>
      </c>
      <c r="L140">
        <v>3.7119394918828856</v>
      </c>
    </row>
    <row r="141" spans="1:12" x14ac:dyDescent="0.3">
      <c r="A141" s="34" t="s">
        <v>662</v>
      </c>
      <c r="B141">
        <v>-1</v>
      </c>
      <c r="C141">
        <v>2050</v>
      </c>
      <c r="D141" s="34" t="s">
        <v>309</v>
      </c>
      <c r="E141" s="34" t="s">
        <v>311</v>
      </c>
      <c r="F141" s="34" t="s">
        <v>471</v>
      </c>
      <c r="G141" s="34" t="s">
        <v>172</v>
      </c>
      <c r="H141" s="34" t="s">
        <v>18</v>
      </c>
      <c r="I141" s="34" t="s">
        <v>19</v>
      </c>
      <c r="J141" s="34" t="s">
        <v>32</v>
      </c>
      <c r="K141" s="34" t="s">
        <v>15</v>
      </c>
      <c r="L141">
        <v>3.2513573799258668</v>
      </c>
    </row>
    <row r="142" spans="1:12" x14ac:dyDescent="0.3">
      <c r="A142" s="34" t="s">
        <v>662</v>
      </c>
      <c r="B142">
        <v>-1</v>
      </c>
      <c r="C142">
        <v>2050</v>
      </c>
      <c r="D142" s="34" t="s">
        <v>309</v>
      </c>
      <c r="E142" s="34" t="s">
        <v>311</v>
      </c>
      <c r="F142" s="34" t="s">
        <v>471</v>
      </c>
      <c r="G142" s="34" t="s">
        <v>173</v>
      </c>
      <c r="H142" s="34" t="s">
        <v>18</v>
      </c>
      <c r="I142" s="34" t="s">
        <v>19</v>
      </c>
      <c r="J142" s="34" t="s">
        <v>32</v>
      </c>
      <c r="K142" s="34" t="s">
        <v>15</v>
      </c>
      <c r="L142">
        <v>3.0175575083188186</v>
      </c>
    </row>
    <row r="143" spans="1:12" x14ac:dyDescent="0.3">
      <c r="A143" s="34" t="s">
        <v>662</v>
      </c>
      <c r="B143">
        <v>-1</v>
      </c>
      <c r="C143">
        <v>2050</v>
      </c>
      <c r="D143" s="34" t="s">
        <v>309</v>
      </c>
      <c r="E143" s="34" t="s">
        <v>311</v>
      </c>
      <c r="F143" s="34" t="s">
        <v>471</v>
      </c>
      <c r="G143" s="34" t="s">
        <v>174</v>
      </c>
      <c r="H143" s="34" t="s">
        <v>18</v>
      </c>
      <c r="I143" s="34" t="s">
        <v>19</v>
      </c>
      <c r="J143" s="34" t="s">
        <v>32</v>
      </c>
      <c r="K143" s="34" t="s">
        <v>15</v>
      </c>
      <c r="L143">
        <v>2.5191762791114916</v>
      </c>
    </row>
    <row r="144" spans="1:12" x14ac:dyDescent="0.3">
      <c r="A144" s="34" t="s">
        <v>662</v>
      </c>
      <c r="B144">
        <v>-1</v>
      </c>
      <c r="C144">
        <v>2050</v>
      </c>
      <c r="D144" s="34" t="s">
        <v>309</v>
      </c>
      <c r="E144" s="34" t="s">
        <v>311</v>
      </c>
      <c r="F144" s="34" t="s">
        <v>471</v>
      </c>
      <c r="G144" s="34" t="s">
        <v>175</v>
      </c>
      <c r="H144" s="34" t="s">
        <v>18</v>
      </c>
      <c r="I144" s="34" t="s">
        <v>19</v>
      </c>
      <c r="J144" s="34" t="s">
        <v>32</v>
      </c>
      <c r="K144" s="34" t="s">
        <v>15</v>
      </c>
      <c r="L144">
        <v>2.0183193358389118</v>
      </c>
    </row>
    <row r="145" spans="1:12" x14ac:dyDescent="0.3">
      <c r="A145" s="34" t="s">
        <v>662</v>
      </c>
      <c r="B145">
        <v>-1</v>
      </c>
      <c r="C145">
        <v>2050</v>
      </c>
      <c r="D145" s="34" t="s">
        <v>309</v>
      </c>
      <c r="E145" s="34" t="s">
        <v>311</v>
      </c>
      <c r="F145" s="34" t="s">
        <v>471</v>
      </c>
      <c r="G145" s="34" t="s">
        <v>176</v>
      </c>
      <c r="H145" s="34" t="s">
        <v>18</v>
      </c>
      <c r="I145" s="34" t="s">
        <v>19</v>
      </c>
      <c r="J145" s="34" t="s">
        <v>32</v>
      </c>
      <c r="K145" s="34" t="s">
        <v>15</v>
      </c>
      <c r="L145">
        <v>1.6484372931717033</v>
      </c>
    </row>
    <row r="146" spans="1:12" x14ac:dyDescent="0.3">
      <c r="A146" s="34" t="s">
        <v>662</v>
      </c>
      <c r="B146">
        <v>-1</v>
      </c>
      <c r="C146">
        <v>2050</v>
      </c>
      <c r="D146" s="34" t="s">
        <v>309</v>
      </c>
      <c r="E146" s="34" t="s">
        <v>311</v>
      </c>
      <c r="F146" s="34" t="s">
        <v>471</v>
      </c>
      <c r="G146" s="34" t="s">
        <v>177</v>
      </c>
      <c r="H146" s="34" t="s">
        <v>18</v>
      </c>
      <c r="I146" s="34" t="s">
        <v>19</v>
      </c>
      <c r="J146" s="34" t="s">
        <v>32</v>
      </c>
      <c r="K146" s="34" t="s">
        <v>15</v>
      </c>
      <c r="L146">
        <v>1.2787621991317191</v>
      </c>
    </row>
    <row r="147" spans="1:12" x14ac:dyDescent="0.3">
      <c r="A147" s="34" t="s">
        <v>662</v>
      </c>
      <c r="B147">
        <v>-1</v>
      </c>
      <c r="C147">
        <v>2050</v>
      </c>
      <c r="D147" s="34" t="s">
        <v>309</v>
      </c>
      <c r="E147" s="34" t="s">
        <v>311</v>
      </c>
      <c r="F147" s="34" t="s">
        <v>471</v>
      </c>
      <c r="G147" s="34" t="s">
        <v>178</v>
      </c>
      <c r="H147" s="34" t="s">
        <v>18</v>
      </c>
      <c r="I147" s="34" t="s">
        <v>19</v>
      </c>
      <c r="J147" s="34" t="s">
        <v>32</v>
      </c>
      <c r="K147" s="34" t="s">
        <v>15</v>
      </c>
      <c r="L147">
        <v>1.1196339018273296</v>
      </c>
    </row>
    <row r="148" spans="1:12" x14ac:dyDescent="0.3">
      <c r="A148" s="34" t="s">
        <v>662</v>
      </c>
      <c r="B148">
        <v>-1</v>
      </c>
      <c r="C148">
        <v>2050</v>
      </c>
      <c r="D148" s="34" t="s">
        <v>309</v>
      </c>
      <c r="E148" s="34" t="s">
        <v>311</v>
      </c>
      <c r="F148" s="34" t="s">
        <v>471</v>
      </c>
      <c r="G148" s="34" t="s">
        <v>179</v>
      </c>
      <c r="H148" s="34" t="s">
        <v>18</v>
      </c>
      <c r="I148" s="34" t="s">
        <v>19</v>
      </c>
      <c r="J148" s="34" t="s">
        <v>32</v>
      </c>
      <c r="K148" s="34" t="s">
        <v>15</v>
      </c>
      <c r="L148">
        <v>0.66028617181482818</v>
      </c>
    </row>
    <row r="149" spans="1:12" x14ac:dyDescent="0.3">
      <c r="A149" s="34" t="s">
        <v>662</v>
      </c>
      <c r="B149">
        <v>-1</v>
      </c>
      <c r="C149">
        <v>2050</v>
      </c>
      <c r="D149" s="34" t="s">
        <v>309</v>
      </c>
      <c r="E149" s="34" t="s">
        <v>311</v>
      </c>
      <c r="F149" s="34" t="s">
        <v>471</v>
      </c>
      <c r="G149" s="34" t="s">
        <v>185</v>
      </c>
      <c r="H149" s="34" t="s">
        <v>18</v>
      </c>
      <c r="I149" s="34" t="s">
        <v>19</v>
      </c>
      <c r="J149" s="34" t="s">
        <v>32</v>
      </c>
      <c r="K149" s="34" t="s">
        <v>15</v>
      </c>
      <c r="L149">
        <v>0.78191999999999995</v>
      </c>
    </row>
    <row r="150" spans="1:12" x14ac:dyDescent="0.3">
      <c r="A150" s="34" t="s">
        <v>662</v>
      </c>
      <c r="B150">
        <v>-1</v>
      </c>
      <c r="C150">
        <v>2050</v>
      </c>
      <c r="D150" s="34" t="s">
        <v>309</v>
      </c>
      <c r="E150" s="34" t="s">
        <v>311</v>
      </c>
      <c r="F150" s="34" t="s">
        <v>471</v>
      </c>
      <c r="G150" s="34" t="s">
        <v>180</v>
      </c>
      <c r="H150" s="34" t="s">
        <v>18</v>
      </c>
      <c r="I150" s="34" t="s">
        <v>19</v>
      </c>
      <c r="J150" s="34" t="s">
        <v>181</v>
      </c>
      <c r="K150" s="34" t="s">
        <v>15</v>
      </c>
      <c r="L150">
        <v>14.833839720854661</v>
      </c>
    </row>
    <row r="151" spans="1:12" x14ac:dyDescent="0.3">
      <c r="A151" s="34" t="s">
        <v>662</v>
      </c>
      <c r="B151">
        <v>-1</v>
      </c>
      <c r="C151">
        <v>2050</v>
      </c>
      <c r="D151" s="34" t="s">
        <v>309</v>
      </c>
      <c r="E151" s="34" t="s">
        <v>311</v>
      </c>
      <c r="F151" s="34" t="s">
        <v>472</v>
      </c>
      <c r="G151" s="34" t="s">
        <v>11</v>
      </c>
      <c r="H151" s="34" t="s">
        <v>12</v>
      </c>
      <c r="I151" s="34" t="s">
        <v>13</v>
      </c>
      <c r="J151" s="34" t="s">
        <v>14</v>
      </c>
      <c r="K151" s="34" t="s">
        <v>15</v>
      </c>
      <c r="L151">
        <v>1.1750452905190254</v>
      </c>
    </row>
    <row r="152" spans="1:12" x14ac:dyDescent="0.3">
      <c r="A152" s="34" t="s">
        <v>662</v>
      </c>
      <c r="B152">
        <v>-1</v>
      </c>
      <c r="C152">
        <v>2050</v>
      </c>
      <c r="D152" s="34" t="s">
        <v>309</v>
      </c>
      <c r="E152" s="34" t="s">
        <v>311</v>
      </c>
      <c r="F152" s="34" t="s">
        <v>472</v>
      </c>
      <c r="G152" s="34" t="s">
        <v>16</v>
      </c>
      <c r="H152" s="34" t="s">
        <v>12</v>
      </c>
      <c r="I152" s="34" t="s">
        <v>13</v>
      </c>
      <c r="J152" s="34" t="s">
        <v>14</v>
      </c>
      <c r="K152" s="34" t="s">
        <v>15</v>
      </c>
      <c r="L152">
        <v>6.5882742404644397</v>
      </c>
    </row>
    <row r="153" spans="1:12" x14ac:dyDescent="0.3">
      <c r="A153" s="34" t="s">
        <v>662</v>
      </c>
      <c r="B153">
        <v>-1</v>
      </c>
      <c r="C153">
        <v>2050</v>
      </c>
      <c r="D153" s="34" t="s">
        <v>309</v>
      </c>
      <c r="E153" s="34" t="s">
        <v>311</v>
      </c>
      <c r="F153" s="34" t="s">
        <v>602</v>
      </c>
      <c r="G153" s="34" t="s">
        <v>20</v>
      </c>
      <c r="H153" s="34" t="s">
        <v>21</v>
      </c>
      <c r="I153" s="34" t="s">
        <v>19</v>
      </c>
      <c r="J153" s="34" t="s">
        <v>22</v>
      </c>
      <c r="K153" s="34" t="s">
        <v>15</v>
      </c>
      <c r="L153">
        <v>1.950297701114323E-15</v>
      </c>
    </row>
    <row r="154" spans="1:12" x14ac:dyDescent="0.3">
      <c r="A154" s="34" t="s">
        <v>662</v>
      </c>
      <c r="B154">
        <v>-1</v>
      </c>
      <c r="C154">
        <v>2050</v>
      </c>
      <c r="D154" s="34" t="s">
        <v>309</v>
      </c>
      <c r="E154" s="34" t="s">
        <v>311</v>
      </c>
      <c r="F154" s="34" t="s">
        <v>602</v>
      </c>
      <c r="G154" s="34" t="s">
        <v>30</v>
      </c>
      <c r="H154" s="34" t="s">
        <v>21</v>
      </c>
      <c r="I154" s="34" t="s">
        <v>19</v>
      </c>
      <c r="J154" s="34" t="s">
        <v>22</v>
      </c>
      <c r="K154" s="34" t="s">
        <v>15</v>
      </c>
      <c r="L154">
        <v>2.0747847884194924E-17</v>
      </c>
    </row>
    <row r="155" spans="1:12" x14ac:dyDescent="0.3">
      <c r="A155" s="34" t="s">
        <v>662</v>
      </c>
      <c r="B155">
        <v>-1</v>
      </c>
      <c r="C155">
        <v>2050</v>
      </c>
      <c r="D155" s="34" t="s">
        <v>309</v>
      </c>
      <c r="E155" s="34" t="s">
        <v>311</v>
      </c>
      <c r="F155" s="34" t="s">
        <v>602</v>
      </c>
      <c r="G155" s="34" t="s">
        <v>644</v>
      </c>
      <c r="H155" s="34" t="s">
        <v>21</v>
      </c>
      <c r="I155" s="34" t="s">
        <v>19</v>
      </c>
      <c r="J155" s="34" t="s">
        <v>22</v>
      </c>
      <c r="K155" s="34" t="s">
        <v>15</v>
      </c>
      <c r="L155">
        <v>41.564699634520494</v>
      </c>
    </row>
    <row r="156" spans="1:12" x14ac:dyDescent="0.3">
      <c r="A156" s="34" t="s">
        <v>662</v>
      </c>
      <c r="B156">
        <v>-1</v>
      </c>
      <c r="C156">
        <v>2050</v>
      </c>
      <c r="D156" s="34" t="s">
        <v>309</v>
      </c>
      <c r="E156" s="34" t="s">
        <v>312</v>
      </c>
      <c r="F156" s="34" t="s">
        <v>473</v>
      </c>
      <c r="G156" s="34" t="s">
        <v>170</v>
      </c>
      <c r="H156" s="34" t="s">
        <v>18</v>
      </c>
      <c r="I156" s="34" t="s">
        <v>19</v>
      </c>
      <c r="J156" s="34" t="s">
        <v>32</v>
      </c>
      <c r="K156" s="34" t="s">
        <v>15</v>
      </c>
      <c r="L156">
        <v>0.88132519999999948</v>
      </c>
    </row>
    <row r="157" spans="1:12" x14ac:dyDescent="0.3">
      <c r="A157" s="34" t="s">
        <v>662</v>
      </c>
      <c r="B157">
        <v>-1</v>
      </c>
      <c r="C157">
        <v>2050</v>
      </c>
      <c r="D157" s="34" t="s">
        <v>309</v>
      </c>
      <c r="E157" s="34" t="s">
        <v>312</v>
      </c>
      <c r="F157" s="34" t="s">
        <v>473</v>
      </c>
      <c r="G157" s="34" t="s">
        <v>171</v>
      </c>
      <c r="H157" s="34" t="s">
        <v>18</v>
      </c>
      <c r="I157" s="34" t="s">
        <v>19</v>
      </c>
      <c r="J157" s="34" t="s">
        <v>32</v>
      </c>
      <c r="K157" s="34" t="s">
        <v>15</v>
      </c>
      <c r="L157">
        <v>0.83368599999999948</v>
      </c>
    </row>
    <row r="158" spans="1:12" x14ac:dyDescent="0.3">
      <c r="A158" s="34" t="s">
        <v>662</v>
      </c>
      <c r="B158">
        <v>-1</v>
      </c>
      <c r="C158">
        <v>2050</v>
      </c>
      <c r="D158" s="34" t="s">
        <v>309</v>
      </c>
      <c r="E158" s="34" t="s">
        <v>312</v>
      </c>
      <c r="F158" s="34" t="s">
        <v>473</v>
      </c>
      <c r="G158" s="34" t="s">
        <v>172</v>
      </c>
      <c r="H158" s="34" t="s">
        <v>18</v>
      </c>
      <c r="I158" s="34" t="s">
        <v>19</v>
      </c>
      <c r="J158" s="34" t="s">
        <v>32</v>
      </c>
      <c r="K158" s="34" t="s">
        <v>15</v>
      </c>
      <c r="L158">
        <v>0.76222719999999955</v>
      </c>
    </row>
    <row r="159" spans="1:12" x14ac:dyDescent="0.3">
      <c r="A159" s="34" t="s">
        <v>662</v>
      </c>
      <c r="B159">
        <v>-1</v>
      </c>
      <c r="C159">
        <v>2050</v>
      </c>
      <c r="D159" s="34" t="s">
        <v>309</v>
      </c>
      <c r="E159" s="34" t="s">
        <v>312</v>
      </c>
      <c r="F159" s="34" t="s">
        <v>473</v>
      </c>
      <c r="G159" s="34" t="s">
        <v>173</v>
      </c>
      <c r="H159" s="34" t="s">
        <v>18</v>
      </c>
      <c r="I159" s="34" t="s">
        <v>19</v>
      </c>
      <c r="J159" s="34" t="s">
        <v>32</v>
      </c>
      <c r="K159" s="34" t="s">
        <v>15</v>
      </c>
      <c r="L159">
        <v>0.63801127828964621</v>
      </c>
    </row>
    <row r="160" spans="1:12" x14ac:dyDescent="0.3">
      <c r="A160" s="34" t="s">
        <v>662</v>
      </c>
      <c r="B160">
        <v>-1</v>
      </c>
      <c r="C160">
        <v>2050</v>
      </c>
      <c r="D160" s="34" t="s">
        <v>309</v>
      </c>
      <c r="E160" s="34" t="s">
        <v>312</v>
      </c>
      <c r="F160" s="34" t="s">
        <v>473</v>
      </c>
      <c r="G160" s="34" t="s">
        <v>174</v>
      </c>
      <c r="H160" s="34" t="s">
        <v>18</v>
      </c>
      <c r="I160" s="34" t="s">
        <v>19</v>
      </c>
      <c r="J160" s="34" t="s">
        <v>32</v>
      </c>
      <c r="K160" s="34" t="s">
        <v>15</v>
      </c>
      <c r="L160">
        <v>0.5716703999999998</v>
      </c>
    </row>
    <row r="161" spans="1:12" x14ac:dyDescent="0.3">
      <c r="A161" s="34" t="s">
        <v>662</v>
      </c>
      <c r="B161">
        <v>-1</v>
      </c>
      <c r="C161">
        <v>2050</v>
      </c>
      <c r="D161" s="34" t="s">
        <v>309</v>
      </c>
      <c r="E161" s="34" t="s">
        <v>312</v>
      </c>
      <c r="F161" s="34" t="s">
        <v>473</v>
      </c>
      <c r="G161" s="34" t="s">
        <v>175</v>
      </c>
      <c r="H161" s="34" t="s">
        <v>18</v>
      </c>
      <c r="I161" s="34" t="s">
        <v>19</v>
      </c>
      <c r="J161" s="34" t="s">
        <v>32</v>
      </c>
      <c r="K161" s="34" t="s">
        <v>15</v>
      </c>
      <c r="L161">
        <v>0.52403119999999981</v>
      </c>
    </row>
    <row r="162" spans="1:12" x14ac:dyDescent="0.3">
      <c r="A162" s="34" t="s">
        <v>662</v>
      </c>
      <c r="B162">
        <v>-1</v>
      </c>
      <c r="C162">
        <v>2050</v>
      </c>
      <c r="D162" s="34" t="s">
        <v>309</v>
      </c>
      <c r="E162" s="34" t="s">
        <v>312</v>
      </c>
      <c r="F162" s="34" t="s">
        <v>473</v>
      </c>
      <c r="G162" s="34" t="s">
        <v>176</v>
      </c>
      <c r="H162" s="34" t="s">
        <v>18</v>
      </c>
      <c r="I162" s="34" t="s">
        <v>19</v>
      </c>
      <c r="J162" s="34" t="s">
        <v>32</v>
      </c>
      <c r="K162" s="34" t="s">
        <v>15</v>
      </c>
      <c r="L162">
        <v>0.42875279999999988</v>
      </c>
    </row>
    <row r="163" spans="1:12" x14ac:dyDescent="0.3">
      <c r="A163" s="34" t="s">
        <v>662</v>
      </c>
      <c r="B163">
        <v>-1</v>
      </c>
      <c r="C163">
        <v>2050</v>
      </c>
      <c r="D163" s="34" t="s">
        <v>309</v>
      </c>
      <c r="E163" s="34" t="s">
        <v>312</v>
      </c>
      <c r="F163" s="34" t="s">
        <v>473</v>
      </c>
      <c r="G163" s="34" t="s">
        <v>177</v>
      </c>
      <c r="H163" s="34" t="s">
        <v>18</v>
      </c>
      <c r="I163" s="34" t="s">
        <v>19</v>
      </c>
      <c r="J163" s="34" t="s">
        <v>32</v>
      </c>
      <c r="K163" s="34" t="s">
        <v>15</v>
      </c>
      <c r="L163">
        <v>0.38111359999999989</v>
      </c>
    </row>
    <row r="164" spans="1:12" x14ac:dyDescent="0.3">
      <c r="A164" s="34" t="s">
        <v>662</v>
      </c>
      <c r="B164">
        <v>-1</v>
      </c>
      <c r="C164">
        <v>2050</v>
      </c>
      <c r="D164" s="34" t="s">
        <v>309</v>
      </c>
      <c r="E164" s="34" t="s">
        <v>312</v>
      </c>
      <c r="F164" s="34" t="s">
        <v>473</v>
      </c>
      <c r="G164" s="34" t="s">
        <v>178</v>
      </c>
      <c r="H164" s="34" t="s">
        <v>18</v>
      </c>
      <c r="I164" s="34" t="s">
        <v>19</v>
      </c>
      <c r="J164" s="34" t="s">
        <v>32</v>
      </c>
      <c r="K164" s="34" t="s">
        <v>15</v>
      </c>
      <c r="L164">
        <v>0.2414855614965537</v>
      </c>
    </row>
    <row r="165" spans="1:12" x14ac:dyDescent="0.3">
      <c r="A165" s="34" t="s">
        <v>662</v>
      </c>
      <c r="B165">
        <v>-1</v>
      </c>
      <c r="C165">
        <v>2050</v>
      </c>
      <c r="D165" s="34" t="s">
        <v>309</v>
      </c>
      <c r="E165" s="34" t="s">
        <v>312</v>
      </c>
      <c r="F165" s="34" t="s">
        <v>473</v>
      </c>
      <c r="G165" s="34" t="s">
        <v>179</v>
      </c>
      <c r="H165" s="34" t="s">
        <v>18</v>
      </c>
      <c r="I165" s="34" t="s">
        <v>19</v>
      </c>
      <c r="J165" s="34" t="s">
        <v>32</v>
      </c>
      <c r="K165" s="34" t="s">
        <v>15</v>
      </c>
      <c r="L165">
        <v>0.119098</v>
      </c>
    </row>
    <row r="166" spans="1:12" x14ac:dyDescent="0.3">
      <c r="A166" s="34" t="s">
        <v>662</v>
      </c>
      <c r="B166">
        <v>-1</v>
      </c>
      <c r="C166">
        <v>2050</v>
      </c>
      <c r="D166" s="34" t="s">
        <v>309</v>
      </c>
      <c r="E166" s="34" t="s">
        <v>312</v>
      </c>
      <c r="F166" s="34" t="s">
        <v>473</v>
      </c>
      <c r="G166" s="34" t="s">
        <v>180</v>
      </c>
      <c r="H166" s="34" t="s">
        <v>18</v>
      </c>
      <c r="I166" s="34" t="s">
        <v>19</v>
      </c>
      <c r="J166" s="34" t="s">
        <v>181</v>
      </c>
      <c r="K166" s="34" t="s">
        <v>15</v>
      </c>
      <c r="L166">
        <v>5.412535485191075</v>
      </c>
    </row>
    <row r="167" spans="1:12" x14ac:dyDescent="0.3">
      <c r="A167" s="34" t="s">
        <v>662</v>
      </c>
      <c r="B167">
        <v>-1</v>
      </c>
      <c r="C167">
        <v>2050</v>
      </c>
      <c r="D167" s="34" t="s">
        <v>309</v>
      </c>
      <c r="E167" s="34" t="s">
        <v>312</v>
      </c>
      <c r="F167" s="34" t="s">
        <v>476</v>
      </c>
      <c r="G167" s="34" t="s">
        <v>11</v>
      </c>
      <c r="H167" s="34" t="s">
        <v>12</v>
      </c>
      <c r="I167" s="34" t="s">
        <v>13</v>
      </c>
      <c r="J167" s="34" t="s">
        <v>14</v>
      </c>
      <c r="K167" s="34" t="s">
        <v>15</v>
      </c>
      <c r="L167">
        <v>12.629991849311761</v>
      </c>
    </row>
    <row r="168" spans="1:12" x14ac:dyDescent="0.3">
      <c r="A168" s="34" t="s">
        <v>662</v>
      </c>
      <c r="B168">
        <v>-1</v>
      </c>
      <c r="C168">
        <v>2050</v>
      </c>
      <c r="D168" s="34" t="s">
        <v>309</v>
      </c>
      <c r="E168" s="34" t="s">
        <v>312</v>
      </c>
      <c r="F168" s="34" t="s">
        <v>603</v>
      </c>
      <c r="G168" s="34" t="s">
        <v>20</v>
      </c>
      <c r="H168" s="34" t="s">
        <v>21</v>
      </c>
      <c r="I168" s="34" t="s">
        <v>19</v>
      </c>
      <c r="J168" s="34" t="s">
        <v>22</v>
      </c>
      <c r="K168" s="34" t="s">
        <v>15</v>
      </c>
      <c r="L168">
        <v>-1.6390799828513991E-15</v>
      </c>
    </row>
    <row r="169" spans="1:12" x14ac:dyDescent="0.3">
      <c r="A169" s="34" t="s">
        <v>662</v>
      </c>
      <c r="B169">
        <v>-1</v>
      </c>
      <c r="C169">
        <v>2050</v>
      </c>
      <c r="D169" s="34" t="s">
        <v>309</v>
      </c>
      <c r="E169" s="34" t="s">
        <v>312</v>
      </c>
      <c r="F169" s="34" t="s">
        <v>603</v>
      </c>
      <c r="G169" s="34" t="s">
        <v>30</v>
      </c>
      <c r="H169" s="34" t="s">
        <v>21</v>
      </c>
      <c r="I169" s="34" t="s">
        <v>19</v>
      </c>
      <c r="J169" s="34" t="s">
        <v>22</v>
      </c>
      <c r="K169" s="34" t="s">
        <v>15</v>
      </c>
      <c r="L169">
        <v>2.0747847884194924E-17</v>
      </c>
    </row>
    <row r="170" spans="1:12" x14ac:dyDescent="0.3">
      <c r="A170" s="34" t="s">
        <v>662</v>
      </c>
      <c r="B170">
        <v>-1</v>
      </c>
      <c r="C170">
        <v>2050</v>
      </c>
      <c r="D170" s="34" t="s">
        <v>309</v>
      </c>
      <c r="E170" s="34" t="s">
        <v>312</v>
      </c>
      <c r="F170" s="34" t="s">
        <v>603</v>
      </c>
      <c r="G170" s="34" t="s">
        <v>644</v>
      </c>
      <c r="H170" s="34" t="s">
        <v>21</v>
      </c>
      <c r="I170" s="34" t="s">
        <v>19</v>
      </c>
      <c r="J170" s="34" t="s">
        <v>22</v>
      </c>
      <c r="K170" s="34" t="s">
        <v>15</v>
      </c>
      <c r="L170">
        <v>43.710471283783683</v>
      </c>
    </row>
    <row r="171" spans="1:12" x14ac:dyDescent="0.3">
      <c r="A171" s="34" t="s">
        <v>662</v>
      </c>
      <c r="B171">
        <v>-1</v>
      </c>
      <c r="C171">
        <v>2050</v>
      </c>
      <c r="D171" s="34" t="s">
        <v>309</v>
      </c>
      <c r="E171" s="34" t="s">
        <v>312</v>
      </c>
      <c r="F171" s="34" t="s">
        <v>603</v>
      </c>
      <c r="G171" s="34" t="s">
        <v>645</v>
      </c>
      <c r="H171" s="34" t="s">
        <v>23</v>
      </c>
      <c r="I171" s="34" t="s">
        <v>19</v>
      </c>
      <c r="J171" s="34" t="s">
        <v>24</v>
      </c>
      <c r="K171" s="34" t="s">
        <v>15</v>
      </c>
      <c r="L171">
        <v>10.432331419883043</v>
      </c>
    </row>
    <row r="172" spans="1:12" x14ac:dyDescent="0.3">
      <c r="A172" s="34" t="s">
        <v>662</v>
      </c>
      <c r="B172">
        <v>-1</v>
      </c>
      <c r="C172">
        <v>2050</v>
      </c>
      <c r="D172" s="34" t="s">
        <v>309</v>
      </c>
      <c r="E172" s="34" t="s">
        <v>313</v>
      </c>
      <c r="F172" s="34" t="s">
        <v>485</v>
      </c>
      <c r="G172" s="34" t="s">
        <v>170</v>
      </c>
      <c r="H172" s="34" t="s">
        <v>18</v>
      </c>
      <c r="I172" s="34" t="s">
        <v>19</v>
      </c>
      <c r="J172" s="34" t="s">
        <v>32</v>
      </c>
      <c r="K172" s="34" t="s">
        <v>15</v>
      </c>
      <c r="L172">
        <v>0.11068005680285743</v>
      </c>
    </row>
    <row r="173" spans="1:12" x14ac:dyDescent="0.3">
      <c r="A173" s="34" t="s">
        <v>662</v>
      </c>
      <c r="B173">
        <v>-1</v>
      </c>
      <c r="C173">
        <v>2050</v>
      </c>
      <c r="D173" s="34" t="s">
        <v>309</v>
      </c>
      <c r="E173" s="34" t="s">
        <v>313</v>
      </c>
      <c r="F173" s="34" t="s">
        <v>485</v>
      </c>
      <c r="G173" s="34" t="s">
        <v>171</v>
      </c>
      <c r="H173" s="34" t="s">
        <v>18</v>
      </c>
      <c r="I173" s="34" t="s">
        <v>19</v>
      </c>
      <c r="J173" s="34" t="s">
        <v>32</v>
      </c>
      <c r="K173" s="34" t="s">
        <v>15</v>
      </c>
      <c r="L173">
        <v>0.10514605396271456</v>
      </c>
    </row>
    <row r="174" spans="1:12" x14ac:dyDescent="0.3">
      <c r="A174" s="34" t="s">
        <v>662</v>
      </c>
      <c r="B174">
        <v>-1</v>
      </c>
      <c r="C174">
        <v>2050</v>
      </c>
      <c r="D174" s="34" t="s">
        <v>309</v>
      </c>
      <c r="E174" s="34" t="s">
        <v>313</v>
      </c>
      <c r="F174" s="34" t="s">
        <v>485</v>
      </c>
      <c r="G174" s="34" t="s">
        <v>172</v>
      </c>
      <c r="H174" s="34" t="s">
        <v>18</v>
      </c>
      <c r="I174" s="34" t="s">
        <v>19</v>
      </c>
      <c r="J174" s="34" t="s">
        <v>32</v>
      </c>
      <c r="K174" s="34" t="s">
        <v>15</v>
      </c>
      <c r="L174">
        <v>9.9612051122571682E-2</v>
      </c>
    </row>
    <row r="175" spans="1:12" x14ac:dyDescent="0.3">
      <c r="A175" s="34" t="s">
        <v>662</v>
      </c>
      <c r="B175">
        <v>-1</v>
      </c>
      <c r="C175">
        <v>2050</v>
      </c>
      <c r="D175" s="34" t="s">
        <v>309</v>
      </c>
      <c r="E175" s="34" t="s">
        <v>313</v>
      </c>
      <c r="F175" s="34" t="s">
        <v>485</v>
      </c>
      <c r="G175" s="34" t="s">
        <v>173</v>
      </c>
      <c r="H175" s="34" t="s">
        <v>18</v>
      </c>
      <c r="I175" s="34" t="s">
        <v>19</v>
      </c>
      <c r="J175" s="34" t="s">
        <v>32</v>
      </c>
      <c r="K175" s="34" t="s">
        <v>15</v>
      </c>
      <c r="L175">
        <v>9.6845049702500255E-2</v>
      </c>
    </row>
    <row r="176" spans="1:12" x14ac:dyDescent="0.3">
      <c r="A176" s="34" t="s">
        <v>662</v>
      </c>
      <c r="B176">
        <v>-1</v>
      </c>
      <c r="C176">
        <v>2050</v>
      </c>
      <c r="D176" s="34" t="s">
        <v>309</v>
      </c>
      <c r="E176" s="34" t="s">
        <v>313</v>
      </c>
      <c r="F176" s="34" t="s">
        <v>485</v>
      </c>
      <c r="G176" s="34" t="s">
        <v>174</v>
      </c>
      <c r="H176" s="34" t="s">
        <v>18</v>
      </c>
      <c r="I176" s="34" t="s">
        <v>19</v>
      </c>
      <c r="J176" s="34" t="s">
        <v>32</v>
      </c>
      <c r="K176" s="34" t="s">
        <v>15</v>
      </c>
      <c r="L176">
        <v>7.8311129559777384E-2</v>
      </c>
    </row>
    <row r="177" spans="1:12" x14ac:dyDescent="0.3">
      <c r="A177" s="34" t="s">
        <v>662</v>
      </c>
      <c r="B177">
        <v>-1</v>
      </c>
      <c r="C177">
        <v>2050</v>
      </c>
      <c r="D177" s="34" t="s">
        <v>309</v>
      </c>
      <c r="E177" s="34" t="s">
        <v>313</v>
      </c>
      <c r="F177" s="34" t="s">
        <v>485</v>
      </c>
      <c r="G177" s="34" t="s">
        <v>175</v>
      </c>
      <c r="H177" s="34" t="s">
        <v>18</v>
      </c>
      <c r="I177" s="34" t="s">
        <v>19</v>
      </c>
      <c r="J177" s="34" t="s">
        <v>32</v>
      </c>
      <c r="K177" s="34" t="s">
        <v>15</v>
      </c>
      <c r="L177">
        <v>6.0874031241571584E-2</v>
      </c>
    </row>
    <row r="178" spans="1:12" x14ac:dyDescent="0.3">
      <c r="A178" s="34" t="s">
        <v>662</v>
      </c>
      <c r="B178">
        <v>-1</v>
      </c>
      <c r="C178">
        <v>2050</v>
      </c>
      <c r="D178" s="34" t="s">
        <v>309</v>
      </c>
      <c r="E178" s="34" t="s">
        <v>313</v>
      </c>
      <c r="F178" s="34" t="s">
        <v>485</v>
      </c>
      <c r="G178" s="34" t="s">
        <v>176</v>
      </c>
      <c r="H178" s="34" t="s">
        <v>18</v>
      </c>
      <c r="I178" s="34" t="s">
        <v>19</v>
      </c>
      <c r="J178" s="34" t="s">
        <v>32</v>
      </c>
      <c r="K178" s="34" t="s">
        <v>15</v>
      </c>
      <c r="L178">
        <v>4.9806025561285841E-2</v>
      </c>
    </row>
    <row r="179" spans="1:12" x14ac:dyDescent="0.3">
      <c r="A179" s="34" t="s">
        <v>662</v>
      </c>
      <c r="B179">
        <v>-1</v>
      </c>
      <c r="C179">
        <v>2050</v>
      </c>
      <c r="D179" s="34" t="s">
        <v>309</v>
      </c>
      <c r="E179" s="34" t="s">
        <v>313</v>
      </c>
      <c r="F179" s="34" t="s">
        <v>485</v>
      </c>
      <c r="G179" s="34" t="s">
        <v>177</v>
      </c>
      <c r="H179" s="34" t="s">
        <v>18</v>
      </c>
      <c r="I179" s="34" t="s">
        <v>19</v>
      </c>
      <c r="J179" s="34" t="s">
        <v>32</v>
      </c>
      <c r="K179" s="34" t="s">
        <v>15</v>
      </c>
      <c r="L179">
        <v>4.4272022721142973E-2</v>
      </c>
    </row>
    <row r="180" spans="1:12" x14ac:dyDescent="0.3">
      <c r="A180" s="34" t="s">
        <v>662</v>
      </c>
      <c r="B180">
        <v>-1</v>
      </c>
      <c r="C180">
        <v>2050</v>
      </c>
      <c r="D180" s="34" t="s">
        <v>309</v>
      </c>
      <c r="E180" s="34" t="s">
        <v>313</v>
      </c>
      <c r="F180" s="34" t="s">
        <v>485</v>
      </c>
      <c r="G180" s="34" t="s">
        <v>178</v>
      </c>
      <c r="H180" s="34" t="s">
        <v>18</v>
      </c>
      <c r="I180" s="34" t="s">
        <v>19</v>
      </c>
      <c r="J180" s="34" t="s">
        <v>32</v>
      </c>
      <c r="K180" s="34" t="s">
        <v>15</v>
      </c>
      <c r="L180">
        <v>3.0437015620785792E-2</v>
      </c>
    </row>
    <row r="181" spans="1:12" x14ac:dyDescent="0.3">
      <c r="A181" s="34" t="s">
        <v>662</v>
      </c>
      <c r="B181">
        <v>-1</v>
      </c>
      <c r="C181">
        <v>2050</v>
      </c>
      <c r="D181" s="34" t="s">
        <v>309</v>
      </c>
      <c r="E181" s="34" t="s">
        <v>313</v>
      </c>
      <c r="F181" s="34" t="s">
        <v>485</v>
      </c>
      <c r="G181" s="34" t="s">
        <v>179</v>
      </c>
      <c r="H181" s="34" t="s">
        <v>18</v>
      </c>
      <c r="I181" s="34" t="s">
        <v>19</v>
      </c>
      <c r="J181" s="34" t="s">
        <v>32</v>
      </c>
      <c r="K181" s="34" t="s">
        <v>15</v>
      </c>
      <c r="L181">
        <v>1.3835007100357179E-2</v>
      </c>
    </row>
    <row r="182" spans="1:12" x14ac:dyDescent="0.3">
      <c r="A182" s="34" t="s">
        <v>662</v>
      </c>
      <c r="B182">
        <v>-1</v>
      </c>
      <c r="C182">
        <v>2050</v>
      </c>
      <c r="D182" s="34" t="s">
        <v>309</v>
      </c>
      <c r="E182" s="34" t="s">
        <v>313</v>
      </c>
      <c r="F182" s="34" t="s">
        <v>485</v>
      </c>
      <c r="G182" s="34" t="s">
        <v>180</v>
      </c>
      <c r="H182" s="34" t="s">
        <v>18</v>
      </c>
      <c r="I182" s="34" t="s">
        <v>19</v>
      </c>
      <c r="J182" s="34" t="s">
        <v>181</v>
      </c>
      <c r="K182" s="34" t="s">
        <v>15</v>
      </c>
      <c r="L182">
        <v>0.89625482612910146</v>
      </c>
    </row>
    <row r="183" spans="1:12" x14ac:dyDescent="0.3">
      <c r="A183" s="34" t="s">
        <v>662</v>
      </c>
      <c r="B183">
        <v>-1</v>
      </c>
      <c r="C183">
        <v>2050</v>
      </c>
      <c r="D183" s="34" t="s">
        <v>309</v>
      </c>
      <c r="E183" s="34" t="s">
        <v>313</v>
      </c>
      <c r="F183" s="34" t="s">
        <v>486</v>
      </c>
      <c r="G183" s="34" t="s">
        <v>11</v>
      </c>
      <c r="H183" s="34" t="s">
        <v>12</v>
      </c>
      <c r="I183" s="34" t="s">
        <v>13</v>
      </c>
      <c r="J183" s="34" t="s">
        <v>14</v>
      </c>
      <c r="K183" s="34" t="s">
        <v>15</v>
      </c>
      <c r="L183">
        <v>4.1123439391861485</v>
      </c>
    </row>
    <row r="184" spans="1:12" x14ac:dyDescent="0.3">
      <c r="A184" s="34" t="s">
        <v>662</v>
      </c>
      <c r="B184">
        <v>-1</v>
      </c>
      <c r="C184">
        <v>2050</v>
      </c>
      <c r="D184" s="34" t="s">
        <v>309</v>
      </c>
      <c r="E184" s="34" t="s">
        <v>313</v>
      </c>
      <c r="F184" s="34" t="s">
        <v>604</v>
      </c>
      <c r="G184" s="34" t="s">
        <v>20</v>
      </c>
      <c r="H184" s="34" t="s">
        <v>21</v>
      </c>
      <c r="I184" s="34" t="s">
        <v>19</v>
      </c>
      <c r="J184" s="34" t="s">
        <v>22</v>
      </c>
      <c r="K184" s="34" t="s">
        <v>15</v>
      </c>
      <c r="L184">
        <v>3.5271341403131371E-16</v>
      </c>
    </row>
    <row r="185" spans="1:12" x14ac:dyDescent="0.3">
      <c r="A185" s="34" t="s">
        <v>662</v>
      </c>
      <c r="B185">
        <v>-1</v>
      </c>
      <c r="C185">
        <v>2050</v>
      </c>
      <c r="D185" s="34" t="s">
        <v>309</v>
      </c>
      <c r="E185" s="34" t="s">
        <v>313</v>
      </c>
      <c r="F185" s="34" t="s">
        <v>604</v>
      </c>
      <c r="G185" s="34" t="s">
        <v>644</v>
      </c>
      <c r="H185" s="34" t="s">
        <v>21</v>
      </c>
      <c r="I185" s="34" t="s">
        <v>19</v>
      </c>
      <c r="J185" s="34" t="s">
        <v>22</v>
      </c>
      <c r="K185" s="34" t="s">
        <v>15</v>
      </c>
      <c r="L185">
        <v>16.697181456456416</v>
      </c>
    </row>
    <row r="186" spans="1:12" x14ac:dyDescent="0.3">
      <c r="A186" s="34" t="s">
        <v>662</v>
      </c>
      <c r="B186">
        <v>-1</v>
      </c>
      <c r="C186">
        <v>2050</v>
      </c>
      <c r="D186" s="34" t="s">
        <v>314</v>
      </c>
      <c r="E186" s="34" t="s">
        <v>397</v>
      </c>
      <c r="F186" s="34" t="s">
        <v>316</v>
      </c>
      <c r="G186" s="34" t="s">
        <v>28</v>
      </c>
      <c r="H186" s="34" t="s">
        <v>23</v>
      </c>
      <c r="I186" s="34" t="s">
        <v>19</v>
      </c>
      <c r="J186" s="34" t="s">
        <v>24</v>
      </c>
      <c r="K186" s="34" t="s">
        <v>15</v>
      </c>
      <c r="L186">
        <v>-1.950297701114323E-15</v>
      </c>
    </row>
    <row r="187" spans="1:12" x14ac:dyDescent="0.3">
      <c r="A187" s="34" t="s">
        <v>662</v>
      </c>
      <c r="B187">
        <v>-1</v>
      </c>
      <c r="C187">
        <v>2050</v>
      </c>
      <c r="D187" s="34" t="s">
        <v>314</v>
      </c>
      <c r="E187" s="34" t="s">
        <v>397</v>
      </c>
      <c r="F187" s="34" t="s">
        <v>316</v>
      </c>
      <c r="G187" s="34" t="s">
        <v>180</v>
      </c>
      <c r="H187" s="34" t="s">
        <v>18</v>
      </c>
      <c r="I187" s="34" t="s">
        <v>19</v>
      </c>
      <c r="J187" s="34" t="s">
        <v>181</v>
      </c>
      <c r="K187" s="34" t="s">
        <v>15</v>
      </c>
      <c r="L187">
        <v>5.2383324054794542</v>
      </c>
    </row>
    <row r="188" spans="1:12" x14ac:dyDescent="0.3">
      <c r="A188" s="34" t="s">
        <v>662</v>
      </c>
      <c r="B188">
        <v>-1</v>
      </c>
      <c r="C188">
        <v>2050</v>
      </c>
      <c r="D188" s="34" t="s">
        <v>314</v>
      </c>
      <c r="E188" s="34" t="s">
        <v>397</v>
      </c>
      <c r="F188" s="34" t="s">
        <v>316</v>
      </c>
      <c r="G188" s="34" t="s">
        <v>270</v>
      </c>
      <c r="H188" s="34" t="s">
        <v>26</v>
      </c>
      <c r="I188" s="34" t="s">
        <v>19</v>
      </c>
      <c r="J188" s="34" t="s">
        <v>27</v>
      </c>
      <c r="K188" s="34" t="s">
        <v>15</v>
      </c>
      <c r="L188">
        <v>3.0318068400000016</v>
      </c>
    </row>
    <row r="189" spans="1:12" x14ac:dyDescent="0.3">
      <c r="A189" s="34" t="s">
        <v>662</v>
      </c>
      <c r="B189">
        <v>-1</v>
      </c>
      <c r="C189">
        <v>2050</v>
      </c>
      <c r="D189" s="34" t="s">
        <v>314</v>
      </c>
      <c r="E189" s="34" t="s">
        <v>397</v>
      </c>
      <c r="F189" s="34" t="s">
        <v>316</v>
      </c>
      <c r="G189" s="34" t="s">
        <v>253</v>
      </c>
      <c r="H189" s="34" t="s">
        <v>254</v>
      </c>
      <c r="I189" s="34" t="s">
        <v>19</v>
      </c>
      <c r="J189" s="34" t="s">
        <v>27</v>
      </c>
      <c r="K189" s="34" t="s">
        <v>15</v>
      </c>
      <c r="L189">
        <v>20.915200000000002</v>
      </c>
    </row>
    <row r="190" spans="1:12" x14ac:dyDescent="0.3">
      <c r="A190" s="34" t="s">
        <v>662</v>
      </c>
      <c r="B190">
        <v>-1</v>
      </c>
      <c r="C190">
        <v>2050</v>
      </c>
      <c r="D190" s="34" t="s">
        <v>314</v>
      </c>
      <c r="E190" s="34" t="s">
        <v>397</v>
      </c>
      <c r="F190" s="34" t="s">
        <v>316</v>
      </c>
      <c r="G190" s="34" t="s">
        <v>29</v>
      </c>
      <c r="H190" s="34" t="s">
        <v>21</v>
      </c>
      <c r="I190" s="34" t="s">
        <v>19</v>
      </c>
      <c r="J190" s="34" t="s">
        <v>22</v>
      </c>
      <c r="K190" s="34" t="s">
        <v>15</v>
      </c>
      <c r="L190">
        <v>4.1495695768389849E-17</v>
      </c>
    </row>
    <row r="191" spans="1:12" x14ac:dyDescent="0.3">
      <c r="A191" s="34" t="s">
        <v>662</v>
      </c>
      <c r="B191">
        <v>-1</v>
      </c>
      <c r="C191">
        <v>2050</v>
      </c>
      <c r="D191" s="34" t="s">
        <v>314</v>
      </c>
      <c r="E191" s="34" t="s">
        <v>397</v>
      </c>
      <c r="F191" s="34" t="s">
        <v>316</v>
      </c>
      <c r="G191" s="34" t="s">
        <v>20</v>
      </c>
      <c r="H191" s="34" t="s">
        <v>21</v>
      </c>
      <c r="I191" s="34" t="s">
        <v>19</v>
      </c>
      <c r="J191" s="34" t="s">
        <v>22</v>
      </c>
      <c r="K191" s="34" t="s">
        <v>15</v>
      </c>
      <c r="L191">
        <v>3.4026470530079676E-15</v>
      </c>
    </row>
    <row r="192" spans="1:12" x14ac:dyDescent="0.3">
      <c r="A192" s="34" t="s">
        <v>662</v>
      </c>
      <c r="B192">
        <v>-1</v>
      </c>
      <c r="C192">
        <v>2050</v>
      </c>
      <c r="D192" s="34" t="s">
        <v>314</v>
      </c>
      <c r="E192" s="34" t="s">
        <v>397</v>
      </c>
      <c r="F192" s="34" t="s">
        <v>316</v>
      </c>
      <c r="G192" s="34" t="s">
        <v>30</v>
      </c>
      <c r="H192" s="34" t="s">
        <v>21</v>
      </c>
      <c r="I192" s="34" t="s">
        <v>19</v>
      </c>
      <c r="J192" s="34" t="s">
        <v>22</v>
      </c>
      <c r="K192" s="34" t="s">
        <v>15</v>
      </c>
      <c r="L192">
        <v>-2.6349766812927556E-15</v>
      </c>
    </row>
    <row r="193" spans="1:12" x14ac:dyDescent="0.3">
      <c r="A193" s="34" t="s">
        <v>662</v>
      </c>
      <c r="B193">
        <v>-1</v>
      </c>
      <c r="C193">
        <v>2050</v>
      </c>
      <c r="D193" s="34" t="s">
        <v>314</v>
      </c>
      <c r="E193" s="34" t="s">
        <v>397</v>
      </c>
      <c r="F193" s="34" t="s">
        <v>316</v>
      </c>
      <c r="G193" s="34" t="s">
        <v>16</v>
      </c>
      <c r="H193" s="34" t="s">
        <v>12</v>
      </c>
      <c r="I193" s="34" t="s">
        <v>13</v>
      </c>
      <c r="J193" s="34" t="s">
        <v>14</v>
      </c>
      <c r="K193" s="34" t="s">
        <v>15</v>
      </c>
      <c r="L193">
        <v>172.35438435061275</v>
      </c>
    </row>
    <row r="194" spans="1:12" x14ac:dyDescent="0.3">
      <c r="A194" s="34" t="s">
        <v>662</v>
      </c>
      <c r="B194">
        <v>-1</v>
      </c>
      <c r="C194">
        <v>2050</v>
      </c>
      <c r="D194" s="34" t="s">
        <v>314</v>
      </c>
      <c r="E194" s="34" t="s">
        <v>397</v>
      </c>
      <c r="F194" s="34" t="s">
        <v>316</v>
      </c>
      <c r="G194" s="34" t="s">
        <v>393</v>
      </c>
      <c r="H194" s="34" t="s">
        <v>13</v>
      </c>
      <c r="I194" s="34" t="s">
        <v>19</v>
      </c>
      <c r="J194" s="34" t="s">
        <v>391</v>
      </c>
      <c r="K194" s="34" t="s">
        <v>15</v>
      </c>
      <c r="L194">
        <v>0.86951130492177842</v>
      </c>
    </row>
    <row r="195" spans="1:12" x14ac:dyDescent="0.3">
      <c r="A195" s="34" t="s">
        <v>662</v>
      </c>
      <c r="B195">
        <v>-1</v>
      </c>
      <c r="C195">
        <v>2050</v>
      </c>
      <c r="D195" s="34" t="s">
        <v>314</v>
      </c>
      <c r="E195" s="34" t="s">
        <v>397</v>
      </c>
      <c r="F195" s="34" t="s">
        <v>316</v>
      </c>
      <c r="G195" s="34" t="s">
        <v>392</v>
      </c>
      <c r="H195" s="34" t="s">
        <v>13</v>
      </c>
      <c r="I195" s="34" t="s">
        <v>13</v>
      </c>
      <c r="J195" s="34" t="s">
        <v>17</v>
      </c>
      <c r="K195" s="34" t="s">
        <v>15</v>
      </c>
      <c r="L195">
        <v>48.030532755442884</v>
      </c>
    </row>
    <row r="196" spans="1:12" x14ac:dyDescent="0.3">
      <c r="A196" s="34" t="s">
        <v>662</v>
      </c>
      <c r="B196">
        <v>-1</v>
      </c>
      <c r="C196">
        <v>2050</v>
      </c>
      <c r="D196" s="34" t="s">
        <v>314</v>
      </c>
      <c r="E196" s="34" t="s">
        <v>397</v>
      </c>
      <c r="F196" s="34" t="s">
        <v>326</v>
      </c>
      <c r="G196" s="34" t="s">
        <v>222</v>
      </c>
      <c r="H196" s="34" t="s">
        <v>21</v>
      </c>
      <c r="I196" s="34" t="s">
        <v>19</v>
      </c>
      <c r="J196" s="34" t="s">
        <v>223</v>
      </c>
      <c r="K196" s="34" t="s">
        <v>15</v>
      </c>
      <c r="L196">
        <v>-9.3365315478877157E-16</v>
      </c>
    </row>
    <row r="197" spans="1:12" x14ac:dyDescent="0.3">
      <c r="A197" s="34" t="s">
        <v>662</v>
      </c>
      <c r="B197">
        <v>-1</v>
      </c>
      <c r="C197">
        <v>2050</v>
      </c>
      <c r="D197" s="34" t="s">
        <v>314</v>
      </c>
      <c r="E197" s="34" t="s">
        <v>397</v>
      </c>
      <c r="F197" s="34" t="s">
        <v>605</v>
      </c>
      <c r="G197" s="34" t="s">
        <v>644</v>
      </c>
      <c r="H197" s="34" t="s">
        <v>21</v>
      </c>
      <c r="I197" s="34" t="s">
        <v>19</v>
      </c>
      <c r="J197" s="34" t="s">
        <v>22</v>
      </c>
      <c r="K197" s="34" t="s">
        <v>15</v>
      </c>
      <c r="L197">
        <v>478.19995977640116</v>
      </c>
    </row>
    <row r="198" spans="1:12" x14ac:dyDescent="0.3">
      <c r="A198" s="34" t="s">
        <v>662</v>
      </c>
      <c r="B198">
        <v>-1</v>
      </c>
      <c r="C198">
        <v>2050</v>
      </c>
      <c r="D198" s="34" t="s">
        <v>314</v>
      </c>
      <c r="E198" s="34" t="s">
        <v>397</v>
      </c>
      <c r="F198" s="34" t="s">
        <v>605</v>
      </c>
      <c r="G198" s="34" t="s">
        <v>645</v>
      </c>
      <c r="H198" s="34" t="s">
        <v>23</v>
      </c>
      <c r="I198" s="34" t="s">
        <v>19</v>
      </c>
      <c r="J198" s="34" t="s">
        <v>24</v>
      </c>
      <c r="K198" s="34" t="s">
        <v>15</v>
      </c>
      <c r="L198">
        <v>77.464474751307009</v>
      </c>
    </row>
    <row r="199" spans="1:12" x14ac:dyDescent="0.3">
      <c r="A199" s="34" t="s">
        <v>662</v>
      </c>
      <c r="B199">
        <v>-1</v>
      </c>
      <c r="C199">
        <v>2050</v>
      </c>
      <c r="D199" s="34" t="s">
        <v>314</v>
      </c>
      <c r="E199" s="34" t="s">
        <v>398</v>
      </c>
      <c r="F199" s="34" t="s">
        <v>606</v>
      </c>
      <c r="G199" s="34" t="s">
        <v>16</v>
      </c>
      <c r="H199" s="34" t="s">
        <v>12</v>
      </c>
      <c r="I199" s="34" t="s">
        <v>13</v>
      </c>
      <c r="J199" s="34" t="s">
        <v>14</v>
      </c>
      <c r="K199" s="34" t="s">
        <v>15</v>
      </c>
      <c r="L199">
        <v>2.210915351942971E-2</v>
      </c>
    </row>
    <row r="200" spans="1:12" x14ac:dyDescent="0.3">
      <c r="A200" s="34" t="s">
        <v>662</v>
      </c>
      <c r="B200">
        <v>-1</v>
      </c>
      <c r="C200">
        <v>2050</v>
      </c>
      <c r="D200" s="34" t="s">
        <v>314</v>
      </c>
      <c r="E200" s="34" t="s">
        <v>398</v>
      </c>
      <c r="F200" s="34" t="s">
        <v>606</v>
      </c>
      <c r="G200" s="34" t="s">
        <v>393</v>
      </c>
      <c r="H200" s="34" t="s">
        <v>13</v>
      </c>
      <c r="I200" s="34" t="s">
        <v>19</v>
      </c>
      <c r="J200" s="34" t="s">
        <v>391</v>
      </c>
      <c r="K200" s="34" t="s">
        <v>15</v>
      </c>
      <c r="L200">
        <v>1.3789479050068304E-2</v>
      </c>
    </row>
    <row r="201" spans="1:12" x14ac:dyDescent="0.3">
      <c r="A201" s="34" t="s">
        <v>662</v>
      </c>
      <c r="B201">
        <v>-1</v>
      </c>
      <c r="C201">
        <v>2050</v>
      </c>
      <c r="D201" s="34" t="s">
        <v>314</v>
      </c>
      <c r="E201" s="34" t="s">
        <v>398</v>
      </c>
      <c r="F201" s="34" t="s">
        <v>606</v>
      </c>
      <c r="G201" s="34" t="s">
        <v>392</v>
      </c>
      <c r="H201" s="34" t="s">
        <v>13</v>
      </c>
      <c r="I201" s="34" t="s">
        <v>13</v>
      </c>
      <c r="J201" s="34" t="s">
        <v>17</v>
      </c>
      <c r="K201" s="34" t="s">
        <v>15</v>
      </c>
      <c r="L201">
        <v>2.1888061984235405E-2</v>
      </c>
    </row>
    <row r="202" spans="1:12" x14ac:dyDescent="0.3">
      <c r="A202" s="34" t="s">
        <v>662</v>
      </c>
      <c r="B202">
        <v>-1</v>
      </c>
      <c r="C202">
        <v>2050</v>
      </c>
      <c r="D202" s="34" t="s">
        <v>328</v>
      </c>
      <c r="E202" s="34" t="s">
        <v>329</v>
      </c>
      <c r="F202" s="34" t="s">
        <v>488</v>
      </c>
      <c r="G202" s="34" t="s">
        <v>489</v>
      </c>
      <c r="H202" s="34" t="s">
        <v>490</v>
      </c>
      <c r="I202" s="34" t="s">
        <v>19</v>
      </c>
      <c r="J202" s="34" t="s">
        <v>27</v>
      </c>
      <c r="K202" s="34" t="s">
        <v>15</v>
      </c>
      <c r="L202">
        <v>1.7432399999999999</v>
      </c>
    </row>
    <row r="203" spans="1:12" x14ac:dyDescent="0.3">
      <c r="A203" s="34" t="s">
        <v>662</v>
      </c>
      <c r="B203">
        <v>-1</v>
      </c>
      <c r="C203">
        <v>2050</v>
      </c>
      <c r="D203" s="34" t="s">
        <v>330</v>
      </c>
      <c r="E203" s="34" t="s">
        <v>331</v>
      </c>
      <c r="F203" s="34" t="s">
        <v>517</v>
      </c>
      <c r="G203" s="34" t="s">
        <v>31</v>
      </c>
      <c r="H203" s="34" t="s">
        <v>18</v>
      </c>
      <c r="I203" s="34" t="s">
        <v>19</v>
      </c>
      <c r="J203" s="34" t="s">
        <v>32</v>
      </c>
      <c r="K203" s="34" t="s">
        <v>15</v>
      </c>
      <c r="L203">
        <v>3.6736570448190329</v>
      </c>
    </row>
    <row r="204" spans="1:12" x14ac:dyDescent="0.3">
      <c r="A204" s="34" t="s">
        <v>662</v>
      </c>
      <c r="B204">
        <v>-1</v>
      </c>
      <c r="C204">
        <v>2050</v>
      </c>
      <c r="D204" s="34" t="s">
        <v>330</v>
      </c>
      <c r="E204" s="34" t="s">
        <v>331</v>
      </c>
      <c r="F204" s="34" t="s">
        <v>518</v>
      </c>
      <c r="G204" s="34" t="s">
        <v>180</v>
      </c>
      <c r="H204" s="34" t="s">
        <v>18</v>
      </c>
      <c r="I204" s="34" t="s">
        <v>19</v>
      </c>
      <c r="J204" s="34" t="s">
        <v>181</v>
      </c>
      <c r="K204" s="34" t="s">
        <v>15</v>
      </c>
      <c r="L204">
        <v>3.0730378356164381</v>
      </c>
    </row>
    <row r="205" spans="1:12" x14ac:dyDescent="0.3">
      <c r="A205" s="34" t="s">
        <v>662</v>
      </c>
      <c r="B205">
        <v>-1</v>
      </c>
      <c r="C205">
        <v>2050</v>
      </c>
      <c r="D205" s="34" t="s">
        <v>332</v>
      </c>
      <c r="E205" s="34" t="s">
        <v>333</v>
      </c>
      <c r="F205" s="34" t="s">
        <v>520</v>
      </c>
      <c r="G205" s="34" t="s">
        <v>180</v>
      </c>
      <c r="H205" s="34" t="s">
        <v>18</v>
      </c>
      <c r="I205" s="34" t="s">
        <v>19</v>
      </c>
      <c r="J205" s="34" t="s">
        <v>181</v>
      </c>
      <c r="K205" s="34" t="s">
        <v>15</v>
      </c>
      <c r="L205">
        <v>0.60839802739726045</v>
      </c>
    </row>
    <row r="206" spans="1:12" x14ac:dyDescent="0.3">
      <c r="A206" s="34" t="s">
        <v>662</v>
      </c>
      <c r="B206">
        <v>-1</v>
      </c>
      <c r="C206">
        <v>2050</v>
      </c>
      <c r="D206" s="34" t="s">
        <v>332</v>
      </c>
      <c r="E206" s="34" t="s">
        <v>333</v>
      </c>
      <c r="F206" s="34" t="s">
        <v>522</v>
      </c>
      <c r="G206" s="34" t="s">
        <v>16</v>
      </c>
      <c r="H206" s="34" t="s">
        <v>12</v>
      </c>
      <c r="I206" s="34" t="s">
        <v>13</v>
      </c>
      <c r="J206" s="34" t="s">
        <v>14</v>
      </c>
      <c r="K206" s="34" t="s">
        <v>15</v>
      </c>
      <c r="L206">
        <v>39.005734717403058</v>
      </c>
    </row>
    <row r="207" spans="1:12" x14ac:dyDescent="0.3">
      <c r="A207" s="34" t="s">
        <v>662</v>
      </c>
      <c r="B207">
        <v>-1</v>
      </c>
      <c r="C207">
        <v>2050</v>
      </c>
      <c r="D207" s="34" t="s">
        <v>332</v>
      </c>
      <c r="E207" s="34" t="s">
        <v>333</v>
      </c>
      <c r="F207" s="34" t="s">
        <v>522</v>
      </c>
      <c r="G207" s="34" t="s">
        <v>671</v>
      </c>
      <c r="H207" s="34" t="s">
        <v>12</v>
      </c>
      <c r="I207" s="34" t="s">
        <v>203</v>
      </c>
      <c r="J207" s="34" t="s">
        <v>14</v>
      </c>
      <c r="K207" s="34" t="s">
        <v>15</v>
      </c>
      <c r="L207">
        <v>1.4209052450811997E-16</v>
      </c>
    </row>
    <row r="208" spans="1:12" x14ac:dyDescent="0.3">
      <c r="A208" s="34" t="s">
        <v>662</v>
      </c>
      <c r="B208">
        <v>-1</v>
      </c>
      <c r="C208">
        <v>2050</v>
      </c>
      <c r="D208" s="34" t="s">
        <v>332</v>
      </c>
      <c r="E208" s="34" t="s">
        <v>333</v>
      </c>
      <c r="F208" s="34" t="s">
        <v>522</v>
      </c>
      <c r="G208" s="34" t="s">
        <v>671</v>
      </c>
      <c r="H208" s="34" t="s">
        <v>12</v>
      </c>
      <c r="I208" s="34" t="s">
        <v>13</v>
      </c>
      <c r="J208" s="34" t="s">
        <v>14</v>
      </c>
      <c r="K208" s="34" t="s">
        <v>15</v>
      </c>
      <c r="L208">
        <v>1.6616692022353166E-15</v>
      </c>
    </row>
    <row r="209" spans="1:12" x14ac:dyDescent="0.3">
      <c r="A209" s="34" t="s">
        <v>662</v>
      </c>
      <c r="B209">
        <v>-1</v>
      </c>
      <c r="C209">
        <v>2050</v>
      </c>
      <c r="D209" s="34" t="s">
        <v>332</v>
      </c>
      <c r="E209" s="34" t="s">
        <v>333</v>
      </c>
      <c r="F209" s="34" t="s">
        <v>609</v>
      </c>
      <c r="G209" s="34" t="s">
        <v>28</v>
      </c>
      <c r="H209" s="34" t="s">
        <v>23</v>
      </c>
      <c r="I209" s="34" t="s">
        <v>19</v>
      </c>
      <c r="J209" s="34" t="s">
        <v>24</v>
      </c>
      <c r="K209" s="34" t="s">
        <v>15</v>
      </c>
      <c r="L209">
        <v>9.3845600000000001E-2</v>
      </c>
    </row>
    <row r="210" spans="1:12" x14ac:dyDescent="0.3">
      <c r="A210" s="34" t="s">
        <v>662</v>
      </c>
      <c r="B210">
        <v>-1</v>
      </c>
      <c r="C210">
        <v>2050</v>
      </c>
      <c r="D210" s="34" t="s">
        <v>332</v>
      </c>
      <c r="E210" s="34" t="s">
        <v>333</v>
      </c>
      <c r="F210" s="34" t="s">
        <v>609</v>
      </c>
      <c r="G210" s="34" t="s">
        <v>644</v>
      </c>
      <c r="H210" s="34" t="s">
        <v>21</v>
      </c>
      <c r="I210" s="34" t="s">
        <v>19</v>
      </c>
      <c r="J210" s="34" t="s">
        <v>22</v>
      </c>
      <c r="K210" s="34" t="s">
        <v>15</v>
      </c>
      <c r="L210">
        <v>83.775282392158473</v>
      </c>
    </row>
    <row r="211" spans="1:12" x14ac:dyDescent="0.3">
      <c r="A211" s="34" t="s">
        <v>662</v>
      </c>
      <c r="B211">
        <v>-1</v>
      </c>
      <c r="C211">
        <v>2050</v>
      </c>
      <c r="D211" s="34" t="s">
        <v>336</v>
      </c>
      <c r="E211" s="34" t="s">
        <v>337</v>
      </c>
      <c r="F211" s="34" t="s">
        <v>531</v>
      </c>
      <c r="G211" s="34" t="s">
        <v>11</v>
      </c>
      <c r="H211" s="34" t="s">
        <v>12</v>
      </c>
      <c r="I211" s="34" t="s">
        <v>13</v>
      </c>
      <c r="J211" s="34" t="s">
        <v>14</v>
      </c>
      <c r="K211" s="34" t="s">
        <v>15</v>
      </c>
      <c r="L211">
        <v>3.629999999999999</v>
      </c>
    </row>
    <row r="212" spans="1:12" x14ac:dyDescent="0.3">
      <c r="A212" s="34" t="s">
        <v>662</v>
      </c>
      <c r="B212">
        <v>-1</v>
      </c>
      <c r="C212">
        <v>2050</v>
      </c>
      <c r="D212" s="34" t="s">
        <v>336</v>
      </c>
      <c r="E212" s="34" t="s">
        <v>337</v>
      </c>
      <c r="F212" s="34" t="s">
        <v>531</v>
      </c>
      <c r="G212" s="34" t="s">
        <v>16</v>
      </c>
      <c r="H212" s="34" t="s">
        <v>12</v>
      </c>
      <c r="I212" s="34" t="s">
        <v>13</v>
      </c>
      <c r="J212" s="34" t="s">
        <v>14</v>
      </c>
      <c r="K212" s="34" t="s">
        <v>15</v>
      </c>
      <c r="L212">
        <v>262.14540303901344</v>
      </c>
    </row>
    <row r="213" spans="1:12" x14ac:dyDescent="0.3">
      <c r="A213" s="34" t="s">
        <v>662</v>
      </c>
      <c r="B213">
        <v>-1</v>
      </c>
      <c r="C213">
        <v>2050</v>
      </c>
      <c r="D213" s="34" t="s">
        <v>336</v>
      </c>
      <c r="E213" s="34" t="s">
        <v>337</v>
      </c>
      <c r="F213" s="34" t="s">
        <v>531</v>
      </c>
      <c r="G213" s="34" t="s">
        <v>392</v>
      </c>
      <c r="H213" s="34" t="s">
        <v>13</v>
      </c>
      <c r="I213" s="34" t="s">
        <v>13</v>
      </c>
      <c r="J213" s="34" t="s">
        <v>17</v>
      </c>
      <c r="K213" s="34" t="s">
        <v>15</v>
      </c>
      <c r="L213">
        <v>46.86670162734012</v>
      </c>
    </row>
    <row r="214" spans="1:12" x14ac:dyDescent="0.3">
      <c r="A214" s="34" t="s">
        <v>662</v>
      </c>
      <c r="B214">
        <v>-1</v>
      </c>
      <c r="C214">
        <v>2050</v>
      </c>
      <c r="D214" s="34" t="s">
        <v>336</v>
      </c>
      <c r="E214" s="34" t="s">
        <v>337</v>
      </c>
      <c r="F214" s="34" t="s">
        <v>553</v>
      </c>
      <c r="G214" s="34" t="s">
        <v>180</v>
      </c>
      <c r="H214" s="34" t="s">
        <v>18</v>
      </c>
      <c r="I214" s="34" t="s">
        <v>19</v>
      </c>
      <c r="J214" s="34" t="s">
        <v>181</v>
      </c>
      <c r="K214" s="34" t="s">
        <v>15</v>
      </c>
      <c r="L214">
        <v>2.2920302739726024</v>
      </c>
    </row>
    <row r="215" spans="1:12" x14ac:dyDescent="0.3">
      <c r="A215" s="34" t="s">
        <v>662</v>
      </c>
      <c r="B215">
        <v>-1</v>
      </c>
      <c r="C215">
        <v>2050</v>
      </c>
      <c r="D215" s="34" t="s">
        <v>336</v>
      </c>
      <c r="E215" s="34" t="s">
        <v>337</v>
      </c>
      <c r="F215" s="34" t="s">
        <v>610</v>
      </c>
      <c r="G215" s="34" t="s">
        <v>28</v>
      </c>
      <c r="H215" s="34" t="s">
        <v>23</v>
      </c>
      <c r="I215" s="34" t="s">
        <v>19</v>
      </c>
      <c r="J215" s="34" t="s">
        <v>24</v>
      </c>
      <c r="K215" s="34" t="s">
        <v>15</v>
      </c>
      <c r="L215">
        <v>2.6217875999999993</v>
      </c>
    </row>
    <row r="216" spans="1:12" x14ac:dyDescent="0.3">
      <c r="A216" s="34" t="s">
        <v>662</v>
      </c>
      <c r="B216">
        <v>-1</v>
      </c>
      <c r="C216">
        <v>2050</v>
      </c>
      <c r="D216" s="34" t="s">
        <v>336</v>
      </c>
      <c r="E216" s="34" t="s">
        <v>337</v>
      </c>
      <c r="F216" s="34" t="s">
        <v>610</v>
      </c>
      <c r="G216" s="34" t="s">
        <v>222</v>
      </c>
      <c r="H216" s="34" t="s">
        <v>21</v>
      </c>
      <c r="I216" s="34" t="s">
        <v>19</v>
      </c>
      <c r="J216" s="34" t="s">
        <v>223</v>
      </c>
      <c r="K216" s="34" t="s">
        <v>15</v>
      </c>
      <c r="L216">
        <v>3.1898586253239452</v>
      </c>
    </row>
    <row r="217" spans="1:12" x14ac:dyDescent="0.3">
      <c r="A217" s="34" t="s">
        <v>662</v>
      </c>
      <c r="B217">
        <v>-1</v>
      </c>
      <c r="C217">
        <v>2050</v>
      </c>
      <c r="D217" s="34" t="s">
        <v>336</v>
      </c>
      <c r="E217" s="34" t="s">
        <v>337</v>
      </c>
      <c r="F217" s="34" t="s">
        <v>610</v>
      </c>
      <c r="G217" s="34" t="s">
        <v>29</v>
      </c>
      <c r="H217" s="34" t="s">
        <v>21</v>
      </c>
      <c r="I217" s="34" t="s">
        <v>19</v>
      </c>
      <c r="J217" s="34" t="s">
        <v>22</v>
      </c>
      <c r="K217" s="34" t="s">
        <v>15</v>
      </c>
      <c r="L217">
        <v>2.4897417461033912E-16</v>
      </c>
    </row>
    <row r="218" spans="1:12" x14ac:dyDescent="0.3">
      <c r="A218" s="34" t="s">
        <v>662</v>
      </c>
      <c r="B218">
        <v>-1</v>
      </c>
      <c r="C218">
        <v>2050</v>
      </c>
      <c r="D218" s="34" t="s">
        <v>336</v>
      </c>
      <c r="E218" s="34" t="s">
        <v>337</v>
      </c>
      <c r="F218" s="34" t="s">
        <v>610</v>
      </c>
      <c r="G218" s="34" t="s">
        <v>20</v>
      </c>
      <c r="H218" s="34" t="s">
        <v>21</v>
      </c>
      <c r="I218" s="34" t="s">
        <v>19</v>
      </c>
      <c r="J218" s="34" t="s">
        <v>22</v>
      </c>
      <c r="K218" s="34" t="s">
        <v>15</v>
      </c>
      <c r="L218">
        <v>6.2243543652584774E-16</v>
      </c>
    </row>
    <row r="219" spans="1:12" x14ac:dyDescent="0.3">
      <c r="A219" s="34" t="s">
        <v>662</v>
      </c>
      <c r="B219">
        <v>-1</v>
      </c>
      <c r="C219">
        <v>2050</v>
      </c>
      <c r="D219" s="34" t="s">
        <v>336</v>
      </c>
      <c r="E219" s="34" t="s">
        <v>337</v>
      </c>
      <c r="F219" s="34" t="s">
        <v>610</v>
      </c>
      <c r="G219" s="34" t="s">
        <v>30</v>
      </c>
      <c r="H219" s="34" t="s">
        <v>21</v>
      </c>
      <c r="I219" s="34" t="s">
        <v>19</v>
      </c>
      <c r="J219" s="34" t="s">
        <v>22</v>
      </c>
      <c r="K219" s="34" t="s">
        <v>15</v>
      </c>
      <c r="L219">
        <v>-5.186961971048731E-16</v>
      </c>
    </row>
    <row r="220" spans="1:12" x14ac:dyDescent="0.3">
      <c r="A220" s="34" t="s">
        <v>662</v>
      </c>
      <c r="B220">
        <v>-1</v>
      </c>
      <c r="C220">
        <v>2050</v>
      </c>
      <c r="D220" s="34" t="s">
        <v>336</v>
      </c>
      <c r="E220" s="34" t="s">
        <v>337</v>
      </c>
      <c r="F220" s="34" t="s">
        <v>610</v>
      </c>
      <c r="G220" s="34" t="s">
        <v>644</v>
      </c>
      <c r="H220" s="34" t="s">
        <v>21</v>
      </c>
      <c r="I220" s="34" t="s">
        <v>19</v>
      </c>
      <c r="J220" s="34" t="s">
        <v>22</v>
      </c>
      <c r="K220" s="34" t="s">
        <v>15</v>
      </c>
      <c r="L220">
        <v>526.41337919695582</v>
      </c>
    </row>
    <row r="221" spans="1:12" x14ac:dyDescent="0.3">
      <c r="A221" s="34" t="s">
        <v>662</v>
      </c>
      <c r="B221">
        <v>-1</v>
      </c>
      <c r="C221">
        <v>2050</v>
      </c>
      <c r="D221" s="34" t="s">
        <v>338</v>
      </c>
      <c r="E221" s="34" t="s">
        <v>339</v>
      </c>
      <c r="F221" s="34" t="s">
        <v>565</v>
      </c>
      <c r="G221" s="34" t="s">
        <v>180</v>
      </c>
      <c r="H221" s="34" t="s">
        <v>18</v>
      </c>
      <c r="I221" s="34" t="s">
        <v>19</v>
      </c>
      <c r="J221" s="34" t="s">
        <v>181</v>
      </c>
      <c r="K221" s="34" t="s">
        <v>15</v>
      </c>
      <c r="L221">
        <v>0.53853698206904199</v>
      </c>
    </row>
    <row r="222" spans="1:12" x14ac:dyDescent="0.3">
      <c r="A222" s="34" t="s">
        <v>662</v>
      </c>
      <c r="B222">
        <v>-1</v>
      </c>
      <c r="C222">
        <v>2050</v>
      </c>
      <c r="D222" s="34" t="s">
        <v>338</v>
      </c>
      <c r="E222" s="34" t="s">
        <v>339</v>
      </c>
      <c r="F222" s="34" t="s">
        <v>565</v>
      </c>
      <c r="G222" s="34" t="s">
        <v>392</v>
      </c>
      <c r="H222" s="34" t="s">
        <v>13</v>
      </c>
      <c r="I222" s="34" t="s">
        <v>13</v>
      </c>
      <c r="J222" s="34" t="s">
        <v>17</v>
      </c>
      <c r="K222" s="34" t="s">
        <v>15</v>
      </c>
      <c r="L222">
        <v>-1.8274066021079382E-15</v>
      </c>
    </row>
    <row r="223" spans="1:12" x14ac:dyDescent="0.3">
      <c r="A223" s="34" t="s">
        <v>662</v>
      </c>
      <c r="B223">
        <v>-1</v>
      </c>
      <c r="C223">
        <v>2050</v>
      </c>
      <c r="D223" s="34" t="s">
        <v>338</v>
      </c>
      <c r="E223" s="34" t="s">
        <v>339</v>
      </c>
      <c r="F223" s="34" t="s">
        <v>611</v>
      </c>
      <c r="G223" s="34" t="s">
        <v>28</v>
      </c>
      <c r="H223" s="34" t="s">
        <v>23</v>
      </c>
      <c r="I223" s="34" t="s">
        <v>19</v>
      </c>
      <c r="J223" s="34" t="s">
        <v>24</v>
      </c>
      <c r="K223" s="34" t="s">
        <v>15</v>
      </c>
      <c r="L223">
        <v>4.7720050133648327E-16</v>
      </c>
    </row>
    <row r="224" spans="1:12" x14ac:dyDescent="0.3">
      <c r="A224" s="34" t="s">
        <v>662</v>
      </c>
      <c r="B224">
        <v>-1</v>
      </c>
      <c r="C224">
        <v>2050</v>
      </c>
      <c r="D224" s="34" t="s">
        <v>338</v>
      </c>
      <c r="E224" s="34" t="s">
        <v>339</v>
      </c>
      <c r="F224" s="34" t="s">
        <v>611</v>
      </c>
      <c r="G224" s="34" t="s">
        <v>222</v>
      </c>
      <c r="H224" s="34" t="s">
        <v>21</v>
      </c>
      <c r="I224" s="34" t="s">
        <v>19</v>
      </c>
      <c r="J224" s="34" t="s">
        <v>223</v>
      </c>
      <c r="K224" s="34" t="s">
        <v>15</v>
      </c>
      <c r="L224">
        <v>-3.9420910979970354E-16</v>
      </c>
    </row>
    <row r="225" spans="1:12" x14ac:dyDescent="0.3">
      <c r="A225" s="34" t="s">
        <v>662</v>
      </c>
      <c r="B225">
        <v>-1</v>
      </c>
      <c r="C225">
        <v>2050</v>
      </c>
      <c r="D225" s="34" t="s">
        <v>338</v>
      </c>
      <c r="E225" s="34" t="s">
        <v>339</v>
      </c>
      <c r="F225" s="34" t="s">
        <v>611</v>
      </c>
      <c r="G225" s="34" t="s">
        <v>20</v>
      </c>
      <c r="H225" s="34" t="s">
        <v>21</v>
      </c>
      <c r="I225" s="34" t="s">
        <v>19</v>
      </c>
      <c r="J225" s="34" t="s">
        <v>22</v>
      </c>
      <c r="K225" s="34" t="s">
        <v>15</v>
      </c>
      <c r="L225">
        <v>8.2991391536779698E-17</v>
      </c>
    </row>
    <row r="226" spans="1:12" x14ac:dyDescent="0.3">
      <c r="A226" s="34" t="s">
        <v>662</v>
      </c>
      <c r="B226">
        <v>-1</v>
      </c>
      <c r="C226">
        <v>2050</v>
      </c>
      <c r="D226" s="34" t="s">
        <v>338</v>
      </c>
      <c r="E226" s="34" t="s">
        <v>339</v>
      </c>
      <c r="F226" s="34" t="s">
        <v>611</v>
      </c>
      <c r="G226" s="34" t="s">
        <v>30</v>
      </c>
      <c r="H226" s="34" t="s">
        <v>21</v>
      </c>
      <c r="I226" s="34" t="s">
        <v>19</v>
      </c>
      <c r="J226" s="34" t="s">
        <v>22</v>
      </c>
      <c r="K226" s="34" t="s">
        <v>15</v>
      </c>
      <c r="L226">
        <v>-6.2243543652584779E-17</v>
      </c>
    </row>
    <row r="227" spans="1:12" x14ac:dyDescent="0.3">
      <c r="A227" s="34" t="s">
        <v>662</v>
      </c>
      <c r="B227">
        <v>-1</v>
      </c>
      <c r="C227">
        <v>2050</v>
      </c>
      <c r="D227" s="34" t="s">
        <v>338</v>
      </c>
      <c r="E227" s="34" t="s">
        <v>339</v>
      </c>
      <c r="F227" s="34" t="s">
        <v>611</v>
      </c>
      <c r="G227" s="34" t="s">
        <v>644</v>
      </c>
      <c r="H227" s="34" t="s">
        <v>21</v>
      </c>
      <c r="I227" s="34" t="s">
        <v>19</v>
      </c>
      <c r="J227" s="34" t="s">
        <v>22</v>
      </c>
      <c r="K227" s="34" t="s">
        <v>15</v>
      </c>
      <c r="L227">
        <v>35.320540000000001</v>
      </c>
    </row>
    <row r="228" spans="1:12" x14ac:dyDescent="0.3">
      <c r="A228" s="34" t="s">
        <v>662</v>
      </c>
      <c r="B228">
        <v>-1</v>
      </c>
      <c r="C228">
        <v>2050</v>
      </c>
      <c r="D228" s="34" t="s">
        <v>338</v>
      </c>
      <c r="E228" s="34" t="s">
        <v>339</v>
      </c>
      <c r="F228" s="34" t="s">
        <v>611</v>
      </c>
      <c r="G228" s="34" t="s">
        <v>645</v>
      </c>
      <c r="H228" s="34" t="s">
        <v>23</v>
      </c>
      <c r="I228" s="34" t="s">
        <v>19</v>
      </c>
      <c r="J228" s="34" t="s">
        <v>24</v>
      </c>
      <c r="K228" s="34" t="s">
        <v>15</v>
      </c>
      <c r="L228">
        <v>14.417560466770826</v>
      </c>
    </row>
    <row r="229" spans="1:12" x14ac:dyDescent="0.3">
      <c r="A229" s="34" t="s">
        <v>662</v>
      </c>
      <c r="B229">
        <v>-1</v>
      </c>
      <c r="C229">
        <v>2050</v>
      </c>
      <c r="D229" s="34" t="s">
        <v>340</v>
      </c>
      <c r="E229" s="34" t="s">
        <v>399</v>
      </c>
      <c r="F229" s="34" t="s">
        <v>342</v>
      </c>
      <c r="G229" s="34" t="s">
        <v>28</v>
      </c>
      <c r="H229" s="34" t="s">
        <v>23</v>
      </c>
      <c r="I229" s="34" t="s">
        <v>19</v>
      </c>
      <c r="J229" s="34" t="s">
        <v>24</v>
      </c>
      <c r="K229" s="34" t="s">
        <v>15</v>
      </c>
      <c r="L229">
        <v>-7.4692252383101725E-16</v>
      </c>
    </row>
    <row r="230" spans="1:12" x14ac:dyDescent="0.3">
      <c r="A230" s="34" t="s">
        <v>662</v>
      </c>
      <c r="B230">
        <v>-1</v>
      </c>
      <c r="C230">
        <v>2050</v>
      </c>
      <c r="D230" s="34" t="s">
        <v>340</v>
      </c>
      <c r="E230" s="34" t="s">
        <v>399</v>
      </c>
      <c r="F230" s="34" t="s">
        <v>342</v>
      </c>
      <c r="G230" s="34" t="s">
        <v>31</v>
      </c>
      <c r="H230" s="34" t="s">
        <v>18</v>
      </c>
      <c r="I230" s="34" t="s">
        <v>19</v>
      </c>
      <c r="J230" s="34" t="s">
        <v>32</v>
      </c>
      <c r="K230" s="34" t="s">
        <v>15</v>
      </c>
      <c r="L230">
        <v>36.098900810145018</v>
      </c>
    </row>
    <row r="231" spans="1:12" x14ac:dyDescent="0.3">
      <c r="A231" s="34" t="s">
        <v>662</v>
      </c>
      <c r="B231">
        <v>-1</v>
      </c>
      <c r="C231">
        <v>2050</v>
      </c>
      <c r="D231" s="34" t="s">
        <v>340</v>
      </c>
      <c r="E231" s="34" t="s">
        <v>399</v>
      </c>
      <c r="F231" s="34" t="s">
        <v>342</v>
      </c>
      <c r="G231" s="34" t="s">
        <v>180</v>
      </c>
      <c r="H231" s="34" t="s">
        <v>18</v>
      </c>
      <c r="I231" s="34" t="s">
        <v>19</v>
      </c>
      <c r="J231" s="34" t="s">
        <v>181</v>
      </c>
      <c r="K231" s="34" t="s">
        <v>15</v>
      </c>
      <c r="L231">
        <v>25.385621770848967</v>
      </c>
    </row>
    <row r="232" spans="1:12" x14ac:dyDescent="0.3">
      <c r="A232" s="34" t="s">
        <v>662</v>
      </c>
      <c r="B232">
        <v>-1</v>
      </c>
      <c r="C232">
        <v>2050</v>
      </c>
      <c r="D232" s="34" t="s">
        <v>340</v>
      </c>
      <c r="E232" s="34" t="s">
        <v>399</v>
      </c>
      <c r="F232" s="34" t="s">
        <v>342</v>
      </c>
      <c r="G232" s="34" t="s">
        <v>253</v>
      </c>
      <c r="H232" s="34" t="s">
        <v>254</v>
      </c>
      <c r="I232" s="34" t="s">
        <v>19</v>
      </c>
      <c r="J232" s="34" t="s">
        <v>27</v>
      </c>
      <c r="K232" s="34" t="s">
        <v>15</v>
      </c>
      <c r="L232">
        <v>149.27677093345633</v>
      </c>
    </row>
    <row r="233" spans="1:12" x14ac:dyDescent="0.3">
      <c r="A233" s="34" t="s">
        <v>662</v>
      </c>
      <c r="B233">
        <v>-1</v>
      </c>
      <c r="C233">
        <v>2050</v>
      </c>
      <c r="D233" s="34" t="s">
        <v>340</v>
      </c>
      <c r="E233" s="34" t="s">
        <v>399</v>
      </c>
      <c r="F233" s="34" t="s">
        <v>342</v>
      </c>
      <c r="G233" s="34" t="s">
        <v>29</v>
      </c>
      <c r="H233" s="34" t="s">
        <v>21</v>
      </c>
      <c r="I233" s="34" t="s">
        <v>19</v>
      </c>
      <c r="J233" s="34" t="s">
        <v>22</v>
      </c>
      <c r="K233" s="34" t="s">
        <v>15</v>
      </c>
      <c r="L233">
        <v>1.5560885913146194E-15</v>
      </c>
    </row>
    <row r="234" spans="1:12" x14ac:dyDescent="0.3">
      <c r="A234" s="34" t="s">
        <v>662</v>
      </c>
      <c r="B234">
        <v>-1</v>
      </c>
      <c r="C234">
        <v>2050</v>
      </c>
      <c r="D234" s="34" t="s">
        <v>340</v>
      </c>
      <c r="E234" s="34" t="s">
        <v>399</v>
      </c>
      <c r="F234" s="34" t="s">
        <v>342</v>
      </c>
      <c r="G234" s="34" t="s">
        <v>20</v>
      </c>
      <c r="H234" s="34" t="s">
        <v>21</v>
      </c>
      <c r="I234" s="34" t="s">
        <v>19</v>
      </c>
      <c r="J234" s="34" t="s">
        <v>22</v>
      </c>
      <c r="K234" s="34" t="s">
        <v>15</v>
      </c>
      <c r="L234">
        <v>6.2243543652584774E-16</v>
      </c>
    </row>
    <row r="235" spans="1:12" x14ac:dyDescent="0.3">
      <c r="A235" s="34" t="s">
        <v>662</v>
      </c>
      <c r="B235">
        <v>-1</v>
      </c>
      <c r="C235">
        <v>2050</v>
      </c>
      <c r="D235" s="34" t="s">
        <v>340</v>
      </c>
      <c r="E235" s="34" t="s">
        <v>399</v>
      </c>
      <c r="F235" s="34" t="s">
        <v>342</v>
      </c>
      <c r="G235" s="34" t="s">
        <v>11</v>
      </c>
      <c r="H235" s="34" t="s">
        <v>12</v>
      </c>
      <c r="I235" s="34" t="s">
        <v>13</v>
      </c>
      <c r="J235" s="34" t="s">
        <v>14</v>
      </c>
      <c r="K235" s="34" t="s">
        <v>15</v>
      </c>
      <c r="L235">
        <v>18.608237091386432</v>
      </c>
    </row>
    <row r="236" spans="1:12" x14ac:dyDescent="0.3">
      <c r="A236" s="34" t="s">
        <v>662</v>
      </c>
      <c r="B236">
        <v>-1</v>
      </c>
      <c r="C236">
        <v>2050</v>
      </c>
      <c r="D236" s="34" t="s">
        <v>340</v>
      </c>
      <c r="E236" s="34" t="s">
        <v>399</v>
      </c>
      <c r="F236" s="34" t="s">
        <v>342</v>
      </c>
      <c r="G236" s="34" t="s">
        <v>16</v>
      </c>
      <c r="H236" s="34" t="s">
        <v>12</v>
      </c>
      <c r="I236" s="34" t="s">
        <v>13</v>
      </c>
      <c r="J236" s="34" t="s">
        <v>14</v>
      </c>
      <c r="K236" s="34" t="s">
        <v>15</v>
      </c>
      <c r="L236">
        <v>163.70483706581146</v>
      </c>
    </row>
    <row r="237" spans="1:12" x14ac:dyDescent="0.3">
      <c r="A237" s="34" t="s">
        <v>662</v>
      </c>
      <c r="B237">
        <v>-1</v>
      </c>
      <c r="C237">
        <v>2050</v>
      </c>
      <c r="D237" s="34" t="s">
        <v>340</v>
      </c>
      <c r="E237" s="34" t="s">
        <v>399</v>
      </c>
      <c r="F237" s="34" t="s">
        <v>342</v>
      </c>
      <c r="G237" s="34" t="s">
        <v>392</v>
      </c>
      <c r="H237" s="34" t="s">
        <v>13</v>
      </c>
      <c r="I237" s="34" t="s">
        <v>13</v>
      </c>
      <c r="J237" s="34" t="s">
        <v>17</v>
      </c>
      <c r="K237" s="34" t="s">
        <v>15</v>
      </c>
      <c r="L237">
        <v>61.841474149696232</v>
      </c>
    </row>
    <row r="238" spans="1:12" x14ac:dyDescent="0.3">
      <c r="A238" s="34" t="s">
        <v>662</v>
      </c>
      <c r="B238">
        <v>-1</v>
      </c>
      <c r="C238">
        <v>2050</v>
      </c>
      <c r="D238" s="34" t="s">
        <v>340</v>
      </c>
      <c r="E238" s="34" t="s">
        <v>399</v>
      </c>
      <c r="F238" s="34" t="s">
        <v>344</v>
      </c>
      <c r="G238" s="34" t="s">
        <v>222</v>
      </c>
      <c r="H238" s="34" t="s">
        <v>21</v>
      </c>
      <c r="I238" s="34" t="s">
        <v>19</v>
      </c>
      <c r="J238" s="34" t="s">
        <v>223</v>
      </c>
      <c r="K238" s="34" t="s">
        <v>15</v>
      </c>
      <c r="L238">
        <v>9.0434850939872913</v>
      </c>
    </row>
    <row r="239" spans="1:12" x14ac:dyDescent="0.3">
      <c r="A239" s="34" t="s">
        <v>662</v>
      </c>
      <c r="B239">
        <v>-1</v>
      </c>
      <c r="C239">
        <v>2050</v>
      </c>
      <c r="D239" s="34" t="s">
        <v>340</v>
      </c>
      <c r="E239" s="34" t="s">
        <v>399</v>
      </c>
      <c r="F239" s="34" t="s">
        <v>612</v>
      </c>
      <c r="G239" s="34" t="s">
        <v>644</v>
      </c>
      <c r="H239" s="34" t="s">
        <v>21</v>
      </c>
      <c r="I239" s="34" t="s">
        <v>19</v>
      </c>
      <c r="J239" s="34" t="s">
        <v>22</v>
      </c>
      <c r="K239" s="34" t="s">
        <v>15</v>
      </c>
      <c r="L239">
        <v>338.32501131703719</v>
      </c>
    </row>
    <row r="240" spans="1:12" x14ac:dyDescent="0.3">
      <c r="A240" s="34" t="s">
        <v>662</v>
      </c>
      <c r="B240">
        <v>-1</v>
      </c>
      <c r="C240">
        <v>2050</v>
      </c>
      <c r="D240" s="34" t="s">
        <v>340</v>
      </c>
      <c r="E240" s="34" t="s">
        <v>399</v>
      </c>
      <c r="F240" s="34" t="s">
        <v>612</v>
      </c>
      <c r="G240" s="34" t="s">
        <v>645</v>
      </c>
      <c r="H240" s="34" t="s">
        <v>23</v>
      </c>
      <c r="I240" s="34" t="s">
        <v>19</v>
      </c>
      <c r="J240" s="34" t="s">
        <v>24</v>
      </c>
      <c r="K240" s="34" t="s">
        <v>15</v>
      </c>
      <c r="L240">
        <v>185.017958283317</v>
      </c>
    </row>
    <row r="241" spans="1:12" x14ac:dyDescent="0.3">
      <c r="A241" s="34" t="s">
        <v>662</v>
      </c>
      <c r="B241">
        <v>-1</v>
      </c>
      <c r="C241">
        <v>2050</v>
      </c>
      <c r="D241" s="34" t="s">
        <v>340</v>
      </c>
      <c r="E241" s="34" t="s">
        <v>400</v>
      </c>
      <c r="F241" s="34" t="s">
        <v>613</v>
      </c>
      <c r="G241" s="34" t="s">
        <v>25</v>
      </c>
      <c r="H241" s="34" t="s">
        <v>26</v>
      </c>
      <c r="I241" s="34" t="s">
        <v>19</v>
      </c>
      <c r="J241" s="34" t="s">
        <v>27</v>
      </c>
      <c r="K241" s="34" t="s">
        <v>15</v>
      </c>
      <c r="L241">
        <v>7.0667219932844888E-2</v>
      </c>
    </row>
    <row r="242" spans="1:12" x14ac:dyDescent="0.3">
      <c r="A242" s="34" t="s">
        <v>662</v>
      </c>
      <c r="B242">
        <v>-1</v>
      </c>
      <c r="C242">
        <v>2050</v>
      </c>
      <c r="D242" s="34" t="s">
        <v>340</v>
      </c>
      <c r="E242" s="34" t="s">
        <v>400</v>
      </c>
      <c r="F242" s="34" t="s">
        <v>613</v>
      </c>
      <c r="G242" s="34" t="s">
        <v>16</v>
      </c>
      <c r="H242" s="34" t="s">
        <v>12</v>
      </c>
      <c r="I242" s="34" t="s">
        <v>13</v>
      </c>
      <c r="J242" s="34" t="s">
        <v>14</v>
      </c>
      <c r="K242" s="34" t="s">
        <v>15</v>
      </c>
      <c r="L242">
        <v>1.650338837137665</v>
      </c>
    </row>
    <row r="243" spans="1:12" x14ac:dyDescent="0.3">
      <c r="A243" s="34" t="s">
        <v>662</v>
      </c>
      <c r="B243">
        <v>-1</v>
      </c>
      <c r="C243">
        <v>2050</v>
      </c>
      <c r="D243" s="34" t="s">
        <v>340</v>
      </c>
      <c r="E243" s="34" t="s">
        <v>400</v>
      </c>
      <c r="F243" s="34" t="s">
        <v>613</v>
      </c>
      <c r="G243" s="34" t="s">
        <v>393</v>
      </c>
      <c r="H243" s="34" t="s">
        <v>13</v>
      </c>
      <c r="I243" s="34" t="s">
        <v>19</v>
      </c>
      <c r="J243" s="34" t="s">
        <v>391</v>
      </c>
      <c r="K243" s="34" t="s">
        <v>15</v>
      </c>
      <c r="L243">
        <v>1.0293163327227621</v>
      </c>
    </row>
    <row r="244" spans="1:12" x14ac:dyDescent="0.3">
      <c r="A244" s="34" t="s">
        <v>662</v>
      </c>
      <c r="B244">
        <v>-1</v>
      </c>
      <c r="C244">
        <v>2050</v>
      </c>
      <c r="D244" s="34" t="s">
        <v>340</v>
      </c>
      <c r="E244" s="34" t="s">
        <v>400</v>
      </c>
      <c r="F244" s="34" t="s">
        <v>613</v>
      </c>
      <c r="G244" s="34" t="s">
        <v>392</v>
      </c>
      <c r="H244" s="34" t="s">
        <v>13</v>
      </c>
      <c r="I244" s="34" t="s">
        <v>13</v>
      </c>
      <c r="J244" s="34" t="s">
        <v>17</v>
      </c>
      <c r="K244" s="34" t="s">
        <v>15</v>
      </c>
      <c r="L244">
        <v>1.6338354487662892</v>
      </c>
    </row>
    <row r="245" spans="1:12" x14ac:dyDescent="0.3">
      <c r="A245" s="34" t="s">
        <v>662</v>
      </c>
      <c r="B245">
        <v>-1</v>
      </c>
      <c r="C245">
        <v>2050</v>
      </c>
      <c r="D245" s="34" t="s">
        <v>340</v>
      </c>
      <c r="E245" s="34" t="s">
        <v>400</v>
      </c>
      <c r="F245" s="34" t="s">
        <v>613</v>
      </c>
      <c r="G245" s="34" t="s">
        <v>644</v>
      </c>
      <c r="H245" s="34" t="s">
        <v>21</v>
      </c>
      <c r="I245" s="34" t="s">
        <v>19</v>
      </c>
      <c r="J245" s="34" t="s">
        <v>22</v>
      </c>
      <c r="K245" s="34" t="s">
        <v>15</v>
      </c>
      <c r="L245">
        <v>1.3390296195555431</v>
      </c>
    </row>
    <row r="246" spans="1:12" x14ac:dyDescent="0.3">
      <c r="A246" s="34" t="s">
        <v>662</v>
      </c>
      <c r="B246">
        <v>-1</v>
      </c>
      <c r="C246">
        <v>2050</v>
      </c>
      <c r="D246" s="34" t="s">
        <v>340</v>
      </c>
      <c r="E246" s="34" t="s">
        <v>400</v>
      </c>
      <c r="F246" s="34" t="s">
        <v>613</v>
      </c>
      <c r="G246" s="34" t="s">
        <v>645</v>
      </c>
      <c r="H246" s="34" t="s">
        <v>23</v>
      </c>
      <c r="I246" s="34" t="s">
        <v>19</v>
      </c>
      <c r="J246" s="34" t="s">
        <v>24</v>
      </c>
      <c r="K246" s="34" t="s">
        <v>15</v>
      </c>
      <c r="L246">
        <v>3.7157695660064038</v>
      </c>
    </row>
    <row r="247" spans="1:12" x14ac:dyDescent="0.3">
      <c r="A247" s="34" t="s">
        <v>662</v>
      </c>
      <c r="B247">
        <v>-1</v>
      </c>
      <c r="C247">
        <v>2050</v>
      </c>
      <c r="D247" s="34" t="s">
        <v>346</v>
      </c>
      <c r="E247" s="34" t="s">
        <v>401</v>
      </c>
      <c r="F247" s="34" t="s">
        <v>614</v>
      </c>
      <c r="G247" s="34" t="s">
        <v>43</v>
      </c>
      <c r="H247" s="34" t="s">
        <v>40</v>
      </c>
      <c r="I247" s="34" t="s">
        <v>19</v>
      </c>
      <c r="J247" s="34" t="s">
        <v>27</v>
      </c>
      <c r="K247" s="34" t="s">
        <v>15</v>
      </c>
      <c r="L247">
        <v>-1.659827830735594E-16</v>
      </c>
    </row>
    <row r="248" spans="1:12" x14ac:dyDescent="0.3">
      <c r="A248" s="34" t="s">
        <v>662</v>
      </c>
      <c r="B248">
        <v>-1</v>
      </c>
      <c r="C248">
        <v>2050</v>
      </c>
      <c r="D248" s="34" t="s">
        <v>346</v>
      </c>
      <c r="E248" s="34" t="s">
        <v>401</v>
      </c>
      <c r="F248" s="34" t="s">
        <v>614</v>
      </c>
      <c r="G248" s="34" t="s">
        <v>28</v>
      </c>
      <c r="H248" s="34" t="s">
        <v>23</v>
      </c>
      <c r="I248" s="34" t="s">
        <v>19</v>
      </c>
      <c r="J248" s="34" t="s">
        <v>24</v>
      </c>
      <c r="K248" s="34" t="s">
        <v>15</v>
      </c>
      <c r="L248">
        <v>-6.4318328441004261E-16</v>
      </c>
    </row>
    <row r="249" spans="1:12" x14ac:dyDescent="0.3">
      <c r="A249" s="34" t="s">
        <v>662</v>
      </c>
      <c r="B249">
        <v>-1</v>
      </c>
      <c r="C249">
        <v>2050</v>
      </c>
      <c r="D249" s="34" t="s">
        <v>346</v>
      </c>
      <c r="E249" s="34" t="s">
        <v>401</v>
      </c>
      <c r="F249" s="34" t="s">
        <v>614</v>
      </c>
      <c r="G249" s="34" t="s">
        <v>31</v>
      </c>
      <c r="H249" s="34" t="s">
        <v>18</v>
      </c>
      <c r="I249" s="34" t="s">
        <v>19</v>
      </c>
      <c r="J249" s="34" t="s">
        <v>32</v>
      </c>
      <c r="K249" s="34" t="s">
        <v>15</v>
      </c>
      <c r="L249">
        <v>0.83051241360493477</v>
      </c>
    </row>
    <row r="250" spans="1:12" x14ac:dyDescent="0.3">
      <c r="A250" s="34" t="s">
        <v>662</v>
      </c>
      <c r="B250">
        <v>-1</v>
      </c>
      <c r="C250">
        <v>2050</v>
      </c>
      <c r="D250" s="34" t="s">
        <v>346</v>
      </c>
      <c r="E250" s="34" t="s">
        <v>401</v>
      </c>
      <c r="F250" s="34" t="s">
        <v>614</v>
      </c>
      <c r="G250" s="34" t="s">
        <v>185</v>
      </c>
      <c r="H250" s="34" t="s">
        <v>18</v>
      </c>
      <c r="I250" s="34" t="s">
        <v>19</v>
      </c>
      <c r="J250" s="34" t="s">
        <v>32</v>
      </c>
      <c r="K250" s="34" t="s">
        <v>15</v>
      </c>
      <c r="L250">
        <v>0.42820997318170501</v>
      </c>
    </row>
    <row r="251" spans="1:12" x14ac:dyDescent="0.3">
      <c r="A251" s="34" t="s">
        <v>662</v>
      </c>
      <c r="B251">
        <v>-1</v>
      </c>
      <c r="C251">
        <v>2050</v>
      </c>
      <c r="D251" s="34" t="s">
        <v>346</v>
      </c>
      <c r="E251" s="34" t="s">
        <v>401</v>
      </c>
      <c r="F251" s="34" t="s">
        <v>614</v>
      </c>
      <c r="G251" s="34" t="s">
        <v>180</v>
      </c>
      <c r="H251" s="34" t="s">
        <v>18</v>
      </c>
      <c r="I251" s="34" t="s">
        <v>19</v>
      </c>
      <c r="J251" s="34" t="s">
        <v>181</v>
      </c>
      <c r="K251" s="34" t="s">
        <v>15</v>
      </c>
      <c r="L251">
        <v>2.7661081145595015</v>
      </c>
    </row>
    <row r="252" spans="1:12" x14ac:dyDescent="0.3">
      <c r="A252" s="34" t="s">
        <v>662</v>
      </c>
      <c r="B252">
        <v>-1</v>
      </c>
      <c r="C252">
        <v>2050</v>
      </c>
      <c r="D252" s="34" t="s">
        <v>346</v>
      </c>
      <c r="E252" s="34" t="s">
        <v>401</v>
      </c>
      <c r="F252" s="34" t="s">
        <v>614</v>
      </c>
      <c r="G252" s="34" t="s">
        <v>20</v>
      </c>
      <c r="H252" s="34" t="s">
        <v>21</v>
      </c>
      <c r="I252" s="34" t="s">
        <v>19</v>
      </c>
      <c r="J252" s="34" t="s">
        <v>22</v>
      </c>
      <c r="K252" s="34" t="s">
        <v>15</v>
      </c>
      <c r="L252">
        <v>7.0542682806262742E-16</v>
      </c>
    </row>
    <row r="253" spans="1:12" x14ac:dyDescent="0.3">
      <c r="A253" s="34" t="s">
        <v>662</v>
      </c>
      <c r="B253">
        <v>-1</v>
      </c>
      <c r="C253">
        <v>2050</v>
      </c>
      <c r="D253" s="34" t="s">
        <v>346</v>
      </c>
      <c r="E253" s="34" t="s">
        <v>401</v>
      </c>
      <c r="F253" s="34" t="s">
        <v>614</v>
      </c>
      <c r="G253" s="34" t="s">
        <v>11</v>
      </c>
      <c r="H253" s="34" t="s">
        <v>12</v>
      </c>
      <c r="I253" s="34" t="s">
        <v>13</v>
      </c>
      <c r="J253" s="34" t="s">
        <v>14</v>
      </c>
      <c r="K253" s="34" t="s">
        <v>15</v>
      </c>
      <c r="L253">
        <v>0.77060300790000014</v>
      </c>
    </row>
    <row r="254" spans="1:12" x14ac:dyDescent="0.3">
      <c r="A254" s="34" t="s">
        <v>662</v>
      </c>
      <c r="B254">
        <v>-1</v>
      </c>
      <c r="C254">
        <v>2050</v>
      </c>
      <c r="D254" s="34" t="s">
        <v>346</v>
      </c>
      <c r="E254" s="34" t="s">
        <v>401</v>
      </c>
      <c r="F254" s="34" t="s">
        <v>614</v>
      </c>
      <c r="G254" s="34" t="s">
        <v>644</v>
      </c>
      <c r="H254" s="34" t="s">
        <v>21</v>
      </c>
      <c r="I254" s="34" t="s">
        <v>19</v>
      </c>
      <c r="J254" s="34" t="s">
        <v>22</v>
      </c>
      <c r="K254" s="34" t="s">
        <v>15</v>
      </c>
      <c r="L254">
        <v>3.4963598572406072E-2</v>
      </c>
    </row>
    <row r="255" spans="1:12" x14ac:dyDescent="0.3">
      <c r="A255" s="34" t="s">
        <v>662</v>
      </c>
      <c r="B255">
        <v>-1</v>
      </c>
      <c r="C255">
        <v>2050</v>
      </c>
      <c r="D255" s="34" t="s">
        <v>346</v>
      </c>
      <c r="E255" s="34" t="s">
        <v>401</v>
      </c>
      <c r="F255" s="34" t="s">
        <v>614</v>
      </c>
      <c r="G255" s="34" t="s">
        <v>645</v>
      </c>
      <c r="H255" s="34" t="s">
        <v>23</v>
      </c>
      <c r="I255" s="34" t="s">
        <v>19</v>
      </c>
      <c r="J255" s="34" t="s">
        <v>24</v>
      </c>
      <c r="K255" s="34" t="s">
        <v>15</v>
      </c>
      <c r="L255">
        <v>6.5700820453631996</v>
      </c>
    </row>
    <row r="256" spans="1:12" x14ac:dyDescent="0.3">
      <c r="A256" s="34" t="s">
        <v>662</v>
      </c>
      <c r="B256">
        <v>-1</v>
      </c>
      <c r="C256">
        <v>2050</v>
      </c>
      <c r="D256" s="34" t="s">
        <v>346</v>
      </c>
      <c r="E256" s="34" t="s">
        <v>402</v>
      </c>
      <c r="F256" s="34" t="s">
        <v>615</v>
      </c>
      <c r="G256" s="34" t="s">
        <v>44</v>
      </c>
      <c r="H256" s="34" t="s">
        <v>45</v>
      </c>
      <c r="I256" s="34" t="s">
        <v>19</v>
      </c>
      <c r="J256" s="34" t="s">
        <v>27</v>
      </c>
      <c r="K256" s="34" t="s">
        <v>15</v>
      </c>
      <c r="L256">
        <v>-1.8673063095775431E-15</v>
      </c>
    </row>
    <row r="257" spans="1:12" x14ac:dyDescent="0.3">
      <c r="A257" s="34" t="s">
        <v>662</v>
      </c>
      <c r="B257">
        <v>-1</v>
      </c>
      <c r="C257">
        <v>2050</v>
      </c>
      <c r="D257" s="34" t="s">
        <v>346</v>
      </c>
      <c r="E257" s="34" t="s">
        <v>402</v>
      </c>
      <c r="F257" s="34" t="s">
        <v>615</v>
      </c>
      <c r="G257" s="34" t="s">
        <v>28</v>
      </c>
      <c r="H257" s="34" t="s">
        <v>23</v>
      </c>
      <c r="I257" s="34" t="s">
        <v>19</v>
      </c>
      <c r="J257" s="34" t="s">
        <v>24</v>
      </c>
      <c r="K257" s="34" t="s">
        <v>15</v>
      </c>
      <c r="L257">
        <v>-1.2448708730516956E-16</v>
      </c>
    </row>
    <row r="258" spans="1:12" x14ac:dyDescent="0.3">
      <c r="A258" s="34" t="s">
        <v>662</v>
      </c>
      <c r="B258">
        <v>-1</v>
      </c>
      <c r="C258">
        <v>2050</v>
      </c>
      <c r="D258" s="34" t="s">
        <v>346</v>
      </c>
      <c r="E258" s="34" t="s">
        <v>402</v>
      </c>
      <c r="F258" s="34" t="s">
        <v>615</v>
      </c>
      <c r="G258" s="34" t="s">
        <v>31</v>
      </c>
      <c r="H258" s="34" t="s">
        <v>18</v>
      </c>
      <c r="I258" s="34" t="s">
        <v>19</v>
      </c>
      <c r="J258" s="34" t="s">
        <v>32</v>
      </c>
      <c r="K258" s="34" t="s">
        <v>15</v>
      </c>
      <c r="L258">
        <v>0.4880657941961361</v>
      </c>
    </row>
    <row r="259" spans="1:12" x14ac:dyDescent="0.3">
      <c r="A259" s="34" t="s">
        <v>662</v>
      </c>
      <c r="B259">
        <v>-1</v>
      </c>
      <c r="C259">
        <v>2050</v>
      </c>
      <c r="D259" s="34" t="s">
        <v>346</v>
      </c>
      <c r="E259" s="34" t="s">
        <v>402</v>
      </c>
      <c r="F259" s="34" t="s">
        <v>615</v>
      </c>
      <c r="G259" s="34" t="s">
        <v>185</v>
      </c>
      <c r="H259" s="34" t="s">
        <v>18</v>
      </c>
      <c r="I259" s="34" t="s">
        <v>19</v>
      </c>
      <c r="J259" s="34" t="s">
        <v>32</v>
      </c>
      <c r="K259" s="34" t="s">
        <v>15</v>
      </c>
      <c r="L259">
        <v>0.25164541458985507</v>
      </c>
    </row>
    <row r="260" spans="1:12" x14ac:dyDescent="0.3">
      <c r="A260" s="34" t="s">
        <v>662</v>
      </c>
      <c r="B260">
        <v>-1</v>
      </c>
      <c r="C260">
        <v>2050</v>
      </c>
      <c r="D260" s="34" t="s">
        <v>346</v>
      </c>
      <c r="E260" s="34" t="s">
        <v>402</v>
      </c>
      <c r="F260" s="34" t="s">
        <v>615</v>
      </c>
      <c r="G260" s="34" t="s">
        <v>180</v>
      </c>
      <c r="H260" s="34" t="s">
        <v>18</v>
      </c>
      <c r="I260" s="34" t="s">
        <v>19</v>
      </c>
      <c r="J260" s="34" t="s">
        <v>181</v>
      </c>
      <c r="K260" s="34" t="s">
        <v>15</v>
      </c>
      <c r="L260">
        <v>1.6255539732450739</v>
      </c>
    </row>
    <row r="261" spans="1:12" x14ac:dyDescent="0.3">
      <c r="A261" s="34" t="s">
        <v>662</v>
      </c>
      <c r="B261">
        <v>-1</v>
      </c>
      <c r="C261">
        <v>2050</v>
      </c>
      <c r="D261" s="34" t="s">
        <v>346</v>
      </c>
      <c r="E261" s="34" t="s">
        <v>402</v>
      </c>
      <c r="F261" s="34" t="s">
        <v>615</v>
      </c>
      <c r="G261" s="34" t="s">
        <v>11</v>
      </c>
      <c r="H261" s="34" t="s">
        <v>12</v>
      </c>
      <c r="I261" s="34" t="s">
        <v>13</v>
      </c>
      <c r="J261" s="34" t="s">
        <v>14</v>
      </c>
      <c r="K261" s="34" t="s">
        <v>15</v>
      </c>
      <c r="L261">
        <v>0.61634040303694548</v>
      </c>
    </row>
    <row r="262" spans="1:12" x14ac:dyDescent="0.3">
      <c r="A262" s="34" t="s">
        <v>662</v>
      </c>
      <c r="B262">
        <v>-1</v>
      </c>
      <c r="C262">
        <v>2050</v>
      </c>
      <c r="D262" s="34" t="s">
        <v>346</v>
      </c>
      <c r="E262" s="34" t="s">
        <v>402</v>
      </c>
      <c r="F262" s="34" t="s">
        <v>615</v>
      </c>
      <c r="G262" s="34" t="s">
        <v>645</v>
      </c>
      <c r="H262" s="34" t="s">
        <v>23</v>
      </c>
      <c r="I262" s="34" t="s">
        <v>19</v>
      </c>
      <c r="J262" s="34" t="s">
        <v>24</v>
      </c>
      <c r="K262" s="34" t="s">
        <v>15</v>
      </c>
      <c r="L262">
        <v>4.9396620318155593</v>
      </c>
    </row>
    <row r="263" spans="1:12" x14ac:dyDescent="0.3">
      <c r="A263" s="34" t="s">
        <v>662</v>
      </c>
      <c r="B263">
        <v>-1</v>
      </c>
      <c r="C263">
        <v>2050</v>
      </c>
      <c r="D263" s="34" t="s">
        <v>346</v>
      </c>
      <c r="E263" s="34" t="s">
        <v>403</v>
      </c>
      <c r="F263" s="34" t="s">
        <v>616</v>
      </c>
      <c r="G263" s="34" t="s">
        <v>28</v>
      </c>
      <c r="H263" s="34" t="s">
        <v>23</v>
      </c>
      <c r="I263" s="34" t="s">
        <v>19</v>
      </c>
      <c r="J263" s="34" t="s">
        <v>24</v>
      </c>
      <c r="K263" s="34" t="s">
        <v>15</v>
      </c>
      <c r="L263">
        <v>5.3944404498906807E-16</v>
      </c>
    </row>
    <row r="264" spans="1:12" x14ac:dyDescent="0.3">
      <c r="A264" s="34" t="s">
        <v>662</v>
      </c>
      <c r="B264">
        <v>-1</v>
      </c>
      <c r="C264">
        <v>2050</v>
      </c>
      <c r="D264" s="34" t="s">
        <v>346</v>
      </c>
      <c r="E264" s="34" t="s">
        <v>403</v>
      </c>
      <c r="F264" s="34" t="s">
        <v>616</v>
      </c>
      <c r="G264" s="34" t="s">
        <v>31</v>
      </c>
      <c r="H264" s="34" t="s">
        <v>18</v>
      </c>
      <c r="I264" s="34" t="s">
        <v>19</v>
      </c>
      <c r="J264" s="34" t="s">
        <v>32</v>
      </c>
      <c r="K264" s="34" t="s">
        <v>15</v>
      </c>
      <c r="L264">
        <v>2.5213741115393224</v>
      </c>
    </row>
    <row r="265" spans="1:12" x14ac:dyDescent="0.3">
      <c r="A265" s="34" t="s">
        <v>662</v>
      </c>
      <c r="B265">
        <v>-1</v>
      </c>
      <c r="C265">
        <v>2050</v>
      </c>
      <c r="D265" s="34" t="s">
        <v>346</v>
      </c>
      <c r="E265" s="34" t="s">
        <v>403</v>
      </c>
      <c r="F265" s="34" t="s">
        <v>616</v>
      </c>
      <c r="G265" s="34" t="s">
        <v>185</v>
      </c>
      <c r="H265" s="34" t="s">
        <v>18</v>
      </c>
      <c r="I265" s="34" t="s">
        <v>19</v>
      </c>
      <c r="J265" s="34" t="s">
        <v>32</v>
      </c>
      <c r="K265" s="34" t="s">
        <v>15</v>
      </c>
      <c r="L265">
        <v>1.4578344422965399</v>
      </c>
    </row>
    <row r="266" spans="1:12" x14ac:dyDescent="0.3">
      <c r="A266" s="34" t="s">
        <v>662</v>
      </c>
      <c r="B266">
        <v>-1</v>
      </c>
      <c r="C266">
        <v>2050</v>
      </c>
      <c r="D266" s="34" t="s">
        <v>346</v>
      </c>
      <c r="E266" s="34" t="s">
        <v>403</v>
      </c>
      <c r="F266" s="34" t="s">
        <v>616</v>
      </c>
      <c r="G266" s="34" t="s">
        <v>180</v>
      </c>
      <c r="H266" s="34" t="s">
        <v>18</v>
      </c>
      <c r="I266" s="34" t="s">
        <v>19</v>
      </c>
      <c r="J266" s="34" t="s">
        <v>181</v>
      </c>
      <c r="K266" s="34" t="s">
        <v>15</v>
      </c>
      <c r="L266">
        <v>8.5860950317402693</v>
      </c>
    </row>
    <row r="267" spans="1:12" x14ac:dyDescent="0.3">
      <c r="A267" s="34" t="s">
        <v>662</v>
      </c>
      <c r="B267">
        <v>-1</v>
      </c>
      <c r="C267">
        <v>2050</v>
      </c>
      <c r="D267" s="34" t="s">
        <v>346</v>
      </c>
      <c r="E267" s="34" t="s">
        <v>403</v>
      </c>
      <c r="F267" s="34" t="s">
        <v>616</v>
      </c>
      <c r="G267" s="34" t="s">
        <v>20</v>
      </c>
      <c r="H267" s="34" t="s">
        <v>21</v>
      </c>
      <c r="I267" s="34" t="s">
        <v>19</v>
      </c>
      <c r="J267" s="34" t="s">
        <v>22</v>
      </c>
      <c r="K267" s="34" t="s">
        <v>15</v>
      </c>
      <c r="L267">
        <v>5.9131366469955539E-16</v>
      </c>
    </row>
    <row r="268" spans="1:12" x14ac:dyDescent="0.3">
      <c r="A268" s="34" t="s">
        <v>662</v>
      </c>
      <c r="B268">
        <v>-1</v>
      </c>
      <c r="C268">
        <v>2050</v>
      </c>
      <c r="D268" s="34" t="s">
        <v>346</v>
      </c>
      <c r="E268" s="34" t="s">
        <v>403</v>
      </c>
      <c r="F268" s="34" t="s">
        <v>616</v>
      </c>
      <c r="G268" s="34" t="s">
        <v>11</v>
      </c>
      <c r="H268" s="34" t="s">
        <v>12</v>
      </c>
      <c r="I268" s="34" t="s">
        <v>13</v>
      </c>
      <c r="J268" s="34" t="s">
        <v>14</v>
      </c>
      <c r="K268" s="34" t="s">
        <v>15</v>
      </c>
      <c r="L268">
        <v>1.457178804195667</v>
      </c>
    </row>
    <row r="269" spans="1:12" x14ac:dyDescent="0.3">
      <c r="A269" s="34" t="s">
        <v>662</v>
      </c>
      <c r="B269">
        <v>-1</v>
      </c>
      <c r="C269">
        <v>2050</v>
      </c>
      <c r="D269" s="34" t="s">
        <v>346</v>
      </c>
      <c r="E269" s="34" t="s">
        <v>403</v>
      </c>
      <c r="F269" s="34" t="s">
        <v>616</v>
      </c>
      <c r="G269" s="34" t="s">
        <v>645</v>
      </c>
      <c r="H269" s="34" t="s">
        <v>23</v>
      </c>
      <c r="I269" s="34" t="s">
        <v>19</v>
      </c>
      <c r="J269" s="34" t="s">
        <v>24</v>
      </c>
      <c r="K269" s="34" t="s">
        <v>15</v>
      </c>
      <c r="L269">
        <v>23.847923927493493</v>
      </c>
    </row>
    <row r="270" spans="1:12" x14ac:dyDescent="0.3">
      <c r="A270" s="34" t="s">
        <v>662</v>
      </c>
      <c r="B270">
        <v>-1</v>
      </c>
      <c r="C270">
        <v>2050</v>
      </c>
      <c r="D270" s="34" t="s">
        <v>346</v>
      </c>
      <c r="E270" s="34" t="s">
        <v>404</v>
      </c>
      <c r="F270" s="34" t="s">
        <v>617</v>
      </c>
      <c r="G270" s="34" t="s">
        <v>43</v>
      </c>
      <c r="H270" s="34" t="s">
        <v>40</v>
      </c>
      <c r="I270" s="34" t="s">
        <v>19</v>
      </c>
      <c r="J270" s="34" t="s">
        <v>27</v>
      </c>
      <c r="K270" s="34" t="s">
        <v>15</v>
      </c>
      <c r="L270">
        <v>2.6557245291769503E-15</v>
      </c>
    </row>
    <row r="271" spans="1:12" x14ac:dyDescent="0.3">
      <c r="A271" s="34" t="s">
        <v>662</v>
      </c>
      <c r="B271">
        <v>-1</v>
      </c>
      <c r="C271">
        <v>2050</v>
      </c>
      <c r="D271" s="34" t="s">
        <v>346</v>
      </c>
      <c r="E271" s="34" t="s">
        <v>404</v>
      </c>
      <c r="F271" s="34" t="s">
        <v>617</v>
      </c>
      <c r="G271" s="34" t="s">
        <v>28</v>
      </c>
      <c r="H271" s="34" t="s">
        <v>23</v>
      </c>
      <c r="I271" s="34" t="s">
        <v>19</v>
      </c>
      <c r="J271" s="34" t="s">
        <v>24</v>
      </c>
      <c r="K271" s="34" t="s">
        <v>15</v>
      </c>
      <c r="L271">
        <v>6.4007110722741342E-15</v>
      </c>
    </row>
    <row r="272" spans="1:12" x14ac:dyDescent="0.3">
      <c r="A272" s="34" t="s">
        <v>662</v>
      </c>
      <c r="B272">
        <v>-1</v>
      </c>
      <c r="C272">
        <v>2050</v>
      </c>
      <c r="D272" s="34" t="s">
        <v>346</v>
      </c>
      <c r="E272" s="34" t="s">
        <v>404</v>
      </c>
      <c r="F272" s="34" t="s">
        <v>617</v>
      </c>
      <c r="G272" s="34" t="s">
        <v>31</v>
      </c>
      <c r="H272" s="34" t="s">
        <v>18</v>
      </c>
      <c r="I272" s="34" t="s">
        <v>19</v>
      </c>
      <c r="J272" s="34" t="s">
        <v>32</v>
      </c>
      <c r="K272" s="34" t="s">
        <v>15</v>
      </c>
      <c r="L272">
        <v>13.695031332904435</v>
      </c>
    </row>
    <row r="273" spans="1:12" x14ac:dyDescent="0.3">
      <c r="A273" s="34" t="s">
        <v>662</v>
      </c>
      <c r="B273">
        <v>-1</v>
      </c>
      <c r="C273">
        <v>2050</v>
      </c>
      <c r="D273" s="34" t="s">
        <v>346</v>
      </c>
      <c r="E273" s="34" t="s">
        <v>404</v>
      </c>
      <c r="F273" s="34" t="s">
        <v>617</v>
      </c>
      <c r="G273" s="34" t="s">
        <v>185</v>
      </c>
      <c r="H273" s="34" t="s">
        <v>18</v>
      </c>
      <c r="I273" s="34" t="s">
        <v>19</v>
      </c>
      <c r="J273" s="34" t="s">
        <v>32</v>
      </c>
      <c r="K273" s="34" t="s">
        <v>15</v>
      </c>
      <c r="L273">
        <v>7.1789512925859329</v>
      </c>
    </row>
    <row r="274" spans="1:12" x14ac:dyDescent="0.3">
      <c r="A274" s="34" t="s">
        <v>662</v>
      </c>
      <c r="B274">
        <v>-1</v>
      </c>
      <c r="C274">
        <v>2050</v>
      </c>
      <c r="D274" s="34" t="s">
        <v>346</v>
      </c>
      <c r="E274" s="34" t="s">
        <v>404</v>
      </c>
      <c r="F274" s="34" t="s">
        <v>617</v>
      </c>
      <c r="G274" s="34" t="s">
        <v>180</v>
      </c>
      <c r="H274" s="34" t="s">
        <v>18</v>
      </c>
      <c r="I274" s="34" t="s">
        <v>19</v>
      </c>
      <c r="J274" s="34" t="s">
        <v>181</v>
      </c>
      <c r="K274" s="34" t="s">
        <v>15</v>
      </c>
      <c r="L274">
        <v>44.828031032202986</v>
      </c>
    </row>
    <row r="275" spans="1:12" x14ac:dyDescent="0.3">
      <c r="A275" s="34" t="s">
        <v>662</v>
      </c>
      <c r="B275">
        <v>-1</v>
      </c>
      <c r="C275">
        <v>2050</v>
      </c>
      <c r="D275" s="34" t="s">
        <v>346</v>
      </c>
      <c r="E275" s="34" t="s">
        <v>404</v>
      </c>
      <c r="F275" s="34" t="s">
        <v>617</v>
      </c>
      <c r="G275" s="34" t="s">
        <v>52</v>
      </c>
      <c r="H275" s="34" t="s">
        <v>53</v>
      </c>
      <c r="I275" s="34" t="s">
        <v>19</v>
      </c>
      <c r="J275" s="34" t="s">
        <v>27</v>
      </c>
      <c r="K275" s="34" t="s">
        <v>15</v>
      </c>
      <c r="L275">
        <v>4.1495695768389849E-17</v>
      </c>
    </row>
    <row r="276" spans="1:12" x14ac:dyDescent="0.3">
      <c r="A276" s="34" t="s">
        <v>662</v>
      </c>
      <c r="B276">
        <v>-1</v>
      </c>
      <c r="C276">
        <v>2050</v>
      </c>
      <c r="D276" s="34" t="s">
        <v>346</v>
      </c>
      <c r="E276" s="34" t="s">
        <v>404</v>
      </c>
      <c r="F276" s="34" t="s">
        <v>617</v>
      </c>
      <c r="G276" s="34" t="s">
        <v>11</v>
      </c>
      <c r="H276" s="34" t="s">
        <v>12</v>
      </c>
      <c r="I276" s="34" t="s">
        <v>13</v>
      </c>
      <c r="J276" s="34" t="s">
        <v>14</v>
      </c>
      <c r="K276" s="34" t="s">
        <v>15</v>
      </c>
      <c r="L276">
        <v>6.5845204428918063</v>
      </c>
    </row>
    <row r="277" spans="1:12" x14ac:dyDescent="0.3">
      <c r="A277" s="34" t="s">
        <v>662</v>
      </c>
      <c r="B277">
        <v>-1</v>
      </c>
      <c r="C277">
        <v>2050</v>
      </c>
      <c r="D277" s="34" t="s">
        <v>346</v>
      </c>
      <c r="E277" s="34" t="s">
        <v>404</v>
      </c>
      <c r="F277" s="34" t="s">
        <v>617</v>
      </c>
      <c r="G277" s="34" t="s">
        <v>16</v>
      </c>
      <c r="H277" s="34" t="s">
        <v>12</v>
      </c>
      <c r="I277" s="34" t="s">
        <v>13</v>
      </c>
      <c r="J277" s="34" t="s">
        <v>14</v>
      </c>
      <c r="K277" s="34" t="s">
        <v>15</v>
      </c>
      <c r="L277">
        <v>2.0232774771417361</v>
      </c>
    </row>
    <row r="278" spans="1:12" x14ac:dyDescent="0.3">
      <c r="A278" s="34" t="s">
        <v>662</v>
      </c>
      <c r="B278">
        <v>-1</v>
      </c>
      <c r="C278">
        <v>2050</v>
      </c>
      <c r="D278" s="34" t="s">
        <v>346</v>
      </c>
      <c r="E278" s="34" t="s">
        <v>404</v>
      </c>
      <c r="F278" s="34" t="s">
        <v>617</v>
      </c>
      <c r="G278" s="34" t="s">
        <v>645</v>
      </c>
      <c r="H278" s="34" t="s">
        <v>23</v>
      </c>
      <c r="I278" s="34" t="s">
        <v>19</v>
      </c>
      <c r="J278" s="34" t="s">
        <v>24</v>
      </c>
      <c r="K278" s="34" t="s">
        <v>15</v>
      </c>
      <c r="L278">
        <v>88.048869158092359</v>
      </c>
    </row>
    <row r="279" spans="1:12" x14ac:dyDescent="0.3">
      <c r="A279" s="34" t="s">
        <v>662</v>
      </c>
      <c r="B279">
        <v>-1</v>
      </c>
      <c r="C279">
        <v>2050</v>
      </c>
      <c r="D279" s="34" t="s">
        <v>346</v>
      </c>
      <c r="E279" s="34" t="s">
        <v>405</v>
      </c>
      <c r="F279" s="34" t="s">
        <v>618</v>
      </c>
      <c r="G279" s="34" t="s">
        <v>43</v>
      </c>
      <c r="H279" s="34" t="s">
        <v>40</v>
      </c>
      <c r="I279" s="34" t="s">
        <v>19</v>
      </c>
      <c r="J279" s="34" t="s">
        <v>27</v>
      </c>
      <c r="K279" s="34" t="s">
        <v>15</v>
      </c>
      <c r="L279">
        <v>-1.659827830735594E-16</v>
      </c>
    </row>
    <row r="280" spans="1:12" x14ac:dyDescent="0.3">
      <c r="A280" s="34" t="s">
        <v>662</v>
      </c>
      <c r="B280">
        <v>-1</v>
      </c>
      <c r="C280">
        <v>2050</v>
      </c>
      <c r="D280" s="34" t="s">
        <v>346</v>
      </c>
      <c r="E280" s="34" t="s">
        <v>405</v>
      </c>
      <c r="F280" s="34" t="s">
        <v>618</v>
      </c>
      <c r="G280" s="34" t="s">
        <v>28</v>
      </c>
      <c r="H280" s="34" t="s">
        <v>23</v>
      </c>
      <c r="I280" s="34" t="s">
        <v>19</v>
      </c>
      <c r="J280" s="34" t="s">
        <v>24</v>
      </c>
      <c r="K280" s="34" t="s">
        <v>15</v>
      </c>
      <c r="L280">
        <v>-7.8841821959940709E-16</v>
      </c>
    </row>
    <row r="281" spans="1:12" x14ac:dyDescent="0.3">
      <c r="A281" s="34" t="s">
        <v>662</v>
      </c>
      <c r="B281">
        <v>-1</v>
      </c>
      <c r="C281">
        <v>2050</v>
      </c>
      <c r="D281" s="34" t="s">
        <v>346</v>
      </c>
      <c r="E281" s="34" t="s">
        <v>405</v>
      </c>
      <c r="F281" s="34" t="s">
        <v>618</v>
      </c>
      <c r="G281" s="34" t="s">
        <v>31</v>
      </c>
      <c r="H281" s="34" t="s">
        <v>18</v>
      </c>
      <c r="I281" s="34" t="s">
        <v>19</v>
      </c>
      <c r="J281" s="34" t="s">
        <v>32</v>
      </c>
      <c r="K281" s="34" t="s">
        <v>15</v>
      </c>
      <c r="L281">
        <v>0.20532738876183304</v>
      </c>
    </row>
    <row r="282" spans="1:12" x14ac:dyDescent="0.3">
      <c r="A282" s="34" t="s">
        <v>662</v>
      </c>
      <c r="B282">
        <v>-1</v>
      </c>
      <c r="C282">
        <v>2050</v>
      </c>
      <c r="D282" s="34" t="s">
        <v>346</v>
      </c>
      <c r="E282" s="34" t="s">
        <v>405</v>
      </c>
      <c r="F282" s="34" t="s">
        <v>618</v>
      </c>
      <c r="G282" s="34" t="s">
        <v>185</v>
      </c>
      <c r="H282" s="34" t="s">
        <v>18</v>
      </c>
      <c r="I282" s="34" t="s">
        <v>19</v>
      </c>
      <c r="J282" s="34" t="s">
        <v>32</v>
      </c>
      <c r="K282" s="34" t="s">
        <v>15</v>
      </c>
      <c r="L282">
        <v>0.13267771650704999</v>
      </c>
    </row>
    <row r="283" spans="1:12" x14ac:dyDescent="0.3">
      <c r="A283" s="34" t="s">
        <v>662</v>
      </c>
      <c r="B283">
        <v>-1</v>
      </c>
      <c r="C283">
        <v>2050</v>
      </c>
      <c r="D283" s="34" t="s">
        <v>346</v>
      </c>
      <c r="E283" s="34" t="s">
        <v>405</v>
      </c>
      <c r="F283" s="34" t="s">
        <v>618</v>
      </c>
      <c r="G283" s="34" t="s">
        <v>180</v>
      </c>
      <c r="H283" s="34" t="s">
        <v>18</v>
      </c>
      <c r="I283" s="34" t="s">
        <v>19</v>
      </c>
      <c r="J283" s="34" t="s">
        <v>181</v>
      </c>
      <c r="K283" s="34" t="s">
        <v>15</v>
      </c>
      <c r="L283">
        <v>0.74278385310491535</v>
      </c>
    </row>
    <row r="284" spans="1:12" x14ac:dyDescent="0.3">
      <c r="A284" s="34" t="s">
        <v>662</v>
      </c>
      <c r="B284">
        <v>-1</v>
      </c>
      <c r="C284">
        <v>2050</v>
      </c>
      <c r="D284" s="34" t="s">
        <v>346</v>
      </c>
      <c r="E284" s="34" t="s">
        <v>405</v>
      </c>
      <c r="F284" s="34" t="s">
        <v>618</v>
      </c>
      <c r="G284" s="34" t="s">
        <v>20</v>
      </c>
      <c r="H284" s="34" t="s">
        <v>21</v>
      </c>
      <c r="I284" s="34" t="s">
        <v>19</v>
      </c>
      <c r="J284" s="34" t="s">
        <v>22</v>
      </c>
      <c r="K284" s="34" t="s">
        <v>15</v>
      </c>
      <c r="L284">
        <v>9.751488505571615E-16</v>
      </c>
    </row>
    <row r="285" spans="1:12" x14ac:dyDescent="0.3">
      <c r="A285" s="34" t="s">
        <v>662</v>
      </c>
      <c r="B285">
        <v>-1</v>
      </c>
      <c r="C285">
        <v>2050</v>
      </c>
      <c r="D285" s="34" t="s">
        <v>346</v>
      </c>
      <c r="E285" s="34" t="s">
        <v>405</v>
      </c>
      <c r="F285" s="34" t="s">
        <v>618</v>
      </c>
      <c r="G285" s="34" t="s">
        <v>11</v>
      </c>
      <c r="H285" s="34" t="s">
        <v>12</v>
      </c>
      <c r="I285" s="34" t="s">
        <v>13</v>
      </c>
      <c r="J285" s="34" t="s">
        <v>14</v>
      </c>
      <c r="K285" s="34" t="s">
        <v>15</v>
      </c>
      <c r="L285">
        <v>0.69354270711000021</v>
      </c>
    </row>
    <row r="286" spans="1:12" x14ac:dyDescent="0.3">
      <c r="A286" s="34" t="s">
        <v>662</v>
      </c>
      <c r="B286">
        <v>-1</v>
      </c>
      <c r="C286">
        <v>2050</v>
      </c>
      <c r="D286" s="34" t="s">
        <v>346</v>
      </c>
      <c r="E286" s="34" t="s">
        <v>405</v>
      </c>
      <c r="F286" s="34" t="s">
        <v>618</v>
      </c>
      <c r="G286" s="34" t="s">
        <v>16</v>
      </c>
      <c r="H286" s="34" t="s">
        <v>12</v>
      </c>
      <c r="I286" s="34" t="s">
        <v>13</v>
      </c>
      <c r="J286" s="34" t="s">
        <v>14</v>
      </c>
      <c r="K286" s="34" t="s">
        <v>15</v>
      </c>
      <c r="L286">
        <v>60.860310172859506</v>
      </c>
    </row>
    <row r="287" spans="1:12" x14ac:dyDescent="0.3">
      <c r="A287" s="34" t="s">
        <v>662</v>
      </c>
      <c r="B287">
        <v>-1</v>
      </c>
      <c r="C287">
        <v>2050</v>
      </c>
      <c r="D287" s="34" t="s">
        <v>346</v>
      </c>
      <c r="E287" s="34" t="s">
        <v>405</v>
      </c>
      <c r="F287" s="34" t="s">
        <v>618</v>
      </c>
      <c r="G287" s="34" t="s">
        <v>644</v>
      </c>
      <c r="H287" s="34" t="s">
        <v>21</v>
      </c>
      <c r="I287" s="34" t="s">
        <v>19</v>
      </c>
      <c r="J287" s="34" t="s">
        <v>22</v>
      </c>
      <c r="K287" s="34" t="s">
        <v>15</v>
      </c>
      <c r="L287">
        <v>105.29103783922908</v>
      </c>
    </row>
    <row r="288" spans="1:12" x14ac:dyDescent="0.3">
      <c r="A288" s="34" t="s">
        <v>662</v>
      </c>
      <c r="B288">
        <v>-1</v>
      </c>
      <c r="C288">
        <v>2050</v>
      </c>
      <c r="D288" s="34" t="s">
        <v>346</v>
      </c>
      <c r="E288" s="34" t="s">
        <v>405</v>
      </c>
      <c r="F288" s="34" t="s">
        <v>618</v>
      </c>
      <c r="G288" s="34" t="s">
        <v>645</v>
      </c>
      <c r="H288" s="34" t="s">
        <v>23</v>
      </c>
      <c r="I288" s="34" t="s">
        <v>19</v>
      </c>
      <c r="J288" s="34" t="s">
        <v>24</v>
      </c>
      <c r="K288" s="34" t="s">
        <v>15</v>
      </c>
      <c r="L288">
        <v>21.087124112135026</v>
      </c>
    </row>
    <row r="289" spans="1:12" x14ac:dyDescent="0.3">
      <c r="A289" s="34" t="s">
        <v>662</v>
      </c>
      <c r="B289">
        <v>-1</v>
      </c>
      <c r="C289">
        <v>2050</v>
      </c>
      <c r="D289" s="34" t="s">
        <v>346</v>
      </c>
      <c r="E289" s="34" t="s">
        <v>406</v>
      </c>
      <c r="F289" s="34" t="s">
        <v>619</v>
      </c>
      <c r="G289" s="34" t="s">
        <v>43</v>
      </c>
      <c r="H289" s="34" t="s">
        <v>40</v>
      </c>
      <c r="I289" s="34" t="s">
        <v>19</v>
      </c>
      <c r="J289" s="34" t="s">
        <v>27</v>
      </c>
      <c r="K289" s="34" t="s">
        <v>15</v>
      </c>
      <c r="L289">
        <v>8.2991391536779698E-17</v>
      </c>
    </row>
    <row r="290" spans="1:12" x14ac:dyDescent="0.3">
      <c r="A290" s="34" t="s">
        <v>662</v>
      </c>
      <c r="B290">
        <v>-1</v>
      </c>
      <c r="C290">
        <v>2050</v>
      </c>
      <c r="D290" s="34" t="s">
        <v>346</v>
      </c>
      <c r="E290" s="34" t="s">
        <v>406</v>
      </c>
      <c r="F290" s="34" t="s">
        <v>619</v>
      </c>
      <c r="G290" s="34" t="s">
        <v>28</v>
      </c>
      <c r="H290" s="34" t="s">
        <v>23</v>
      </c>
      <c r="I290" s="34" t="s">
        <v>19</v>
      </c>
      <c r="J290" s="34" t="s">
        <v>24</v>
      </c>
      <c r="K290" s="34" t="s">
        <v>15</v>
      </c>
      <c r="L290">
        <v>2.4897417461033912E-16</v>
      </c>
    </row>
    <row r="291" spans="1:12" x14ac:dyDescent="0.3">
      <c r="A291" s="34" t="s">
        <v>662</v>
      </c>
      <c r="B291">
        <v>-1</v>
      </c>
      <c r="C291">
        <v>2050</v>
      </c>
      <c r="D291" s="34" t="s">
        <v>346</v>
      </c>
      <c r="E291" s="34" t="s">
        <v>406</v>
      </c>
      <c r="F291" s="34" t="s">
        <v>619</v>
      </c>
      <c r="G291" s="34" t="s">
        <v>31</v>
      </c>
      <c r="H291" s="34" t="s">
        <v>18</v>
      </c>
      <c r="I291" s="34" t="s">
        <v>19</v>
      </c>
      <c r="J291" s="34" t="s">
        <v>32</v>
      </c>
      <c r="K291" s="34" t="s">
        <v>15</v>
      </c>
      <c r="L291">
        <v>0.15788362228628947</v>
      </c>
    </row>
    <row r="292" spans="1:12" x14ac:dyDescent="0.3">
      <c r="A292" s="34" t="s">
        <v>662</v>
      </c>
      <c r="B292">
        <v>-1</v>
      </c>
      <c r="C292">
        <v>2050</v>
      </c>
      <c r="D292" s="34" t="s">
        <v>346</v>
      </c>
      <c r="E292" s="34" t="s">
        <v>406</v>
      </c>
      <c r="F292" s="34" t="s">
        <v>619</v>
      </c>
      <c r="G292" s="34" t="s">
        <v>185</v>
      </c>
      <c r="H292" s="34" t="s">
        <v>18</v>
      </c>
      <c r="I292" s="34" t="s">
        <v>19</v>
      </c>
      <c r="J292" s="34" t="s">
        <v>32</v>
      </c>
      <c r="K292" s="34" t="s">
        <v>15</v>
      </c>
      <c r="L292">
        <v>9.1286803251490009E-2</v>
      </c>
    </row>
    <row r="293" spans="1:12" x14ac:dyDescent="0.3">
      <c r="A293" s="34" t="s">
        <v>662</v>
      </c>
      <c r="B293">
        <v>-1</v>
      </c>
      <c r="C293">
        <v>2050</v>
      </c>
      <c r="D293" s="34" t="s">
        <v>346</v>
      </c>
      <c r="E293" s="34" t="s">
        <v>406</v>
      </c>
      <c r="F293" s="34" t="s">
        <v>619</v>
      </c>
      <c r="G293" s="34" t="s">
        <v>180</v>
      </c>
      <c r="H293" s="34" t="s">
        <v>18</v>
      </c>
      <c r="I293" s="34" t="s">
        <v>19</v>
      </c>
      <c r="J293" s="34" t="s">
        <v>181</v>
      </c>
      <c r="K293" s="34" t="s">
        <v>15</v>
      </c>
      <c r="L293">
        <v>0.50382494153537949</v>
      </c>
    </row>
    <row r="294" spans="1:12" x14ac:dyDescent="0.3">
      <c r="A294" s="34" t="s">
        <v>662</v>
      </c>
      <c r="B294">
        <v>-1</v>
      </c>
      <c r="C294">
        <v>2050</v>
      </c>
      <c r="D294" s="34" t="s">
        <v>346</v>
      </c>
      <c r="E294" s="34" t="s">
        <v>406</v>
      </c>
      <c r="F294" s="34" t="s">
        <v>619</v>
      </c>
      <c r="G294" s="34" t="s">
        <v>29</v>
      </c>
      <c r="H294" s="34" t="s">
        <v>21</v>
      </c>
      <c r="I294" s="34" t="s">
        <v>19</v>
      </c>
      <c r="J294" s="34" t="s">
        <v>22</v>
      </c>
      <c r="K294" s="34" t="s">
        <v>15</v>
      </c>
      <c r="L294">
        <v>1.4523493518936448E-16</v>
      </c>
    </row>
    <row r="295" spans="1:12" x14ac:dyDescent="0.3">
      <c r="A295" s="34" t="s">
        <v>662</v>
      </c>
      <c r="B295">
        <v>-1</v>
      </c>
      <c r="C295">
        <v>2050</v>
      </c>
      <c r="D295" s="34" t="s">
        <v>346</v>
      </c>
      <c r="E295" s="34" t="s">
        <v>406</v>
      </c>
      <c r="F295" s="34" t="s">
        <v>619</v>
      </c>
      <c r="G295" s="34" t="s">
        <v>20</v>
      </c>
      <c r="H295" s="34" t="s">
        <v>21</v>
      </c>
      <c r="I295" s="34" t="s">
        <v>19</v>
      </c>
      <c r="J295" s="34" t="s">
        <v>22</v>
      </c>
      <c r="K295" s="34" t="s">
        <v>15</v>
      </c>
      <c r="L295">
        <v>-1.4523493518936448E-16</v>
      </c>
    </row>
    <row r="296" spans="1:12" x14ac:dyDescent="0.3">
      <c r="A296" s="34" t="s">
        <v>662</v>
      </c>
      <c r="B296">
        <v>-1</v>
      </c>
      <c r="C296">
        <v>2050</v>
      </c>
      <c r="D296" s="34" t="s">
        <v>346</v>
      </c>
      <c r="E296" s="34" t="s">
        <v>406</v>
      </c>
      <c r="F296" s="34" t="s">
        <v>619</v>
      </c>
      <c r="G296" s="34" t="s">
        <v>644</v>
      </c>
      <c r="H296" s="34" t="s">
        <v>21</v>
      </c>
      <c r="I296" s="34" t="s">
        <v>19</v>
      </c>
      <c r="J296" s="34" t="s">
        <v>22</v>
      </c>
      <c r="K296" s="34" t="s">
        <v>15</v>
      </c>
      <c r="L296">
        <v>4.7771252202900145</v>
      </c>
    </row>
    <row r="297" spans="1:12" x14ac:dyDescent="0.3">
      <c r="A297" s="34" t="s">
        <v>662</v>
      </c>
      <c r="B297">
        <v>-1</v>
      </c>
      <c r="C297">
        <v>2050</v>
      </c>
      <c r="D297" s="34" t="s">
        <v>346</v>
      </c>
      <c r="E297" s="34" t="s">
        <v>406</v>
      </c>
      <c r="F297" s="34" t="s">
        <v>619</v>
      </c>
      <c r="G297" s="34" t="s">
        <v>645</v>
      </c>
      <c r="H297" s="34" t="s">
        <v>23</v>
      </c>
      <c r="I297" s="34" t="s">
        <v>19</v>
      </c>
      <c r="J297" s="34" t="s">
        <v>24</v>
      </c>
      <c r="K297" s="34" t="s">
        <v>15</v>
      </c>
      <c r="L297">
        <v>3.098689917082035</v>
      </c>
    </row>
    <row r="298" spans="1:12" x14ac:dyDescent="0.3">
      <c r="A298" s="34" t="s">
        <v>662</v>
      </c>
      <c r="B298">
        <v>-1</v>
      </c>
      <c r="C298">
        <v>2050</v>
      </c>
      <c r="D298" s="34" t="s">
        <v>346</v>
      </c>
      <c r="E298" s="34" t="s">
        <v>407</v>
      </c>
      <c r="F298" s="34" t="s">
        <v>620</v>
      </c>
      <c r="G298" s="34" t="s">
        <v>43</v>
      </c>
      <c r="H298" s="34" t="s">
        <v>40</v>
      </c>
      <c r="I298" s="34" t="s">
        <v>19</v>
      </c>
      <c r="J298" s="34" t="s">
        <v>27</v>
      </c>
      <c r="K298" s="34" t="s">
        <v>15</v>
      </c>
      <c r="L298">
        <v>-1.659827830735594E-16</v>
      </c>
    </row>
    <row r="299" spans="1:12" x14ac:dyDescent="0.3">
      <c r="A299" s="34" t="s">
        <v>662</v>
      </c>
      <c r="B299">
        <v>-1</v>
      </c>
      <c r="C299">
        <v>2050</v>
      </c>
      <c r="D299" s="34" t="s">
        <v>346</v>
      </c>
      <c r="E299" s="34" t="s">
        <v>407</v>
      </c>
      <c r="F299" s="34" t="s">
        <v>620</v>
      </c>
      <c r="G299" s="34" t="s">
        <v>28</v>
      </c>
      <c r="H299" s="34" t="s">
        <v>23</v>
      </c>
      <c r="I299" s="34" t="s">
        <v>19</v>
      </c>
      <c r="J299" s="34" t="s">
        <v>24</v>
      </c>
      <c r="K299" s="34" t="s">
        <v>15</v>
      </c>
      <c r="L299">
        <v>-2.0747847884194924E-17</v>
      </c>
    </row>
    <row r="300" spans="1:12" x14ac:dyDescent="0.3">
      <c r="A300" s="34" t="s">
        <v>662</v>
      </c>
      <c r="B300">
        <v>-1</v>
      </c>
      <c r="C300">
        <v>2050</v>
      </c>
      <c r="D300" s="34" t="s">
        <v>346</v>
      </c>
      <c r="E300" s="34" t="s">
        <v>407</v>
      </c>
      <c r="F300" s="34" t="s">
        <v>620</v>
      </c>
      <c r="G300" s="34" t="s">
        <v>31</v>
      </c>
      <c r="H300" s="34" t="s">
        <v>18</v>
      </c>
      <c r="I300" s="34" t="s">
        <v>19</v>
      </c>
      <c r="J300" s="34" t="s">
        <v>32</v>
      </c>
      <c r="K300" s="34" t="s">
        <v>15</v>
      </c>
      <c r="L300">
        <v>0.21872895722114785</v>
      </c>
    </row>
    <row r="301" spans="1:12" x14ac:dyDescent="0.3">
      <c r="A301" s="34" t="s">
        <v>662</v>
      </c>
      <c r="B301">
        <v>-1</v>
      </c>
      <c r="C301">
        <v>2050</v>
      </c>
      <c r="D301" s="34" t="s">
        <v>346</v>
      </c>
      <c r="E301" s="34" t="s">
        <v>407</v>
      </c>
      <c r="F301" s="34" t="s">
        <v>620</v>
      </c>
      <c r="G301" s="34" t="s">
        <v>185</v>
      </c>
      <c r="H301" s="34" t="s">
        <v>18</v>
      </c>
      <c r="I301" s="34" t="s">
        <v>19</v>
      </c>
      <c r="J301" s="34" t="s">
        <v>32</v>
      </c>
      <c r="K301" s="34" t="s">
        <v>15</v>
      </c>
      <c r="L301">
        <v>0.11277606375463997</v>
      </c>
    </row>
    <row r="302" spans="1:12" x14ac:dyDescent="0.3">
      <c r="A302" s="34" t="s">
        <v>662</v>
      </c>
      <c r="B302">
        <v>-1</v>
      </c>
      <c r="C302">
        <v>2050</v>
      </c>
      <c r="D302" s="34" t="s">
        <v>346</v>
      </c>
      <c r="E302" s="34" t="s">
        <v>407</v>
      </c>
      <c r="F302" s="34" t="s">
        <v>620</v>
      </c>
      <c r="G302" s="34" t="s">
        <v>180</v>
      </c>
      <c r="H302" s="34" t="s">
        <v>18</v>
      </c>
      <c r="I302" s="34" t="s">
        <v>19</v>
      </c>
      <c r="J302" s="34" t="s">
        <v>181</v>
      </c>
      <c r="K302" s="34" t="s">
        <v>15</v>
      </c>
      <c r="L302">
        <v>0.57556786760004641</v>
      </c>
    </row>
    <row r="303" spans="1:12" x14ac:dyDescent="0.3">
      <c r="A303" s="34" t="s">
        <v>662</v>
      </c>
      <c r="B303">
        <v>-1</v>
      </c>
      <c r="C303">
        <v>2050</v>
      </c>
      <c r="D303" s="34" t="s">
        <v>346</v>
      </c>
      <c r="E303" s="34" t="s">
        <v>407</v>
      </c>
      <c r="F303" s="34" t="s">
        <v>620</v>
      </c>
      <c r="G303" s="34" t="s">
        <v>29</v>
      </c>
      <c r="H303" s="34" t="s">
        <v>21</v>
      </c>
      <c r="I303" s="34" t="s">
        <v>19</v>
      </c>
      <c r="J303" s="34" t="s">
        <v>22</v>
      </c>
      <c r="K303" s="34" t="s">
        <v>15</v>
      </c>
      <c r="L303">
        <v>-2.3860025066824163E-16</v>
      </c>
    </row>
    <row r="304" spans="1:12" x14ac:dyDescent="0.3">
      <c r="A304" s="34" t="s">
        <v>662</v>
      </c>
      <c r="B304">
        <v>-1</v>
      </c>
      <c r="C304">
        <v>2050</v>
      </c>
      <c r="D304" s="34" t="s">
        <v>346</v>
      </c>
      <c r="E304" s="34" t="s">
        <v>407</v>
      </c>
      <c r="F304" s="34" t="s">
        <v>620</v>
      </c>
      <c r="G304" s="34" t="s">
        <v>20</v>
      </c>
      <c r="H304" s="34" t="s">
        <v>21</v>
      </c>
      <c r="I304" s="34" t="s">
        <v>19</v>
      </c>
      <c r="J304" s="34" t="s">
        <v>22</v>
      </c>
      <c r="K304" s="34" t="s">
        <v>15</v>
      </c>
      <c r="L304">
        <v>-3.9420910979970354E-16</v>
      </c>
    </row>
    <row r="305" spans="1:12" x14ac:dyDescent="0.3">
      <c r="A305" s="34" t="s">
        <v>662</v>
      </c>
      <c r="B305">
        <v>-1</v>
      </c>
      <c r="C305">
        <v>2050</v>
      </c>
      <c r="D305" s="34" t="s">
        <v>346</v>
      </c>
      <c r="E305" s="34" t="s">
        <v>407</v>
      </c>
      <c r="F305" s="34" t="s">
        <v>620</v>
      </c>
      <c r="G305" s="34" t="s">
        <v>11</v>
      </c>
      <c r="H305" s="34" t="s">
        <v>12</v>
      </c>
      <c r="I305" s="34" t="s">
        <v>13</v>
      </c>
      <c r="J305" s="34" t="s">
        <v>14</v>
      </c>
      <c r="K305" s="34" t="s">
        <v>15</v>
      </c>
      <c r="L305">
        <v>1.04149852785</v>
      </c>
    </row>
    <row r="306" spans="1:12" x14ac:dyDescent="0.3">
      <c r="A306" s="34" t="s">
        <v>662</v>
      </c>
      <c r="B306">
        <v>-1</v>
      </c>
      <c r="C306">
        <v>2050</v>
      </c>
      <c r="D306" s="34" t="s">
        <v>346</v>
      </c>
      <c r="E306" s="34" t="s">
        <v>407</v>
      </c>
      <c r="F306" s="34" t="s">
        <v>620</v>
      </c>
      <c r="G306" s="34" t="s">
        <v>16</v>
      </c>
      <c r="H306" s="34" t="s">
        <v>12</v>
      </c>
      <c r="I306" s="34" t="s">
        <v>13</v>
      </c>
      <c r="J306" s="34" t="s">
        <v>14</v>
      </c>
      <c r="K306" s="34" t="s">
        <v>15</v>
      </c>
      <c r="L306">
        <v>22.289662650775472</v>
      </c>
    </row>
    <row r="307" spans="1:12" x14ac:dyDescent="0.3">
      <c r="A307" s="34" t="s">
        <v>662</v>
      </c>
      <c r="B307">
        <v>-1</v>
      </c>
      <c r="C307">
        <v>2050</v>
      </c>
      <c r="D307" s="34" t="s">
        <v>346</v>
      </c>
      <c r="E307" s="34" t="s">
        <v>407</v>
      </c>
      <c r="F307" s="34" t="s">
        <v>620</v>
      </c>
      <c r="G307" s="34" t="s">
        <v>645</v>
      </c>
      <c r="H307" s="34" t="s">
        <v>23</v>
      </c>
      <c r="I307" s="34" t="s">
        <v>19</v>
      </c>
      <c r="J307" s="34" t="s">
        <v>24</v>
      </c>
      <c r="K307" s="34" t="s">
        <v>15</v>
      </c>
      <c r="L307">
        <v>43.362714101555348</v>
      </c>
    </row>
    <row r="308" spans="1:12" x14ac:dyDescent="0.3">
      <c r="A308" s="34" t="s">
        <v>662</v>
      </c>
      <c r="B308">
        <v>-1</v>
      </c>
      <c r="C308">
        <v>2050</v>
      </c>
      <c r="D308" s="34" t="s">
        <v>348</v>
      </c>
      <c r="E308" s="34" t="s">
        <v>349</v>
      </c>
      <c r="F308" s="34" t="s">
        <v>569</v>
      </c>
      <c r="G308" s="34" t="s">
        <v>31</v>
      </c>
      <c r="H308" s="34" t="s">
        <v>18</v>
      </c>
      <c r="I308" s="34" t="s">
        <v>19</v>
      </c>
      <c r="J308" s="34" t="s">
        <v>32</v>
      </c>
      <c r="K308" s="34" t="s">
        <v>15</v>
      </c>
      <c r="L308">
        <v>32.697582417582424</v>
      </c>
    </row>
    <row r="309" spans="1:12" x14ac:dyDescent="0.3">
      <c r="A309" s="34" t="s">
        <v>662</v>
      </c>
      <c r="B309">
        <v>-1</v>
      </c>
      <c r="C309">
        <v>2050</v>
      </c>
      <c r="D309" s="34" t="s">
        <v>348</v>
      </c>
      <c r="E309" s="34" t="s">
        <v>349</v>
      </c>
      <c r="F309" s="34" t="s">
        <v>569</v>
      </c>
      <c r="G309" s="34" t="s">
        <v>180</v>
      </c>
      <c r="H309" s="34" t="s">
        <v>18</v>
      </c>
      <c r="I309" s="34" t="s">
        <v>19</v>
      </c>
      <c r="J309" s="34" t="s">
        <v>181</v>
      </c>
      <c r="K309" s="34" t="s">
        <v>15</v>
      </c>
      <c r="L309">
        <v>15.971626130592528</v>
      </c>
    </row>
    <row r="310" spans="1:12" x14ac:dyDescent="0.3">
      <c r="A310" s="34" t="s">
        <v>662</v>
      </c>
      <c r="B310">
        <v>-1</v>
      </c>
      <c r="C310">
        <v>2050</v>
      </c>
      <c r="D310" s="34" t="s">
        <v>348</v>
      </c>
      <c r="E310" s="34" t="s">
        <v>349</v>
      </c>
      <c r="F310" s="34" t="s">
        <v>569</v>
      </c>
      <c r="G310" s="34" t="s">
        <v>307</v>
      </c>
      <c r="H310" s="34" t="s">
        <v>26</v>
      </c>
      <c r="I310" s="34" t="s">
        <v>19</v>
      </c>
      <c r="J310" s="34" t="s">
        <v>27</v>
      </c>
      <c r="K310" s="34" t="s">
        <v>15</v>
      </c>
      <c r="L310">
        <v>-9.9589669844135647E-16</v>
      </c>
    </row>
    <row r="311" spans="1:12" x14ac:dyDescent="0.3">
      <c r="A311" s="34" t="s">
        <v>662</v>
      </c>
      <c r="B311">
        <v>-1</v>
      </c>
      <c r="C311">
        <v>2050</v>
      </c>
      <c r="D311" s="34" t="s">
        <v>348</v>
      </c>
      <c r="E311" s="34" t="s">
        <v>349</v>
      </c>
      <c r="F311" s="34" t="s">
        <v>569</v>
      </c>
      <c r="G311" s="34" t="s">
        <v>253</v>
      </c>
      <c r="H311" s="34" t="s">
        <v>254</v>
      </c>
      <c r="I311" s="34" t="s">
        <v>19</v>
      </c>
      <c r="J311" s="34" t="s">
        <v>27</v>
      </c>
      <c r="K311" s="34" t="s">
        <v>15</v>
      </c>
      <c r="L311">
        <v>23.544445371701897</v>
      </c>
    </row>
    <row r="312" spans="1:12" x14ac:dyDescent="0.3">
      <c r="A312" s="34" t="s">
        <v>662</v>
      </c>
      <c r="B312">
        <v>-1</v>
      </c>
      <c r="C312">
        <v>2050</v>
      </c>
      <c r="D312" s="34" t="s">
        <v>348</v>
      </c>
      <c r="E312" s="34" t="s">
        <v>349</v>
      </c>
      <c r="F312" s="34" t="s">
        <v>569</v>
      </c>
      <c r="G312" s="34" t="s">
        <v>16</v>
      </c>
      <c r="H312" s="34" t="s">
        <v>12</v>
      </c>
      <c r="I312" s="34" t="s">
        <v>13</v>
      </c>
      <c r="J312" s="34" t="s">
        <v>14</v>
      </c>
      <c r="K312" s="34" t="s">
        <v>15</v>
      </c>
      <c r="L312">
        <v>37.371350856949398</v>
      </c>
    </row>
    <row r="313" spans="1:12" x14ac:dyDescent="0.3">
      <c r="A313" s="34" t="s">
        <v>662</v>
      </c>
      <c r="B313">
        <v>-1</v>
      </c>
      <c r="C313">
        <v>2050</v>
      </c>
      <c r="D313" s="34" t="s">
        <v>348</v>
      </c>
      <c r="E313" s="34" t="s">
        <v>349</v>
      </c>
      <c r="F313" s="34" t="s">
        <v>569</v>
      </c>
      <c r="G313" s="34" t="s">
        <v>671</v>
      </c>
      <c r="H313" s="34" t="s">
        <v>12</v>
      </c>
      <c r="I313" s="34" t="s">
        <v>203</v>
      </c>
      <c r="J313" s="34" t="s">
        <v>14</v>
      </c>
      <c r="K313" s="34" t="s">
        <v>15</v>
      </c>
      <c r="L313">
        <v>6.3151344225831104E-17</v>
      </c>
    </row>
    <row r="314" spans="1:12" x14ac:dyDescent="0.3">
      <c r="A314" s="34" t="s">
        <v>662</v>
      </c>
      <c r="B314">
        <v>-1</v>
      </c>
      <c r="C314">
        <v>2050</v>
      </c>
      <c r="D314" s="34" t="s">
        <v>348</v>
      </c>
      <c r="E314" s="34" t="s">
        <v>349</v>
      </c>
      <c r="F314" s="34" t="s">
        <v>569</v>
      </c>
      <c r="G314" s="34" t="s">
        <v>671</v>
      </c>
      <c r="H314" s="34" t="s">
        <v>12</v>
      </c>
      <c r="I314" s="34" t="s">
        <v>13</v>
      </c>
      <c r="J314" s="34" t="s">
        <v>14</v>
      </c>
      <c r="K314" s="34" t="s">
        <v>15</v>
      </c>
      <c r="L314">
        <v>7.3851964543791827E-16</v>
      </c>
    </row>
    <row r="315" spans="1:12" x14ac:dyDescent="0.3">
      <c r="A315" s="34" t="s">
        <v>662</v>
      </c>
      <c r="B315">
        <v>-1</v>
      </c>
      <c r="C315">
        <v>2050</v>
      </c>
      <c r="D315" s="34" t="s">
        <v>348</v>
      </c>
      <c r="E315" s="34" t="s">
        <v>349</v>
      </c>
      <c r="F315" s="34" t="s">
        <v>621</v>
      </c>
      <c r="G315" s="34" t="s">
        <v>28</v>
      </c>
      <c r="H315" s="34" t="s">
        <v>23</v>
      </c>
      <c r="I315" s="34" t="s">
        <v>19</v>
      </c>
      <c r="J315" s="34" t="s">
        <v>24</v>
      </c>
      <c r="K315" s="34" t="s">
        <v>15</v>
      </c>
      <c r="L315">
        <v>4.1495695768389849E-17</v>
      </c>
    </row>
    <row r="316" spans="1:12" x14ac:dyDescent="0.3">
      <c r="A316" s="34" t="s">
        <v>662</v>
      </c>
      <c r="B316">
        <v>-1</v>
      </c>
      <c r="C316">
        <v>2050</v>
      </c>
      <c r="D316" s="34" t="s">
        <v>348</v>
      </c>
      <c r="E316" s="34" t="s">
        <v>349</v>
      </c>
      <c r="F316" s="34" t="s">
        <v>621</v>
      </c>
      <c r="G316" s="34" t="s">
        <v>645</v>
      </c>
      <c r="H316" s="34" t="s">
        <v>23</v>
      </c>
      <c r="I316" s="34" t="s">
        <v>19</v>
      </c>
      <c r="J316" s="34" t="s">
        <v>24</v>
      </c>
      <c r="K316" s="34" t="s">
        <v>15</v>
      </c>
      <c r="L316">
        <v>77.927986297092062</v>
      </c>
    </row>
    <row r="317" spans="1:12" x14ac:dyDescent="0.3">
      <c r="A317" s="34" t="s">
        <v>662</v>
      </c>
      <c r="B317">
        <v>-1</v>
      </c>
      <c r="C317">
        <v>2050</v>
      </c>
      <c r="D317" s="34" t="s">
        <v>350</v>
      </c>
      <c r="E317" s="34" t="s">
        <v>351</v>
      </c>
      <c r="F317" s="34" t="s">
        <v>570</v>
      </c>
      <c r="G317" s="34" t="s">
        <v>185</v>
      </c>
      <c r="H317" s="34" t="s">
        <v>18</v>
      </c>
      <c r="I317" s="34" t="s">
        <v>19</v>
      </c>
      <c r="J317" s="34" t="s">
        <v>32</v>
      </c>
      <c r="K317" s="34" t="s">
        <v>15</v>
      </c>
      <c r="L317">
        <v>33.836703296703291</v>
      </c>
    </row>
    <row r="318" spans="1:12" x14ac:dyDescent="0.3">
      <c r="A318" s="34" t="s">
        <v>662</v>
      </c>
      <c r="B318">
        <v>-1</v>
      </c>
      <c r="C318">
        <v>2050</v>
      </c>
      <c r="D318" s="34" t="s">
        <v>350</v>
      </c>
      <c r="E318" s="34" t="s">
        <v>351</v>
      </c>
      <c r="F318" s="34" t="s">
        <v>570</v>
      </c>
      <c r="G318" s="34" t="s">
        <v>180</v>
      </c>
      <c r="H318" s="34" t="s">
        <v>18</v>
      </c>
      <c r="I318" s="34" t="s">
        <v>19</v>
      </c>
      <c r="J318" s="34" t="s">
        <v>181</v>
      </c>
      <c r="K318" s="34" t="s">
        <v>15</v>
      </c>
      <c r="L318">
        <v>22.668142465753412</v>
      </c>
    </row>
    <row r="319" spans="1:12" x14ac:dyDescent="0.3">
      <c r="A319" s="34" t="s">
        <v>662</v>
      </c>
      <c r="B319">
        <v>-1</v>
      </c>
      <c r="C319">
        <v>2050</v>
      </c>
      <c r="D319" s="34" t="s">
        <v>350</v>
      </c>
      <c r="E319" s="34" t="s">
        <v>351</v>
      </c>
      <c r="F319" s="34" t="s">
        <v>570</v>
      </c>
      <c r="G319" s="34" t="s">
        <v>11</v>
      </c>
      <c r="H319" s="34" t="s">
        <v>12</v>
      </c>
      <c r="I319" s="34" t="s">
        <v>13</v>
      </c>
      <c r="J319" s="34" t="s">
        <v>14</v>
      </c>
      <c r="K319" s="34" t="s">
        <v>15</v>
      </c>
      <c r="L319">
        <v>2.9122683102209108</v>
      </c>
    </row>
    <row r="320" spans="1:12" x14ac:dyDescent="0.3">
      <c r="A320" s="34" t="s">
        <v>662</v>
      </c>
      <c r="B320">
        <v>-1</v>
      </c>
      <c r="C320">
        <v>2050</v>
      </c>
      <c r="D320" s="34" t="s">
        <v>350</v>
      </c>
      <c r="E320" s="34" t="s">
        <v>351</v>
      </c>
      <c r="F320" s="34" t="s">
        <v>622</v>
      </c>
      <c r="G320" s="34" t="s">
        <v>28</v>
      </c>
      <c r="H320" s="34" t="s">
        <v>23</v>
      </c>
      <c r="I320" s="34" t="s">
        <v>19</v>
      </c>
      <c r="J320" s="34" t="s">
        <v>24</v>
      </c>
      <c r="K320" s="34" t="s">
        <v>15</v>
      </c>
      <c r="L320">
        <v>3.6308733797341119E-16</v>
      </c>
    </row>
    <row r="321" spans="1:12" x14ac:dyDescent="0.3">
      <c r="A321" s="34" t="s">
        <v>662</v>
      </c>
      <c r="B321">
        <v>-1</v>
      </c>
      <c r="C321">
        <v>2050</v>
      </c>
      <c r="D321" s="34" t="s">
        <v>350</v>
      </c>
      <c r="E321" s="34" t="s">
        <v>351</v>
      </c>
      <c r="F321" s="34" t="s">
        <v>622</v>
      </c>
      <c r="G321" s="34" t="s">
        <v>29</v>
      </c>
      <c r="H321" s="34" t="s">
        <v>21</v>
      </c>
      <c r="I321" s="34" t="s">
        <v>19</v>
      </c>
      <c r="J321" s="34" t="s">
        <v>22</v>
      </c>
      <c r="K321" s="34" t="s">
        <v>15</v>
      </c>
      <c r="L321">
        <v>-4.1495695768389849E-17</v>
      </c>
    </row>
    <row r="322" spans="1:12" x14ac:dyDescent="0.3">
      <c r="A322" s="34" t="s">
        <v>662</v>
      </c>
      <c r="B322">
        <v>-1</v>
      </c>
      <c r="C322">
        <v>2050</v>
      </c>
      <c r="D322" s="34" t="s">
        <v>350</v>
      </c>
      <c r="E322" s="34" t="s">
        <v>351</v>
      </c>
      <c r="F322" s="34" t="s">
        <v>622</v>
      </c>
      <c r="G322" s="34" t="s">
        <v>20</v>
      </c>
      <c r="H322" s="34" t="s">
        <v>21</v>
      </c>
      <c r="I322" s="34" t="s">
        <v>19</v>
      </c>
      <c r="J322" s="34" t="s">
        <v>22</v>
      </c>
      <c r="K322" s="34" t="s">
        <v>15</v>
      </c>
      <c r="L322">
        <v>1.3278622645884752E-15</v>
      </c>
    </row>
    <row r="323" spans="1:12" x14ac:dyDescent="0.3">
      <c r="A323" s="34" t="s">
        <v>662</v>
      </c>
      <c r="B323">
        <v>-1</v>
      </c>
      <c r="C323">
        <v>2050</v>
      </c>
      <c r="D323" s="34" t="s">
        <v>350</v>
      </c>
      <c r="E323" s="34" t="s">
        <v>351</v>
      </c>
      <c r="F323" s="34" t="s">
        <v>622</v>
      </c>
      <c r="G323" s="34" t="s">
        <v>644</v>
      </c>
      <c r="H323" s="34" t="s">
        <v>21</v>
      </c>
      <c r="I323" s="34" t="s">
        <v>19</v>
      </c>
      <c r="J323" s="34" t="s">
        <v>22</v>
      </c>
      <c r="K323" s="34" t="s">
        <v>15</v>
      </c>
      <c r="L323">
        <v>30.734960639999986</v>
      </c>
    </row>
    <row r="324" spans="1:12" x14ac:dyDescent="0.3">
      <c r="A324" s="34" t="s">
        <v>662</v>
      </c>
      <c r="B324">
        <v>-1</v>
      </c>
      <c r="C324">
        <v>2050</v>
      </c>
      <c r="D324" s="34" t="s">
        <v>352</v>
      </c>
      <c r="E324" s="34" t="s">
        <v>353</v>
      </c>
      <c r="F324" s="34" t="s">
        <v>571</v>
      </c>
      <c r="G324" s="34" t="s">
        <v>31</v>
      </c>
      <c r="H324" s="34" t="s">
        <v>18</v>
      </c>
      <c r="I324" s="34" t="s">
        <v>19</v>
      </c>
      <c r="J324" s="34" t="s">
        <v>32</v>
      </c>
      <c r="K324" s="34" t="s">
        <v>15</v>
      </c>
      <c r="L324">
        <v>2.2652060439560442</v>
      </c>
    </row>
    <row r="325" spans="1:12" x14ac:dyDescent="0.3">
      <c r="A325" s="34" t="s">
        <v>662</v>
      </c>
      <c r="B325">
        <v>-1</v>
      </c>
      <c r="C325">
        <v>2050</v>
      </c>
      <c r="D325" s="34" t="s">
        <v>352</v>
      </c>
      <c r="E325" s="34" t="s">
        <v>353</v>
      </c>
      <c r="F325" s="34" t="s">
        <v>571</v>
      </c>
      <c r="G325" s="34" t="s">
        <v>180</v>
      </c>
      <c r="H325" s="34" t="s">
        <v>18</v>
      </c>
      <c r="I325" s="34" t="s">
        <v>19</v>
      </c>
      <c r="J325" s="34" t="s">
        <v>181</v>
      </c>
      <c r="K325" s="34" t="s">
        <v>15</v>
      </c>
      <c r="L325">
        <v>0.94208863016261735</v>
      </c>
    </row>
    <row r="326" spans="1:12" x14ac:dyDescent="0.3">
      <c r="A326" s="34" t="s">
        <v>662</v>
      </c>
      <c r="B326">
        <v>-1</v>
      </c>
      <c r="C326">
        <v>2050</v>
      </c>
      <c r="D326" s="34" t="s">
        <v>352</v>
      </c>
      <c r="E326" s="34" t="s">
        <v>353</v>
      </c>
      <c r="F326" s="34" t="s">
        <v>571</v>
      </c>
      <c r="G326" s="34" t="s">
        <v>16</v>
      </c>
      <c r="H326" s="34" t="s">
        <v>12</v>
      </c>
      <c r="I326" s="34" t="s">
        <v>13</v>
      </c>
      <c r="J326" s="34" t="s">
        <v>14</v>
      </c>
      <c r="K326" s="34" t="s">
        <v>15</v>
      </c>
      <c r="L326">
        <v>8.463447678736328</v>
      </c>
    </row>
    <row r="327" spans="1:12" x14ac:dyDescent="0.3">
      <c r="A327" s="34" t="s">
        <v>662</v>
      </c>
      <c r="B327">
        <v>-1</v>
      </c>
      <c r="C327">
        <v>2050</v>
      </c>
      <c r="D327" s="34" t="s">
        <v>352</v>
      </c>
      <c r="E327" s="34" t="s">
        <v>353</v>
      </c>
      <c r="F327" s="34" t="s">
        <v>623</v>
      </c>
      <c r="G327" s="34" t="s">
        <v>28</v>
      </c>
      <c r="H327" s="34" t="s">
        <v>23</v>
      </c>
      <c r="I327" s="34" t="s">
        <v>19</v>
      </c>
      <c r="J327" s="34" t="s">
        <v>24</v>
      </c>
      <c r="K327" s="34" t="s">
        <v>15</v>
      </c>
      <c r="L327">
        <v>-4.3570480556809343E-16</v>
      </c>
    </row>
    <row r="328" spans="1:12" x14ac:dyDescent="0.3">
      <c r="A328" s="34" t="s">
        <v>662</v>
      </c>
      <c r="B328">
        <v>-1</v>
      </c>
      <c r="C328">
        <v>2050</v>
      </c>
      <c r="D328" s="34" t="s">
        <v>352</v>
      </c>
      <c r="E328" s="34" t="s">
        <v>353</v>
      </c>
      <c r="F328" s="34" t="s">
        <v>623</v>
      </c>
      <c r="G328" s="34" t="s">
        <v>20</v>
      </c>
      <c r="H328" s="34" t="s">
        <v>21</v>
      </c>
      <c r="I328" s="34" t="s">
        <v>19</v>
      </c>
      <c r="J328" s="34" t="s">
        <v>22</v>
      </c>
      <c r="K328" s="34" t="s">
        <v>15</v>
      </c>
      <c r="L328">
        <v>-4.1495695768389849E-17</v>
      </c>
    </row>
    <row r="329" spans="1:12" x14ac:dyDescent="0.3">
      <c r="A329" s="34" t="s">
        <v>662</v>
      </c>
      <c r="B329">
        <v>-1</v>
      </c>
      <c r="C329">
        <v>2050</v>
      </c>
      <c r="D329" s="34" t="s">
        <v>352</v>
      </c>
      <c r="E329" s="34" t="s">
        <v>353</v>
      </c>
      <c r="F329" s="34" t="s">
        <v>623</v>
      </c>
      <c r="G329" s="34" t="s">
        <v>644</v>
      </c>
      <c r="H329" s="34" t="s">
        <v>21</v>
      </c>
      <c r="I329" s="34" t="s">
        <v>19</v>
      </c>
      <c r="J329" s="34" t="s">
        <v>22</v>
      </c>
      <c r="K329" s="34" t="s">
        <v>15</v>
      </c>
      <c r="L329">
        <v>60.937176162997169</v>
      </c>
    </row>
    <row r="330" spans="1:12" x14ac:dyDescent="0.3">
      <c r="A330" s="34" t="s">
        <v>662</v>
      </c>
      <c r="B330">
        <v>-1</v>
      </c>
      <c r="C330">
        <v>2050</v>
      </c>
      <c r="D330" s="34" t="s">
        <v>352</v>
      </c>
      <c r="E330" s="34" t="s">
        <v>353</v>
      </c>
      <c r="F330" s="34" t="s">
        <v>623</v>
      </c>
      <c r="G330" s="34" t="s">
        <v>645</v>
      </c>
      <c r="H330" s="34" t="s">
        <v>23</v>
      </c>
      <c r="I330" s="34" t="s">
        <v>19</v>
      </c>
      <c r="J330" s="34" t="s">
        <v>24</v>
      </c>
      <c r="K330" s="34" t="s">
        <v>15</v>
      </c>
      <c r="L330">
        <v>13.9020903975591</v>
      </c>
    </row>
    <row r="331" spans="1:12" x14ac:dyDescent="0.3">
      <c r="A331" s="34" t="s">
        <v>662</v>
      </c>
      <c r="B331">
        <v>-1</v>
      </c>
      <c r="C331">
        <v>2050</v>
      </c>
      <c r="D331" s="34" t="s">
        <v>354</v>
      </c>
      <c r="E331" s="34" t="s">
        <v>355</v>
      </c>
      <c r="F331" s="34" t="s">
        <v>572</v>
      </c>
      <c r="G331" s="34" t="s">
        <v>31</v>
      </c>
      <c r="H331" s="34" t="s">
        <v>18</v>
      </c>
      <c r="I331" s="34" t="s">
        <v>19</v>
      </c>
      <c r="J331" s="34" t="s">
        <v>32</v>
      </c>
      <c r="K331" s="34" t="s">
        <v>15</v>
      </c>
      <c r="L331">
        <v>33.000411823940908</v>
      </c>
    </row>
    <row r="332" spans="1:12" x14ac:dyDescent="0.3">
      <c r="A332" s="34" t="s">
        <v>662</v>
      </c>
      <c r="B332">
        <v>-1</v>
      </c>
      <c r="C332">
        <v>2050</v>
      </c>
      <c r="D332" s="34" t="s">
        <v>354</v>
      </c>
      <c r="E332" s="34" t="s">
        <v>355</v>
      </c>
      <c r="F332" s="34" t="s">
        <v>572</v>
      </c>
      <c r="G332" s="34" t="s">
        <v>180</v>
      </c>
      <c r="H332" s="34" t="s">
        <v>18</v>
      </c>
      <c r="I332" s="34" t="s">
        <v>19</v>
      </c>
      <c r="J332" s="34" t="s">
        <v>181</v>
      </c>
      <c r="K332" s="34" t="s">
        <v>15</v>
      </c>
      <c r="L332">
        <v>8.3225700397810503</v>
      </c>
    </row>
    <row r="333" spans="1:12" x14ac:dyDescent="0.3">
      <c r="A333" s="34" t="s">
        <v>662</v>
      </c>
      <c r="B333">
        <v>-1</v>
      </c>
      <c r="C333">
        <v>2050</v>
      </c>
      <c r="D333" s="34" t="s">
        <v>354</v>
      </c>
      <c r="E333" s="34" t="s">
        <v>355</v>
      </c>
      <c r="F333" s="34" t="s">
        <v>572</v>
      </c>
      <c r="G333" s="34" t="s">
        <v>307</v>
      </c>
      <c r="H333" s="34" t="s">
        <v>26</v>
      </c>
      <c r="I333" s="34" t="s">
        <v>19</v>
      </c>
      <c r="J333" s="34" t="s">
        <v>27</v>
      </c>
      <c r="K333" s="34" t="s">
        <v>15</v>
      </c>
      <c r="L333">
        <v>4.3751639999987664E-2</v>
      </c>
    </row>
    <row r="334" spans="1:12" x14ac:dyDescent="0.3">
      <c r="A334" s="34" t="s">
        <v>662</v>
      </c>
      <c r="B334">
        <v>-1</v>
      </c>
      <c r="C334">
        <v>2050</v>
      </c>
      <c r="D334" s="34" t="s">
        <v>354</v>
      </c>
      <c r="E334" s="34" t="s">
        <v>355</v>
      </c>
      <c r="F334" s="34" t="s">
        <v>572</v>
      </c>
      <c r="G334" s="34" t="s">
        <v>11</v>
      </c>
      <c r="H334" s="34" t="s">
        <v>12</v>
      </c>
      <c r="I334" s="34" t="s">
        <v>13</v>
      </c>
      <c r="J334" s="34" t="s">
        <v>14</v>
      </c>
      <c r="K334" s="34" t="s">
        <v>15</v>
      </c>
      <c r="L334">
        <v>6.533999999999998</v>
      </c>
    </row>
    <row r="335" spans="1:12" x14ac:dyDescent="0.3">
      <c r="A335" s="34" t="s">
        <v>662</v>
      </c>
      <c r="B335">
        <v>-1</v>
      </c>
      <c r="C335">
        <v>2050</v>
      </c>
      <c r="D335" s="34" t="s">
        <v>354</v>
      </c>
      <c r="E335" s="34" t="s">
        <v>355</v>
      </c>
      <c r="F335" s="34" t="s">
        <v>572</v>
      </c>
      <c r="G335" s="34" t="s">
        <v>16</v>
      </c>
      <c r="H335" s="34" t="s">
        <v>12</v>
      </c>
      <c r="I335" s="34" t="s">
        <v>13</v>
      </c>
      <c r="J335" s="34" t="s">
        <v>14</v>
      </c>
      <c r="K335" s="34" t="s">
        <v>15</v>
      </c>
      <c r="L335">
        <v>302.49213342354966</v>
      </c>
    </row>
    <row r="336" spans="1:12" x14ac:dyDescent="0.3">
      <c r="A336" s="34" t="s">
        <v>662</v>
      </c>
      <c r="B336">
        <v>-1</v>
      </c>
      <c r="C336">
        <v>2050</v>
      </c>
      <c r="D336" s="34" t="s">
        <v>354</v>
      </c>
      <c r="E336" s="34" t="s">
        <v>355</v>
      </c>
      <c r="F336" s="34" t="s">
        <v>572</v>
      </c>
      <c r="G336" s="34" t="s">
        <v>392</v>
      </c>
      <c r="H336" s="34" t="s">
        <v>13</v>
      </c>
      <c r="I336" s="34" t="s">
        <v>13</v>
      </c>
      <c r="J336" s="34" t="s">
        <v>17</v>
      </c>
      <c r="K336" s="34" t="s">
        <v>15</v>
      </c>
      <c r="L336">
        <v>172.19184960431738</v>
      </c>
    </row>
    <row r="337" spans="1:12" x14ac:dyDescent="0.3">
      <c r="A337" s="34" t="s">
        <v>662</v>
      </c>
      <c r="B337">
        <v>-1</v>
      </c>
      <c r="C337">
        <v>2050</v>
      </c>
      <c r="D337" s="34" t="s">
        <v>354</v>
      </c>
      <c r="E337" s="34" t="s">
        <v>355</v>
      </c>
      <c r="F337" s="34" t="s">
        <v>624</v>
      </c>
      <c r="G337" s="34" t="s">
        <v>28</v>
      </c>
      <c r="H337" s="34" t="s">
        <v>23</v>
      </c>
      <c r="I337" s="34" t="s">
        <v>19</v>
      </c>
      <c r="J337" s="34" t="s">
        <v>24</v>
      </c>
      <c r="K337" s="34" t="s">
        <v>15</v>
      </c>
      <c r="L337">
        <v>2.4897417461033912E-16</v>
      </c>
    </row>
    <row r="338" spans="1:12" x14ac:dyDescent="0.3">
      <c r="A338" s="34" t="s">
        <v>662</v>
      </c>
      <c r="B338">
        <v>-1</v>
      </c>
      <c r="C338">
        <v>2050</v>
      </c>
      <c r="D338" s="34" t="s">
        <v>354</v>
      </c>
      <c r="E338" s="34" t="s">
        <v>355</v>
      </c>
      <c r="F338" s="34" t="s">
        <v>624</v>
      </c>
      <c r="G338" s="34" t="s">
        <v>29</v>
      </c>
      <c r="H338" s="34" t="s">
        <v>21</v>
      </c>
      <c r="I338" s="34" t="s">
        <v>19</v>
      </c>
      <c r="J338" s="34" t="s">
        <v>22</v>
      </c>
      <c r="K338" s="34" t="s">
        <v>15</v>
      </c>
      <c r="L338">
        <v>-2.3030111151456365E-15</v>
      </c>
    </row>
    <row r="339" spans="1:12" x14ac:dyDescent="0.3">
      <c r="A339" s="34" t="s">
        <v>662</v>
      </c>
      <c r="B339">
        <v>-1</v>
      </c>
      <c r="C339">
        <v>2050</v>
      </c>
      <c r="D339" s="34" t="s">
        <v>354</v>
      </c>
      <c r="E339" s="34" t="s">
        <v>355</v>
      </c>
      <c r="F339" s="34" t="s">
        <v>624</v>
      </c>
      <c r="G339" s="34" t="s">
        <v>20</v>
      </c>
      <c r="H339" s="34" t="s">
        <v>21</v>
      </c>
      <c r="I339" s="34" t="s">
        <v>19</v>
      </c>
      <c r="J339" s="34" t="s">
        <v>22</v>
      </c>
      <c r="K339" s="34" t="s">
        <v>15</v>
      </c>
      <c r="L339">
        <v>1.6183321349672041E-15</v>
      </c>
    </row>
    <row r="340" spans="1:12" x14ac:dyDescent="0.3">
      <c r="A340" s="34" t="s">
        <v>662</v>
      </c>
      <c r="B340">
        <v>-1</v>
      </c>
      <c r="C340">
        <v>2050</v>
      </c>
      <c r="D340" s="34" t="s">
        <v>354</v>
      </c>
      <c r="E340" s="34" t="s">
        <v>355</v>
      </c>
      <c r="F340" s="34" t="s">
        <v>624</v>
      </c>
      <c r="G340" s="34" t="s">
        <v>30</v>
      </c>
      <c r="H340" s="34" t="s">
        <v>21</v>
      </c>
      <c r="I340" s="34" t="s">
        <v>19</v>
      </c>
      <c r="J340" s="34" t="s">
        <v>22</v>
      </c>
      <c r="K340" s="34" t="s">
        <v>15</v>
      </c>
      <c r="L340">
        <v>1.659827830735594E-16</v>
      </c>
    </row>
    <row r="341" spans="1:12" x14ac:dyDescent="0.3">
      <c r="A341" s="34" t="s">
        <v>662</v>
      </c>
      <c r="B341">
        <v>-1</v>
      </c>
      <c r="C341">
        <v>2050</v>
      </c>
      <c r="D341" s="34" t="s">
        <v>354</v>
      </c>
      <c r="E341" s="34" t="s">
        <v>355</v>
      </c>
      <c r="F341" s="34" t="s">
        <v>624</v>
      </c>
      <c r="G341" s="34" t="s">
        <v>644</v>
      </c>
      <c r="H341" s="34" t="s">
        <v>21</v>
      </c>
      <c r="I341" s="34" t="s">
        <v>19</v>
      </c>
      <c r="J341" s="34" t="s">
        <v>22</v>
      </c>
      <c r="K341" s="34" t="s">
        <v>15</v>
      </c>
      <c r="L341">
        <v>140.16846195089448</v>
      </c>
    </row>
    <row r="342" spans="1:12" x14ac:dyDescent="0.3">
      <c r="A342" s="34" t="s">
        <v>662</v>
      </c>
      <c r="B342">
        <v>-1</v>
      </c>
      <c r="C342">
        <v>2050</v>
      </c>
      <c r="D342" s="34" t="s">
        <v>354</v>
      </c>
      <c r="E342" s="34" t="s">
        <v>355</v>
      </c>
      <c r="F342" s="34" t="s">
        <v>624</v>
      </c>
      <c r="G342" s="34" t="s">
        <v>645</v>
      </c>
      <c r="H342" s="34" t="s">
        <v>23</v>
      </c>
      <c r="I342" s="34" t="s">
        <v>19</v>
      </c>
      <c r="J342" s="34" t="s">
        <v>24</v>
      </c>
      <c r="K342" s="34" t="s">
        <v>15</v>
      </c>
      <c r="L342">
        <v>504.32013937548464</v>
      </c>
    </row>
    <row r="343" spans="1:12" x14ac:dyDescent="0.3">
      <c r="A343" s="34" t="s">
        <v>662</v>
      </c>
      <c r="B343">
        <v>-1</v>
      </c>
      <c r="C343">
        <v>2050</v>
      </c>
      <c r="D343" s="34" t="s">
        <v>356</v>
      </c>
      <c r="E343" s="34" t="s">
        <v>357</v>
      </c>
      <c r="F343" s="34" t="s">
        <v>573</v>
      </c>
      <c r="G343" s="34" t="s">
        <v>43</v>
      </c>
      <c r="H343" s="34" t="s">
        <v>40</v>
      </c>
      <c r="I343" s="34" t="s">
        <v>19</v>
      </c>
      <c r="J343" s="34" t="s">
        <v>27</v>
      </c>
      <c r="K343" s="34" t="s">
        <v>15</v>
      </c>
      <c r="L343">
        <v>3.3196556614711879E-16</v>
      </c>
    </row>
    <row r="344" spans="1:12" x14ac:dyDescent="0.3">
      <c r="A344" s="34" t="s">
        <v>662</v>
      </c>
      <c r="B344">
        <v>-1</v>
      </c>
      <c r="C344">
        <v>2050</v>
      </c>
      <c r="D344" s="34" t="s">
        <v>356</v>
      </c>
      <c r="E344" s="34" t="s">
        <v>357</v>
      </c>
      <c r="F344" s="34" t="s">
        <v>573</v>
      </c>
      <c r="G344" s="34" t="s">
        <v>319</v>
      </c>
      <c r="H344" s="34" t="s">
        <v>12</v>
      </c>
      <c r="I344" s="34" t="s">
        <v>19</v>
      </c>
      <c r="J344" s="34" t="s">
        <v>258</v>
      </c>
      <c r="K344" s="34" t="s">
        <v>15</v>
      </c>
      <c r="L344">
        <v>0.11236577142857143</v>
      </c>
    </row>
    <row r="345" spans="1:12" x14ac:dyDescent="0.3">
      <c r="A345" s="34" t="s">
        <v>662</v>
      </c>
      <c r="B345">
        <v>-1</v>
      </c>
      <c r="C345">
        <v>2050</v>
      </c>
      <c r="D345" s="34" t="s">
        <v>356</v>
      </c>
      <c r="E345" s="34" t="s">
        <v>357</v>
      </c>
      <c r="F345" s="34" t="s">
        <v>573</v>
      </c>
      <c r="G345" s="34" t="s">
        <v>31</v>
      </c>
      <c r="H345" s="34" t="s">
        <v>18</v>
      </c>
      <c r="I345" s="34" t="s">
        <v>19</v>
      </c>
      <c r="J345" s="34" t="s">
        <v>32</v>
      </c>
      <c r="K345" s="34" t="s">
        <v>15</v>
      </c>
      <c r="L345">
        <v>10.504780135752203</v>
      </c>
    </row>
    <row r="346" spans="1:12" x14ac:dyDescent="0.3">
      <c r="A346" s="34" t="s">
        <v>662</v>
      </c>
      <c r="B346">
        <v>-1</v>
      </c>
      <c r="C346">
        <v>2050</v>
      </c>
      <c r="D346" s="34" t="s">
        <v>356</v>
      </c>
      <c r="E346" s="34" t="s">
        <v>357</v>
      </c>
      <c r="F346" s="34" t="s">
        <v>573</v>
      </c>
      <c r="G346" s="34" t="s">
        <v>180</v>
      </c>
      <c r="H346" s="34" t="s">
        <v>18</v>
      </c>
      <c r="I346" s="34" t="s">
        <v>19</v>
      </c>
      <c r="J346" s="34" t="s">
        <v>181</v>
      </c>
      <c r="K346" s="34" t="s">
        <v>15</v>
      </c>
      <c r="L346">
        <v>1.8653288870062885</v>
      </c>
    </row>
    <row r="347" spans="1:12" x14ac:dyDescent="0.3">
      <c r="A347" s="34" t="s">
        <v>662</v>
      </c>
      <c r="B347">
        <v>-1</v>
      </c>
      <c r="C347">
        <v>2050</v>
      </c>
      <c r="D347" s="34" t="s">
        <v>356</v>
      </c>
      <c r="E347" s="34" t="s">
        <v>357</v>
      </c>
      <c r="F347" s="34" t="s">
        <v>573</v>
      </c>
      <c r="G347" s="34" t="s">
        <v>307</v>
      </c>
      <c r="H347" s="34" t="s">
        <v>26</v>
      </c>
      <c r="I347" s="34" t="s">
        <v>19</v>
      </c>
      <c r="J347" s="34" t="s">
        <v>27</v>
      </c>
      <c r="K347" s="34" t="s">
        <v>15</v>
      </c>
      <c r="L347">
        <v>1.9917933968827129E-15</v>
      </c>
    </row>
    <row r="348" spans="1:12" x14ac:dyDescent="0.3">
      <c r="A348" s="34" t="s">
        <v>662</v>
      </c>
      <c r="B348">
        <v>-1</v>
      </c>
      <c r="C348">
        <v>2050</v>
      </c>
      <c r="D348" s="34" t="s">
        <v>356</v>
      </c>
      <c r="E348" s="34" t="s">
        <v>357</v>
      </c>
      <c r="F348" s="34" t="s">
        <v>573</v>
      </c>
      <c r="G348" s="34" t="s">
        <v>52</v>
      </c>
      <c r="H348" s="34" t="s">
        <v>53</v>
      </c>
      <c r="I348" s="34" t="s">
        <v>19</v>
      </c>
      <c r="J348" s="34" t="s">
        <v>27</v>
      </c>
      <c r="K348" s="34" t="s">
        <v>15</v>
      </c>
      <c r="L348">
        <v>2.0747847884194924E-17</v>
      </c>
    </row>
    <row r="349" spans="1:12" x14ac:dyDescent="0.3">
      <c r="A349" s="34" t="s">
        <v>662</v>
      </c>
      <c r="B349">
        <v>-1</v>
      </c>
      <c r="C349">
        <v>2050</v>
      </c>
      <c r="D349" s="34" t="s">
        <v>356</v>
      </c>
      <c r="E349" s="34" t="s">
        <v>357</v>
      </c>
      <c r="F349" s="34" t="s">
        <v>573</v>
      </c>
      <c r="G349" s="34" t="s">
        <v>11</v>
      </c>
      <c r="H349" s="34" t="s">
        <v>12</v>
      </c>
      <c r="I349" s="34" t="s">
        <v>13</v>
      </c>
      <c r="J349" s="34" t="s">
        <v>14</v>
      </c>
      <c r="K349" s="34" t="s">
        <v>15</v>
      </c>
      <c r="L349">
        <v>3.9306778336970249</v>
      </c>
    </row>
    <row r="350" spans="1:12" x14ac:dyDescent="0.3">
      <c r="A350" s="34" t="s">
        <v>662</v>
      </c>
      <c r="B350">
        <v>-1</v>
      </c>
      <c r="C350">
        <v>2050</v>
      </c>
      <c r="D350" s="34" t="s">
        <v>356</v>
      </c>
      <c r="E350" s="34" t="s">
        <v>357</v>
      </c>
      <c r="F350" s="34" t="s">
        <v>573</v>
      </c>
      <c r="G350" s="34" t="s">
        <v>16</v>
      </c>
      <c r="H350" s="34" t="s">
        <v>12</v>
      </c>
      <c r="I350" s="34" t="s">
        <v>13</v>
      </c>
      <c r="J350" s="34" t="s">
        <v>14</v>
      </c>
      <c r="K350" s="34" t="s">
        <v>15</v>
      </c>
      <c r="L350">
        <v>10.853506028641238</v>
      </c>
    </row>
    <row r="351" spans="1:12" x14ac:dyDescent="0.3">
      <c r="A351" s="34" t="s">
        <v>662</v>
      </c>
      <c r="B351">
        <v>-1</v>
      </c>
      <c r="C351">
        <v>2050</v>
      </c>
      <c r="D351" s="34" t="s">
        <v>356</v>
      </c>
      <c r="E351" s="34" t="s">
        <v>357</v>
      </c>
      <c r="F351" s="34" t="s">
        <v>573</v>
      </c>
      <c r="G351" s="34" t="s">
        <v>392</v>
      </c>
      <c r="H351" s="34" t="s">
        <v>13</v>
      </c>
      <c r="I351" s="34" t="s">
        <v>13</v>
      </c>
      <c r="J351" s="34" t="s">
        <v>17</v>
      </c>
      <c r="K351" s="34" t="s">
        <v>15</v>
      </c>
      <c r="L351">
        <v>9.3923885089383887</v>
      </c>
    </row>
    <row r="352" spans="1:12" x14ac:dyDescent="0.3">
      <c r="A352" s="34" t="s">
        <v>662</v>
      </c>
      <c r="B352">
        <v>-1</v>
      </c>
      <c r="C352">
        <v>2050</v>
      </c>
      <c r="D352" s="34" t="s">
        <v>356</v>
      </c>
      <c r="E352" s="34" t="s">
        <v>357</v>
      </c>
      <c r="F352" s="34" t="s">
        <v>625</v>
      </c>
      <c r="G352" s="34" t="s">
        <v>28</v>
      </c>
      <c r="H352" s="34" t="s">
        <v>23</v>
      </c>
      <c r="I352" s="34" t="s">
        <v>19</v>
      </c>
      <c r="J352" s="34" t="s">
        <v>24</v>
      </c>
      <c r="K352" s="34" t="s">
        <v>15</v>
      </c>
      <c r="L352">
        <v>-2.0747847884194924E-17</v>
      </c>
    </row>
    <row r="353" spans="1:12" x14ac:dyDescent="0.3">
      <c r="A353" s="34" t="s">
        <v>662</v>
      </c>
      <c r="B353">
        <v>-1</v>
      </c>
      <c r="C353">
        <v>2050</v>
      </c>
      <c r="D353" s="34" t="s">
        <v>356</v>
      </c>
      <c r="E353" s="34" t="s">
        <v>357</v>
      </c>
      <c r="F353" s="34" t="s">
        <v>625</v>
      </c>
      <c r="G353" s="34" t="s">
        <v>29</v>
      </c>
      <c r="H353" s="34" t="s">
        <v>21</v>
      </c>
      <c r="I353" s="34" t="s">
        <v>19</v>
      </c>
      <c r="J353" s="34" t="s">
        <v>22</v>
      </c>
      <c r="K353" s="34" t="s">
        <v>15</v>
      </c>
      <c r="L353">
        <v>2.9046987037872895E-16</v>
      </c>
    </row>
    <row r="354" spans="1:12" x14ac:dyDescent="0.3">
      <c r="A354" s="34" t="s">
        <v>662</v>
      </c>
      <c r="B354">
        <v>-1</v>
      </c>
      <c r="C354">
        <v>2050</v>
      </c>
      <c r="D354" s="34" t="s">
        <v>356</v>
      </c>
      <c r="E354" s="34" t="s">
        <v>357</v>
      </c>
      <c r="F354" s="34" t="s">
        <v>625</v>
      </c>
      <c r="G354" s="34" t="s">
        <v>20</v>
      </c>
      <c r="H354" s="34" t="s">
        <v>21</v>
      </c>
      <c r="I354" s="34" t="s">
        <v>19</v>
      </c>
      <c r="J354" s="34" t="s">
        <v>22</v>
      </c>
      <c r="K354" s="34" t="s">
        <v>15</v>
      </c>
      <c r="L354">
        <v>5.4307491836880213E-15</v>
      </c>
    </row>
    <row r="355" spans="1:12" x14ac:dyDescent="0.3">
      <c r="A355" s="34" t="s">
        <v>662</v>
      </c>
      <c r="B355">
        <v>-1</v>
      </c>
      <c r="C355">
        <v>2050</v>
      </c>
      <c r="D355" s="34" t="s">
        <v>356</v>
      </c>
      <c r="E355" s="34" t="s">
        <v>357</v>
      </c>
      <c r="F355" s="34" t="s">
        <v>625</v>
      </c>
      <c r="G355" s="34" t="s">
        <v>645</v>
      </c>
      <c r="H355" s="34" t="s">
        <v>23</v>
      </c>
      <c r="I355" s="34" t="s">
        <v>19</v>
      </c>
      <c r="J355" s="34" t="s">
        <v>24</v>
      </c>
      <c r="K355" s="34" t="s">
        <v>15</v>
      </c>
      <c r="L355">
        <v>41.058791354432479</v>
      </c>
    </row>
    <row r="356" spans="1:12" x14ac:dyDescent="0.3">
      <c r="A356" s="34" t="s">
        <v>662</v>
      </c>
      <c r="B356">
        <v>-1</v>
      </c>
      <c r="C356">
        <v>2050</v>
      </c>
      <c r="D356" s="34" t="s">
        <v>358</v>
      </c>
      <c r="E356" s="34" t="s">
        <v>359</v>
      </c>
      <c r="F356" s="34" t="s">
        <v>574</v>
      </c>
      <c r="G356" s="34" t="s">
        <v>43</v>
      </c>
      <c r="H356" s="34" t="s">
        <v>40</v>
      </c>
      <c r="I356" s="34" t="s">
        <v>19</v>
      </c>
      <c r="J356" s="34" t="s">
        <v>27</v>
      </c>
      <c r="K356" s="34" t="s">
        <v>15</v>
      </c>
      <c r="L356">
        <v>-4.1495695768389849E-17</v>
      </c>
    </row>
    <row r="357" spans="1:12" x14ac:dyDescent="0.3">
      <c r="A357" s="34" t="s">
        <v>662</v>
      </c>
      <c r="B357">
        <v>-1</v>
      </c>
      <c r="C357">
        <v>2050</v>
      </c>
      <c r="D357" s="34" t="s">
        <v>358</v>
      </c>
      <c r="E357" s="34" t="s">
        <v>359</v>
      </c>
      <c r="F357" s="34" t="s">
        <v>574</v>
      </c>
      <c r="G357" s="34" t="s">
        <v>319</v>
      </c>
      <c r="H357" s="34" t="s">
        <v>12</v>
      </c>
      <c r="I357" s="34" t="s">
        <v>19</v>
      </c>
      <c r="J357" s="34" t="s">
        <v>258</v>
      </c>
      <c r="K357" s="34" t="s">
        <v>15</v>
      </c>
      <c r="L357">
        <v>4.3583607142857146E-2</v>
      </c>
    </row>
    <row r="358" spans="1:12" x14ac:dyDescent="0.3">
      <c r="A358" s="34" t="s">
        <v>662</v>
      </c>
      <c r="B358">
        <v>-1</v>
      </c>
      <c r="C358">
        <v>2050</v>
      </c>
      <c r="D358" s="34" t="s">
        <v>358</v>
      </c>
      <c r="E358" s="34" t="s">
        <v>359</v>
      </c>
      <c r="F358" s="34" t="s">
        <v>574</v>
      </c>
      <c r="G358" s="34" t="s">
        <v>31</v>
      </c>
      <c r="H358" s="34" t="s">
        <v>18</v>
      </c>
      <c r="I358" s="34" t="s">
        <v>19</v>
      </c>
      <c r="J358" s="34" t="s">
        <v>32</v>
      </c>
      <c r="K358" s="34" t="s">
        <v>15</v>
      </c>
      <c r="L358">
        <v>1.2574450448867183</v>
      </c>
    </row>
    <row r="359" spans="1:12" x14ac:dyDescent="0.3">
      <c r="A359" s="34" t="s">
        <v>662</v>
      </c>
      <c r="B359">
        <v>-1</v>
      </c>
      <c r="C359">
        <v>2050</v>
      </c>
      <c r="D359" s="34" t="s">
        <v>358</v>
      </c>
      <c r="E359" s="34" t="s">
        <v>359</v>
      </c>
      <c r="F359" s="34" t="s">
        <v>574</v>
      </c>
      <c r="G359" s="34" t="s">
        <v>180</v>
      </c>
      <c r="H359" s="34" t="s">
        <v>18</v>
      </c>
      <c r="I359" s="34" t="s">
        <v>19</v>
      </c>
      <c r="J359" s="34" t="s">
        <v>181</v>
      </c>
      <c r="K359" s="34" t="s">
        <v>15</v>
      </c>
      <c r="L359">
        <v>3.4129558158585809</v>
      </c>
    </row>
    <row r="360" spans="1:12" x14ac:dyDescent="0.3">
      <c r="A360" s="34" t="s">
        <v>662</v>
      </c>
      <c r="B360">
        <v>-1</v>
      </c>
      <c r="C360">
        <v>2050</v>
      </c>
      <c r="D360" s="34" t="s">
        <v>358</v>
      </c>
      <c r="E360" s="34" t="s">
        <v>359</v>
      </c>
      <c r="F360" s="34" t="s">
        <v>626</v>
      </c>
      <c r="G360" s="34" t="s">
        <v>645</v>
      </c>
      <c r="H360" s="34" t="s">
        <v>23</v>
      </c>
      <c r="I360" s="34" t="s">
        <v>19</v>
      </c>
      <c r="J360" s="34" t="s">
        <v>24</v>
      </c>
      <c r="K360" s="34" t="s">
        <v>15</v>
      </c>
      <c r="L360">
        <v>10.2334447401494</v>
      </c>
    </row>
    <row r="361" spans="1:12" x14ac:dyDescent="0.3">
      <c r="A361" s="34" t="s">
        <v>662</v>
      </c>
      <c r="B361">
        <v>-1</v>
      </c>
      <c r="C361">
        <v>2050</v>
      </c>
      <c r="D361" s="34" t="s">
        <v>360</v>
      </c>
      <c r="E361" s="34" t="s">
        <v>361</v>
      </c>
      <c r="F361" s="34" t="s">
        <v>575</v>
      </c>
      <c r="G361" s="34" t="s">
        <v>31</v>
      </c>
      <c r="H361" s="34" t="s">
        <v>18</v>
      </c>
      <c r="I361" s="34" t="s">
        <v>19</v>
      </c>
      <c r="J361" s="34" t="s">
        <v>32</v>
      </c>
      <c r="K361" s="34" t="s">
        <v>15</v>
      </c>
      <c r="L361">
        <v>8.4230768557005065E-2</v>
      </c>
    </row>
    <row r="362" spans="1:12" x14ac:dyDescent="0.3">
      <c r="A362" s="34" t="s">
        <v>662</v>
      </c>
      <c r="B362">
        <v>-1</v>
      </c>
      <c r="C362">
        <v>2050</v>
      </c>
      <c r="D362" s="34" t="s">
        <v>360</v>
      </c>
      <c r="E362" s="34" t="s">
        <v>361</v>
      </c>
      <c r="F362" s="34" t="s">
        <v>575</v>
      </c>
      <c r="G362" s="34" t="s">
        <v>180</v>
      </c>
      <c r="H362" s="34" t="s">
        <v>18</v>
      </c>
      <c r="I362" s="34" t="s">
        <v>19</v>
      </c>
      <c r="J362" s="34" t="s">
        <v>181</v>
      </c>
      <c r="K362" s="34" t="s">
        <v>15</v>
      </c>
      <c r="L362">
        <v>5.5566305431747127E-2</v>
      </c>
    </row>
    <row r="363" spans="1:12" x14ac:dyDescent="0.3">
      <c r="A363" s="34" t="s">
        <v>662</v>
      </c>
      <c r="B363">
        <v>-1</v>
      </c>
      <c r="C363">
        <v>2050</v>
      </c>
      <c r="D363" s="34" t="s">
        <v>360</v>
      </c>
      <c r="E363" s="34" t="s">
        <v>361</v>
      </c>
      <c r="F363" s="34" t="s">
        <v>575</v>
      </c>
      <c r="G363" s="34" t="s">
        <v>253</v>
      </c>
      <c r="H363" s="34" t="s">
        <v>254</v>
      </c>
      <c r="I363" s="34" t="s">
        <v>19</v>
      </c>
      <c r="J363" s="34" t="s">
        <v>27</v>
      </c>
      <c r="K363" s="34" t="s">
        <v>15</v>
      </c>
      <c r="L363">
        <v>1.2241103396921806</v>
      </c>
    </row>
    <row r="364" spans="1:12" x14ac:dyDescent="0.3">
      <c r="A364" s="34" t="s">
        <v>662</v>
      </c>
      <c r="B364">
        <v>-1</v>
      </c>
      <c r="C364">
        <v>2050</v>
      </c>
      <c r="D364" s="34" t="s">
        <v>360</v>
      </c>
      <c r="E364" s="34" t="s">
        <v>361</v>
      </c>
      <c r="F364" s="34" t="s">
        <v>575</v>
      </c>
      <c r="G364" s="34" t="s">
        <v>52</v>
      </c>
      <c r="H364" s="34" t="s">
        <v>53</v>
      </c>
      <c r="I364" s="34" t="s">
        <v>19</v>
      </c>
      <c r="J364" s="34" t="s">
        <v>27</v>
      </c>
      <c r="K364" s="34" t="s">
        <v>15</v>
      </c>
      <c r="L364">
        <v>-2.0747847884194924E-17</v>
      </c>
    </row>
    <row r="365" spans="1:12" x14ac:dyDescent="0.3">
      <c r="A365" s="34" t="s">
        <v>662</v>
      </c>
      <c r="B365">
        <v>-1</v>
      </c>
      <c r="C365">
        <v>2050</v>
      </c>
      <c r="D365" s="34" t="s">
        <v>360</v>
      </c>
      <c r="E365" s="34" t="s">
        <v>361</v>
      </c>
      <c r="F365" s="34" t="s">
        <v>627</v>
      </c>
      <c r="G365" s="34" t="s">
        <v>28</v>
      </c>
      <c r="H365" s="34" t="s">
        <v>23</v>
      </c>
      <c r="I365" s="34" t="s">
        <v>19</v>
      </c>
      <c r="J365" s="34" t="s">
        <v>24</v>
      </c>
      <c r="K365" s="34" t="s">
        <v>15</v>
      </c>
      <c r="L365">
        <v>1.4523493518936448E-16</v>
      </c>
    </row>
    <row r="366" spans="1:12" x14ac:dyDescent="0.3">
      <c r="A366" s="34" t="s">
        <v>662</v>
      </c>
      <c r="B366">
        <v>-1</v>
      </c>
      <c r="C366">
        <v>2050</v>
      </c>
      <c r="D366" s="34" t="s">
        <v>360</v>
      </c>
      <c r="E366" s="34" t="s">
        <v>361</v>
      </c>
      <c r="F366" s="34" t="s">
        <v>627</v>
      </c>
      <c r="G366" s="34" t="s">
        <v>644</v>
      </c>
      <c r="H366" s="34" t="s">
        <v>21</v>
      </c>
      <c r="I366" s="34" t="s">
        <v>19</v>
      </c>
      <c r="J366" s="34" t="s">
        <v>22</v>
      </c>
      <c r="K366" s="34" t="s">
        <v>15</v>
      </c>
      <c r="L366">
        <v>2.3610899999999995</v>
      </c>
    </row>
    <row r="367" spans="1:12" x14ac:dyDescent="0.3">
      <c r="A367" s="34" t="s">
        <v>662</v>
      </c>
      <c r="B367">
        <v>-1</v>
      </c>
      <c r="C367">
        <v>2050</v>
      </c>
      <c r="D367" s="34" t="s">
        <v>362</v>
      </c>
      <c r="E367" s="34" t="s">
        <v>363</v>
      </c>
      <c r="F367" s="34" t="s">
        <v>576</v>
      </c>
      <c r="G367" s="34" t="s">
        <v>180</v>
      </c>
      <c r="H367" s="34" t="s">
        <v>18</v>
      </c>
      <c r="I367" s="34" t="s">
        <v>19</v>
      </c>
      <c r="J367" s="34" t="s">
        <v>181</v>
      </c>
      <c r="K367" s="34" t="s">
        <v>15</v>
      </c>
      <c r="L367">
        <v>3.1337139763792439</v>
      </c>
    </row>
    <row r="368" spans="1:12" x14ac:dyDescent="0.3">
      <c r="A368" s="34" t="s">
        <v>662</v>
      </c>
      <c r="B368">
        <v>-1</v>
      </c>
      <c r="C368">
        <v>2050</v>
      </c>
      <c r="D368" s="34" t="s">
        <v>362</v>
      </c>
      <c r="E368" s="34" t="s">
        <v>363</v>
      </c>
      <c r="F368" s="34" t="s">
        <v>576</v>
      </c>
      <c r="G368" s="34" t="s">
        <v>253</v>
      </c>
      <c r="H368" s="34" t="s">
        <v>254</v>
      </c>
      <c r="I368" s="34" t="s">
        <v>19</v>
      </c>
      <c r="J368" s="34" t="s">
        <v>27</v>
      </c>
      <c r="K368" s="34" t="s">
        <v>15</v>
      </c>
      <c r="L368">
        <v>4.9081919999999988</v>
      </c>
    </row>
    <row r="369" spans="1:12" x14ac:dyDescent="0.3">
      <c r="A369" s="34" t="s">
        <v>662</v>
      </c>
      <c r="B369">
        <v>-1</v>
      </c>
      <c r="C369">
        <v>2050</v>
      </c>
      <c r="D369" s="34" t="s">
        <v>362</v>
      </c>
      <c r="E369" s="34" t="s">
        <v>363</v>
      </c>
      <c r="F369" s="34" t="s">
        <v>628</v>
      </c>
      <c r="G369" s="34" t="s">
        <v>645</v>
      </c>
      <c r="H369" s="34" t="s">
        <v>23</v>
      </c>
      <c r="I369" s="34" t="s">
        <v>19</v>
      </c>
      <c r="J369" s="34" t="s">
        <v>24</v>
      </c>
      <c r="K369" s="34" t="s">
        <v>15</v>
      </c>
      <c r="L369">
        <v>11.636786922790854</v>
      </c>
    </row>
    <row r="370" spans="1:12" x14ac:dyDescent="0.3">
      <c r="A370" s="34" t="s">
        <v>662</v>
      </c>
      <c r="B370">
        <v>-1</v>
      </c>
      <c r="C370">
        <v>2050</v>
      </c>
      <c r="D370" s="34" t="s">
        <v>364</v>
      </c>
      <c r="E370" s="34" t="s">
        <v>365</v>
      </c>
      <c r="F370" s="34" t="s">
        <v>577</v>
      </c>
      <c r="G370" s="34" t="s">
        <v>43</v>
      </c>
      <c r="H370" s="34" t="s">
        <v>40</v>
      </c>
      <c r="I370" s="34" t="s">
        <v>19</v>
      </c>
      <c r="J370" s="34" t="s">
        <v>27</v>
      </c>
      <c r="K370" s="34" t="s">
        <v>15</v>
      </c>
      <c r="L370">
        <v>2.0747847884194924E-17</v>
      </c>
    </row>
    <row r="371" spans="1:12" x14ac:dyDescent="0.3">
      <c r="A371" s="34" t="s">
        <v>662</v>
      </c>
      <c r="B371">
        <v>-1</v>
      </c>
      <c r="C371">
        <v>2050</v>
      </c>
      <c r="D371" s="34" t="s">
        <v>364</v>
      </c>
      <c r="E371" s="34" t="s">
        <v>365</v>
      </c>
      <c r="F371" s="34" t="s">
        <v>577</v>
      </c>
      <c r="G371" s="34" t="s">
        <v>319</v>
      </c>
      <c r="H371" s="34" t="s">
        <v>12</v>
      </c>
      <c r="I371" s="34" t="s">
        <v>19</v>
      </c>
      <c r="J371" s="34" t="s">
        <v>258</v>
      </c>
      <c r="K371" s="34" t="s">
        <v>15</v>
      </c>
      <c r="L371">
        <v>1.3370080357142858E-2</v>
      </c>
    </row>
    <row r="372" spans="1:12" x14ac:dyDescent="0.3">
      <c r="A372" s="34" t="s">
        <v>662</v>
      </c>
      <c r="B372">
        <v>-1</v>
      </c>
      <c r="C372">
        <v>2050</v>
      </c>
      <c r="D372" s="34" t="s">
        <v>364</v>
      </c>
      <c r="E372" s="34" t="s">
        <v>365</v>
      </c>
      <c r="F372" s="34" t="s">
        <v>577</v>
      </c>
      <c r="G372" s="34" t="s">
        <v>31</v>
      </c>
      <c r="H372" s="34" t="s">
        <v>18</v>
      </c>
      <c r="I372" s="34" t="s">
        <v>19</v>
      </c>
      <c r="J372" s="34" t="s">
        <v>32</v>
      </c>
      <c r="K372" s="34" t="s">
        <v>15</v>
      </c>
      <c r="L372">
        <v>4.3439010641541183</v>
      </c>
    </row>
    <row r="373" spans="1:12" x14ac:dyDescent="0.3">
      <c r="A373" s="34" t="s">
        <v>662</v>
      </c>
      <c r="B373">
        <v>-1</v>
      </c>
      <c r="C373">
        <v>2050</v>
      </c>
      <c r="D373" s="34" t="s">
        <v>364</v>
      </c>
      <c r="E373" s="34" t="s">
        <v>365</v>
      </c>
      <c r="F373" s="34" t="s">
        <v>577</v>
      </c>
      <c r="G373" s="34" t="s">
        <v>180</v>
      </c>
      <c r="H373" s="34" t="s">
        <v>18</v>
      </c>
      <c r="I373" s="34" t="s">
        <v>19</v>
      </c>
      <c r="J373" s="34" t="s">
        <v>181</v>
      </c>
      <c r="K373" s="34" t="s">
        <v>15</v>
      </c>
      <c r="L373">
        <v>1.1874829739474906</v>
      </c>
    </row>
    <row r="374" spans="1:12" x14ac:dyDescent="0.3">
      <c r="A374" s="34" t="s">
        <v>662</v>
      </c>
      <c r="B374">
        <v>-1</v>
      </c>
      <c r="C374">
        <v>2050</v>
      </c>
      <c r="D374" s="34" t="s">
        <v>364</v>
      </c>
      <c r="E374" s="34" t="s">
        <v>365</v>
      </c>
      <c r="F374" s="34" t="s">
        <v>629</v>
      </c>
      <c r="G374" s="34" t="s">
        <v>20</v>
      </c>
      <c r="H374" s="34" t="s">
        <v>21</v>
      </c>
      <c r="I374" s="34" t="s">
        <v>19</v>
      </c>
      <c r="J374" s="34" t="s">
        <v>22</v>
      </c>
      <c r="K374" s="34" t="s">
        <v>15</v>
      </c>
      <c r="L374">
        <v>8.2991391536779698E-17</v>
      </c>
    </row>
    <row r="375" spans="1:12" x14ac:dyDescent="0.3">
      <c r="A375" s="34" t="s">
        <v>662</v>
      </c>
      <c r="B375">
        <v>-1</v>
      </c>
      <c r="C375">
        <v>2050</v>
      </c>
      <c r="D375" s="34" t="s">
        <v>364</v>
      </c>
      <c r="E375" s="34" t="s">
        <v>365</v>
      </c>
      <c r="F375" s="34" t="s">
        <v>629</v>
      </c>
      <c r="G375" s="34" t="s">
        <v>644</v>
      </c>
      <c r="H375" s="34" t="s">
        <v>21</v>
      </c>
      <c r="I375" s="34" t="s">
        <v>19</v>
      </c>
      <c r="J375" s="34" t="s">
        <v>22</v>
      </c>
      <c r="K375" s="34" t="s">
        <v>15</v>
      </c>
      <c r="L375">
        <v>20.375638445007695</v>
      </c>
    </row>
    <row r="376" spans="1:12" x14ac:dyDescent="0.3">
      <c r="A376" s="34" t="s">
        <v>662</v>
      </c>
      <c r="B376">
        <v>-1</v>
      </c>
      <c r="C376">
        <v>2050</v>
      </c>
      <c r="D376" s="34" t="s">
        <v>366</v>
      </c>
      <c r="E376" s="34" t="s">
        <v>367</v>
      </c>
      <c r="F376" s="34" t="s">
        <v>578</v>
      </c>
      <c r="G376" s="34" t="s">
        <v>31</v>
      </c>
      <c r="H376" s="34" t="s">
        <v>18</v>
      </c>
      <c r="I376" s="34" t="s">
        <v>19</v>
      </c>
      <c r="J376" s="34" t="s">
        <v>32</v>
      </c>
      <c r="K376" s="34" t="s">
        <v>15</v>
      </c>
      <c r="L376">
        <v>10.197939478865969</v>
      </c>
    </row>
    <row r="377" spans="1:12" x14ac:dyDescent="0.3">
      <c r="A377" s="34" t="s">
        <v>662</v>
      </c>
      <c r="B377">
        <v>-1</v>
      </c>
      <c r="C377">
        <v>2050</v>
      </c>
      <c r="D377" s="34" t="s">
        <v>366</v>
      </c>
      <c r="E377" s="34" t="s">
        <v>367</v>
      </c>
      <c r="F377" s="34" t="s">
        <v>578</v>
      </c>
      <c r="G377" s="34" t="s">
        <v>180</v>
      </c>
      <c r="H377" s="34" t="s">
        <v>18</v>
      </c>
      <c r="I377" s="34" t="s">
        <v>19</v>
      </c>
      <c r="J377" s="34" t="s">
        <v>181</v>
      </c>
      <c r="K377" s="34" t="s">
        <v>15</v>
      </c>
      <c r="L377">
        <v>7.7567177633149536</v>
      </c>
    </row>
    <row r="378" spans="1:12" x14ac:dyDescent="0.3">
      <c r="A378" s="34" t="s">
        <v>662</v>
      </c>
      <c r="B378">
        <v>-1</v>
      </c>
      <c r="C378">
        <v>2050</v>
      </c>
      <c r="D378" s="34" t="s">
        <v>366</v>
      </c>
      <c r="E378" s="34" t="s">
        <v>367</v>
      </c>
      <c r="F378" s="34" t="s">
        <v>578</v>
      </c>
      <c r="G378" s="34" t="s">
        <v>16</v>
      </c>
      <c r="H378" s="34" t="s">
        <v>12</v>
      </c>
      <c r="I378" s="34" t="s">
        <v>13</v>
      </c>
      <c r="J378" s="34" t="s">
        <v>14</v>
      </c>
      <c r="K378" s="34" t="s">
        <v>15</v>
      </c>
      <c r="L378">
        <v>8.5869156453494639</v>
      </c>
    </row>
    <row r="379" spans="1:12" x14ac:dyDescent="0.3">
      <c r="A379" s="34" t="s">
        <v>662</v>
      </c>
      <c r="B379">
        <v>-1</v>
      </c>
      <c r="C379">
        <v>2050</v>
      </c>
      <c r="D379" s="34" t="s">
        <v>366</v>
      </c>
      <c r="E379" s="34" t="s">
        <v>367</v>
      </c>
      <c r="F379" s="34" t="s">
        <v>578</v>
      </c>
      <c r="G379" s="34" t="s">
        <v>392</v>
      </c>
      <c r="H379" s="34" t="s">
        <v>13</v>
      </c>
      <c r="I379" s="34" t="s">
        <v>13</v>
      </c>
      <c r="J379" s="34" t="s">
        <v>17</v>
      </c>
      <c r="K379" s="34" t="s">
        <v>15</v>
      </c>
      <c r="L379">
        <v>6.1056838086125778</v>
      </c>
    </row>
    <row r="380" spans="1:12" x14ac:dyDescent="0.3">
      <c r="A380" s="34" t="s">
        <v>662</v>
      </c>
      <c r="B380">
        <v>-1</v>
      </c>
      <c r="C380">
        <v>2050</v>
      </c>
      <c r="D380" s="34" t="s">
        <v>366</v>
      </c>
      <c r="E380" s="34" t="s">
        <v>367</v>
      </c>
      <c r="F380" s="34" t="s">
        <v>630</v>
      </c>
      <c r="G380" s="34" t="s">
        <v>28</v>
      </c>
      <c r="H380" s="34" t="s">
        <v>23</v>
      </c>
      <c r="I380" s="34" t="s">
        <v>19</v>
      </c>
      <c r="J380" s="34" t="s">
        <v>24</v>
      </c>
      <c r="K380" s="34" t="s">
        <v>15</v>
      </c>
      <c r="L380">
        <v>4.1495695768389851E-16</v>
      </c>
    </row>
    <row r="381" spans="1:12" x14ac:dyDescent="0.3">
      <c r="A381" s="34" t="s">
        <v>662</v>
      </c>
      <c r="B381">
        <v>-1</v>
      </c>
      <c r="C381">
        <v>2050</v>
      </c>
      <c r="D381" s="34" t="s">
        <v>366</v>
      </c>
      <c r="E381" s="34" t="s">
        <v>367</v>
      </c>
      <c r="F381" s="34" t="s">
        <v>630</v>
      </c>
      <c r="G381" s="34" t="s">
        <v>29</v>
      </c>
      <c r="H381" s="34" t="s">
        <v>21</v>
      </c>
      <c r="I381" s="34" t="s">
        <v>19</v>
      </c>
      <c r="J381" s="34" t="s">
        <v>22</v>
      </c>
      <c r="K381" s="34" t="s">
        <v>15</v>
      </c>
      <c r="L381">
        <v>4.1495695768389851E-16</v>
      </c>
    </row>
    <row r="382" spans="1:12" x14ac:dyDescent="0.3">
      <c r="A382" s="34" t="s">
        <v>662</v>
      </c>
      <c r="B382">
        <v>-1</v>
      </c>
      <c r="C382">
        <v>2050</v>
      </c>
      <c r="D382" s="34" t="s">
        <v>366</v>
      </c>
      <c r="E382" s="34" t="s">
        <v>367</v>
      </c>
      <c r="F382" s="34" t="s">
        <v>630</v>
      </c>
      <c r="G382" s="34" t="s">
        <v>20</v>
      </c>
      <c r="H382" s="34" t="s">
        <v>21</v>
      </c>
      <c r="I382" s="34" t="s">
        <v>19</v>
      </c>
      <c r="J382" s="34" t="s">
        <v>22</v>
      </c>
      <c r="K382" s="34" t="s">
        <v>15</v>
      </c>
      <c r="L382">
        <v>2.0747847884194924E-17</v>
      </c>
    </row>
    <row r="383" spans="1:12" x14ac:dyDescent="0.3">
      <c r="A383" s="34" t="s">
        <v>662</v>
      </c>
      <c r="B383">
        <v>-1</v>
      </c>
      <c r="C383">
        <v>2050</v>
      </c>
      <c r="D383" s="34" t="s">
        <v>366</v>
      </c>
      <c r="E383" s="34" t="s">
        <v>367</v>
      </c>
      <c r="F383" s="34" t="s">
        <v>630</v>
      </c>
      <c r="G383" s="34" t="s">
        <v>644</v>
      </c>
      <c r="H383" s="34" t="s">
        <v>21</v>
      </c>
      <c r="I383" s="34" t="s">
        <v>19</v>
      </c>
      <c r="J383" s="34" t="s">
        <v>22</v>
      </c>
      <c r="K383" s="34" t="s">
        <v>15</v>
      </c>
      <c r="L383">
        <v>62.108395798640196</v>
      </c>
    </row>
    <row r="384" spans="1:12" x14ac:dyDescent="0.3">
      <c r="A384" s="34" t="s">
        <v>662</v>
      </c>
      <c r="B384">
        <v>-1</v>
      </c>
      <c r="C384">
        <v>2050</v>
      </c>
      <c r="D384" s="34" t="s">
        <v>366</v>
      </c>
      <c r="E384" s="34" t="s">
        <v>367</v>
      </c>
      <c r="F384" s="34" t="s">
        <v>630</v>
      </c>
      <c r="G384" s="34" t="s">
        <v>645</v>
      </c>
      <c r="H384" s="34" t="s">
        <v>23</v>
      </c>
      <c r="I384" s="34" t="s">
        <v>19</v>
      </c>
      <c r="J384" s="34" t="s">
        <v>24</v>
      </c>
      <c r="K384" s="34" t="s">
        <v>15</v>
      </c>
      <c r="L384">
        <v>11.452587442148019</v>
      </c>
    </row>
    <row r="385" spans="1:12" x14ac:dyDescent="0.3">
      <c r="A385" s="34" t="s">
        <v>662</v>
      </c>
      <c r="B385">
        <v>-1</v>
      </c>
      <c r="C385">
        <v>2050</v>
      </c>
      <c r="D385" s="34" t="s">
        <v>368</v>
      </c>
      <c r="E385" s="34" t="s">
        <v>369</v>
      </c>
      <c r="F385" s="34" t="s">
        <v>579</v>
      </c>
      <c r="G385" s="34" t="s">
        <v>31</v>
      </c>
      <c r="H385" s="34" t="s">
        <v>18</v>
      </c>
      <c r="I385" s="34" t="s">
        <v>19</v>
      </c>
      <c r="J385" s="34" t="s">
        <v>32</v>
      </c>
      <c r="K385" s="34" t="s">
        <v>15</v>
      </c>
      <c r="L385">
        <v>5.4449175388635416</v>
      </c>
    </row>
    <row r="386" spans="1:12" x14ac:dyDescent="0.3">
      <c r="A386" s="34" t="s">
        <v>662</v>
      </c>
      <c r="B386">
        <v>-1</v>
      </c>
      <c r="C386">
        <v>2050</v>
      </c>
      <c r="D386" s="34" t="s">
        <v>368</v>
      </c>
      <c r="E386" s="34" t="s">
        <v>369</v>
      </c>
      <c r="F386" s="34" t="s">
        <v>579</v>
      </c>
      <c r="G386" s="34" t="s">
        <v>180</v>
      </c>
      <c r="H386" s="34" t="s">
        <v>18</v>
      </c>
      <c r="I386" s="34" t="s">
        <v>19</v>
      </c>
      <c r="J386" s="34" t="s">
        <v>181</v>
      </c>
      <c r="K386" s="34" t="s">
        <v>15</v>
      </c>
      <c r="L386">
        <v>1.5146754323273215</v>
      </c>
    </row>
    <row r="387" spans="1:12" x14ac:dyDescent="0.3">
      <c r="A387" s="34" t="s">
        <v>662</v>
      </c>
      <c r="B387">
        <v>-1</v>
      </c>
      <c r="C387">
        <v>2050</v>
      </c>
      <c r="D387" s="34" t="s">
        <v>368</v>
      </c>
      <c r="E387" s="34" t="s">
        <v>369</v>
      </c>
      <c r="F387" s="34" t="s">
        <v>631</v>
      </c>
      <c r="G387" s="34" t="s">
        <v>28</v>
      </c>
      <c r="H387" s="34" t="s">
        <v>23</v>
      </c>
      <c r="I387" s="34" t="s">
        <v>19</v>
      </c>
      <c r="J387" s="34" t="s">
        <v>24</v>
      </c>
      <c r="K387" s="34" t="s">
        <v>15</v>
      </c>
      <c r="L387">
        <v>-4.1495695768389851E-16</v>
      </c>
    </row>
    <row r="388" spans="1:12" x14ac:dyDescent="0.3">
      <c r="A388" s="34" t="s">
        <v>662</v>
      </c>
      <c r="B388">
        <v>-1</v>
      </c>
      <c r="C388">
        <v>2050</v>
      </c>
      <c r="D388" s="34" t="s">
        <v>368</v>
      </c>
      <c r="E388" s="34" t="s">
        <v>369</v>
      </c>
      <c r="F388" s="34" t="s">
        <v>631</v>
      </c>
      <c r="G388" s="34" t="s">
        <v>644</v>
      </c>
      <c r="H388" s="34" t="s">
        <v>21</v>
      </c>
      <c r="I388" s="34" t="s">
        <v>19</v>
      </c>
      <c r="J388" s="34" t="s">
        <v>22</v>
      </c>
      <c r="K388" s="34" t="s">
        <v>15</v>
      </c>
      <c r="L388">
        <v>10.278438</v>
      </c>
    </row>
    <row r="389" spans="1:12" x14ac:dyDescent="0.3">
      <c r="A389" s="34" t="s">
        <v>662</v>
      </c>
      <c r="B389">
        <v>-1</v>
      </c>
      <c r="C389">
        <v>2050</v>
      </c>
      <c r="D389" s="34" t="s">
        <v>368</v>
      </c>
      <c r="E389" s="34" t="s">
        <v>369</v>
      </c>
      <c r="F389" s="34" t="s">
        <v>631</v>
      </c>
      <c r="G389" s="34" t="s">
        <v>645</v>
      </c>
      <c r="H389" s="34" t="s">
        <v>23</v>
      </c>
      <c r="I389" s="34" t="s">
        <v>19</v>
      </c>
      <c r="J389" s="34" t="s">
        <v>24</v>
      </c>
      <c r="K389" s="34" t="s">
        <v>15</v>
      </c>
      <c r="L389">
        <v>4.3332242903136038</v>
      </c>
    </row>
    <row r="390" spans="1:12" x14ac:dyDescent="0.3">
      <c r="A390" s="34" t="s">
        <v>662</v>
      </c>
      <c r="B390">
        <v>-1</v>
      </c>
      <c r="C390">
        <v>2050</v>
      </c>
      <c r="D390" s="34" t="s">
        <v>370</v>
      </c>
      <c r="E390" s="34" t="s">
        <v>408</v>
      </c>
      <c r="F390" s="34" t="s">
        <v>372</v>
      </c>
      <c r="G390" s="34" t="s">
        <v>28</v>
      </c>
      <c r="H390" s="34" t="s">
        <v>23</v>
      </c>
      <c r="I390" s="34" t="s">
        <v>19</v>
      </c>
      <c r="J390" s="34" t="s">
        <v>24</v>
      </c>
      <c r="K390" s="34" t="s">
        <v>15</v>
      </c>
      <c r="L390">
        <v>-1.4108536561252548E-15</v>
      </c>
    </row>
    <row r="391" spans="1:12" x14ac:dyDescent="0.3">
      <c r="A391" s="34" t="s">
        <v>662</v>
      </c>
      <c r="B391">
        <v>-1</v>
      </c>
      <c r="C391">
        <v>2050</v>
      </c>
      <c r="D391" s="34" t="s">
        <v>370</v>
      </c>
      <c r="E391" s="34" t="s">
        <v>408</v>
      </c>
      <c r="F391" s="34" t="s">
        <v>372</v>
      </c>
      <c r="G391" s="34" t="s">
        <v>31</v>
      </c>
      <c r="H391" s="34" t="s">
        <v>18</v>
      </c>
      <c r="I391" s="34" t="s">
        <v>19</v>
      </c>
      <c r="J391" s="34" t="s">
        <v>32</v>
      </c>
      <c r="K391" s="34" t="s">
        <v>15</v>
      </c>
      <c r="L391">
        <v>7.2288048872315418</v>
      </c>
    </row>
    <row r="392" spans="1:12" x14ac:dyDescent="0.3">
      <c r="A392" s="34" t="s">
        <v>662</v>
      </c>
      <c r="B392">
        <v>-1</v>
      </c>
      <c r="C392">
        <v>2050</v>
      </c>
      <c r="D392" s="34" t="s">
        <v>370</v>
      </c>
      <c r="E392" s="34" t="s">
        <v>408</v>
      </c>
      <c r="F392" s="34" t="s">
        <v>372</v>
      </c>
      <c r="G392" s="34" t="s">
        <v>180</v>
      </c>
      <c r="H392" s="34" t="s">
        <v>18</v>
      </c>
      <c r="I392" s="34" t="s">
        <v>19</v>
      </c>
      <c r="J392" s="34" t="s">
        <v>181</v>
      </c>
      <c r="K392" s="34" t="s">
        <v>15</v>
      </c>
      <c r="L392">
        <v>0.84336676772042618</v>
      </c>
    </row>
    <row r="393" spans="1:12" x14ac:dyDescent="0.3">
      <c r="A393" s="34" t="s">
        <v>662</v>
      </c>
      <c r="B393">
        <v>-1</v>
      </c>
      <c r="C393">
        <v>2050</v>
      </c>
      <c r="D393" s="34" t="s">
        <v>370</v>
      </c>
      <c r="E393" s="34" t="s">
        <v>408</v>
      </c>
      <c r="F393" s="34" t="s">
        <v>372</v>
      </c>
      <c r="G393" s="34" t="s">
        <v>29</v>
      </c>
      <c r="H393" s="34" t="s">
        <v>21</v>
      </c>
      <c r="I393" s="34" t="s">
        <v>19</v>
      </c>
      <c r="J393" s="34" t="s">
        <v>22</v>
      </c>
      <c r="K393" s="34" t="s">
        <v>15</v>
      </c>
      <c r="L393">
        <v>-1.8673063095775431E-16</v>
      </c>
    </row>
    <row r="394" spans="1:12" x14ac:dyDescent="0.3">
      <c r="A394" s="34" t="s">
        <v>662</v>
      </c>
      <c r="B394">
        <v>-1</v>
      </c>
      <c r="C394">
        <v>2050</v>
      </c>
      <c r="D394" s="34" t="s">
        <v>370</v>
      </c>
      <c r="E394" s="34" t="s">
        <v>408</v>
      </c>
      <c r="F394" s="34" t="s">
        <v>372</v>
      </c>
      <c r="G394" s="34" t="s">
        <v>20</v>
      </c>
      <c r="H394" s="34" t="s">
        <v>21</v>
      </c>
      <c r="I394" s="34" t="s">
        <v>19</v>
      </c>
      <c r="J394" s="34" t="s">
        <v>22</v>
      </c>
      <c r="K394" s="34" t="s">
        <v>15</v>
      </c>
      <c r="L394">
        <v>-4.3570480556809343E-16</v>
      </c>
    </row>
    <row r="395" spans="1:12" x14ac:dyDescent="0.3">
      <c r="A395" s="34" t="s">
        <v>662</v>
      </c>
      <c r="B395">
        <v>-1</v>
      </c>
      <c r="C395">
        <v>2050</v>
      </c>
      <c r="D395" s="34" t="s">
        <v>370</v>
      </c>
      <c r="E395" s="34" t="s">
        <v>408</v>
      </c>
      <c r="F395" s="34" t="s">
        <v>372</v>
      </c>
      <c r="G395" s="34" t="s">
        <v>392</v>
      </c>
      <c r="H395" s="34" t="s">
        <v>13</v>
      </c>
      <c r="I395" s="34" t="s">
        <v>13</v>
      </c>
      <c r="J395" s="34" t="s">
        <v>17</v>
      </c>
      <c r="K395" s="34" t="s">
        <v>15</v>
      </c>
      <c r="L395">
        <v>57.680310326120541</v>
      </c>
    </row>
    <row r="396" spans="1:12" x14ac:dyDescent="0.3">
      <c r="A396" s="34" t="s">
        <v>662</v>
      </c>
      <c r="B396">
        <v>-1</v>
      </c>
      <c r="C396">
        <v>2050</v>
      </c>
      <c r="D396" s="34" t="s">
        <v>370</v>
      </c>
      <c r="E396" s="34" t="s">
        <v>408</v>
      </c>
      <c r="F396" s="34" t="s">
        <v>632</v>
      </c>
      <c r="G396" s="34" t="s">
        <v>645</v>
      </c>
      <c r="H396" s="34" t="s">
        <v>23</v>
      </c>
      <c r="I396" s="34" t="s">
        <v>19</v>
      </c>
      <c r="J396" s="34" t="s">
        <v>24</v>
      </c>
      <c r="K396" s="34" t="s">
        <v>15</v>
      </c>
      <c r="L396">
        <v>9.9561317128228453</v>
      </c>
    </row>
    <row r="397" spans="1:12" x14ac:dyDescent="0.3">
      <c r="A397" s="34" t="s">
        <v>662</v>
      </c>
      <c r="B397">
        <v>-1</v>
      </c>
      <c r="C397">
        <v>2050</v>
      </c>
      <c r="D397" s="34" t="s">
        <v>370</v>
      </c>
      <c r="E397" s="34" t="s">
        <v>409</v>
      </c>
      <c r="F397" s="34" t="s">
        <v>633</v>
      </c>
      <c r="G397" s="34" t="s">
        <v>644</v>
      </c>
      <c r="H397" s="34" t="s">
        <v>21</v>
      </c>
      <c r="I397" s="34" t="s">
        <v>19</v>
      </c>
      <c r="J397" s="34" t="s">
        <v>22</v>
      </c>
      <c r="K397" s="34" t="s">
        <v>15</v>
      </c>
      <c r="L397">
        <v>47.598296314536661</v>
      </c>
    </row>
    <row r="398" spans="1:12" x14ac:dyDescent="0.3">
      <c r="A398" s="34" t="s">
        <v>662</v>
      </c>
      <c r="B398">
        <v>-1</v>
      </c>
      <c r="C398">
        <v>2050</v>
      </c>
      <c r="D398" s="34" t="s">
        <v>373</v>
      </c>
      <c r="E398" s="34" t="s">
        <v>374</v>
      </c>
      <c r="F398" s="34" t="s">
        <v>580</v>
      </c>
      <c r="G398" s="34" t="s">
        <v>180</v>
      </c>
      <c r="H398" s="34" t="s">
        <v>18</v>
      </c>
      <c r="I398" s="34" t="s">
        <v>19</v>
      </c>
      <c r="J398" s="34" t="s">
        <v>181</v>
      </c>
      <c r="K398" s="34" t="s">
        <v>15</v>
      </c>
      <c r="L398">
        <v>0.6092549225003745</v>
      </c>
    </row>
    <row r="399" spans="1:12" x14ac:dyDescent="0.3">
      <c r="A399" s="34" t="s">
        <v>662</v>
      </c>
      <c r="B399">
        <v>-1</v>
      </c>
      <c r="C399">
        <v>2050</v>
      </c>
      <c r="D399" s="34" t="s">
        <v>373</v>
      </c>
      <c r="E399" s="34" t="s">
        <v>374</v>
      </c>
      <c r="F399" s="34" t="s">
        <v>580</v>
      </c>
      <c r="G399" s="34" t="s">
        <v>16</v>
      </c>
      <c r="H399" s="34" t="s">
        <v>12</v>
      </c>
      <c r="I399" s="34" t="s">
        <v>13</v>
      </c>
      <c r="J399" s="34" t="s">
        <v>14</v>
      </c>
      <c r="K399" s="34" t="s">
        <v>15</v>
      </c>
      <c r="L399">
        <v>24.432084283079142</v>
      </c>
    </row>
    <row r="400" spans="1:12" x14ac:dyDescent="0.3">
      <c r="A400" s="34" t="s">
        <v>662</v>
      </c>
      <c r="B400">
        <v>-1</v>
      </c>
      <c r="C400">
        <v>2050</v>
      </c>
      <c r="D400" s="34" t="s">
        <v>373</v>
      </c>
      <c r="E400" s="34" t="s">
        <v>374</v>
      </c>
      <c r="F400" s="34" t="s">
        <v>580</v>
      </c>
      <c r="G400" s="34" t="s">
        <v>671</v>
      </c>
      <c r="H400" s="34" t="s">
        <v>12</v>
      </c>
      <c r="I400" s="34" t="s">
        <v>203</v>
      </c>
      <c r="J400" s="34" t="s">
        <v>14</v>
      </c>
      <c r="K400" s="34" t="s">
        <v>15</v>
      </c>
      <c r="L400">
        <v>1.0525224037638517E-17</v>
      </c>
    </row>
    <row r="401" spans="1:12" x14ac:dyDescent="0.3">
      <c r="A401" s="34" t="s">
        <v>662</v>
      </c>
      <c r="B401">
        <v>-1</v>
      </c>
      <c r="C401">
        <v>2050</v>
      </c>
      <c r="D401" s="34" t="s">
        <v>373</v>
      </c>
      <c r="E401" s="34" t="s">
        <v>374</v>
      </c>
      <c r="F401" s="34" t="s">
        <v>580</v>
      </c>
      <c r="G401" s="34" t="s">
        <v>671</v>
      </c>
      <c r="H401" s="34" t="s">
        <v>12</v>
      </c>
      <c r="I401" s="34" t="s">
        <v>13</v>
      </c>
      <c r="J401" s="34" t="s">
        <v>14</v>
      </c>
      <c r="K401" s="34" t="s">
        <v>15</v>
      </c>
      <c r="L401">
        <v>1.2308660757298641E-16</v>
      </c>
    </row>
    <row r="402" spans="1:12" x14ac:dyDescent="0.3">
      <c r="A402" s="34" t="s">
        <v>662</v>
      </c>
      <c r="B402">
        <v>-1</v>
      </c>
      <c r="C402">
        <v>2050</v>
      </c>
      <c r="D402" s="34" t="s">
        <v>373</v>
      </c>
      <c r="E402" s="34" t="s">
        <v>374</v>
      </c>
      <c r="F402" s="34" t="s">
        <v>634</v>
      </c>
      <c r="G402" s="34" t="s">
        <v>29</v>
      </c>
      <c r="H402" s="34" t="s">
        <v>21</v>
      </c>
      <c r="I402" s="34" t="s">
        <v>19</v>
      </c>
      <c r="J402" s="34" t="s">
        <v>22</v>
      </c>
      <c r="K402" s="34" t="s">
        <v>15</v>
      </c>
      <c r="L402">
        <v>2.9046987037872895E-16</v>
      </c>
    </row>
    <row r="403" spans="1:12" x14ac:dyDescent="0.3">
      <c r="A403" s="34" t="s">
        <v>662</v>
      </c>
      <c r="B403">
        <v>-1</v>
      </c>
      <c r="C403">
        <v>2050</v>
      </c>
      <c r="D403" s="34" t="s">
        <v>373</v>
      </c>
      <c r="E403" s="34" t="s">
        <v>374</v>
      </c>
      <c r="F403" s="34" t="s">
        <v>634</v>
      </c>
      <c r="G403" s="34" t="s">
        <v>20</v>
      </c>
      <c r="H403" s="34" t="s">
        <v>21</v>
      </c>
      <c r="I403" s="34" t="s">
        <v>19</v>
      </c>
      <c r="J403" s="34" t="s">
        <v>22</v>
      </c>
      <c r="K403" s="34" t="s">
        <v>15</v>
      </c>
      <c r="L403">
        <v>-2.0747847884194926E-16</v>
      </c>
    </row>
    <row r="404" spans="1:12" x14ac:dyDescent="0.3">
      <c r="A404" s="34" t="s">
        <v>662</v>
      </c>
      <c r="B404">
        <v>-1</v>
      </c>
      <c r="C404">
        <v>2050</v>
      </c>
      <c r="D404" s="34" t="s">
        <v>373</v>
      </c>
      <c r="E404" s="34" t="s">
        <v>374</v>
      </c>
      <c r="F404" s="34" t="s">
        <v>634</v>
      </c>
      <c r="G404" s="34" t="s">
        <v>644</v>
      </c>
      <c r="H404" s="34" t="s">
        <v>21</v>
      </c>
      <c r="I404" s="34" t="s">
        <v>19</v>
      </c>
      <c r="J404" s="34" t="s">
        <v>22</v>
      </c>
      <c r="K404" s="34" t="s">
        <v>15</v>
      </c>
      <c r="L404">
        <v>58.982613743848198</v>
      </c>
    </row>
    <row r="405" spans="1:12" x14ac:dyDescent="0.3">
      <c r="A405" s="34" t="s">
        <v>662</v>
      </c>
      <c r="B405">
        <v>-1</v>
      </c>
      <c r="C405">
        <v>2050</v>
      </c>
      <c r="D405" s="34" t="s">
        <v>375</v>
      </c>
      <c r="E405" s="34" t="s">
        <v>376</v>
      </c>
      <c r="F405" s="34" t="s">
        <v>581</v>
      </c>
      <c r="G405" s="34" t="s">
        <v>31</v>
      </c>
      <c r="H405" s="34" t="s">
        <v>18</v>
      </c>
      <c r="I405" s="34" t="s">
        <v>19</v>
      </c>
      <c r="J405" s="34" t="s">
        <v>32</v>
      </c>
      <c r="K405" s="34" t="s">
        <v>15</v>
      </c>
      <c r="L405">
        <v>3.3090659075966269E-2</v>
      </c>
    </row>
    <row r="406" spans="1:12" x14ac:dyDescent="0.3">
      <c r="A406" s="34" t="s">
        <v>662</v>
      </c>
      <c r="B406">
        <v>-1</v>
      </c>
      <c r="C406">
        <v>2050</v>
      </c>
      <c r="D406" s="34" t="s">
        <v>375</v>
      </c>
      <c r="E406" s="34" t="s">
        <v>376</v>
      </c>
      <c r="F406" s="34" t="s">
        <v>581</v>
      </c>
      <c r="G406" s="34" t="s">
        <v>180</v>
      </c>
      <c r="H406" s="34" t="s">
        <v>18</v>
      </c>
      <c r="I406" s="34" t="s">
        <v>19</v>
      </c>
      <c r="J406" s="34" t="s">
        <v>181</v>
      </c>
      <c r="K406" s="34" t="s">
        <v>15</v>
      </c>
      <c r="L406">
        <v>7.0515616030135966E-2</v>
      </c>
    </row>
    <row r="407" spans="1:12" x14ac:dyDescent="0.3">
      <c r="A407" s="34" t="s">
        <v>662</v>
      </c>
      <c r="B407">
        <v>-1</v>
      </c>
      <c r="C407">
        <v>2050</v>
      </c>
      <c r="D407" s="34" t="s">
        <v>375</v>
      </c>
      <c r="E407" s="34" t="s">
        <v>376</v>
      </c>
      <c r="F407" s="34" t="s">
        <v>635</v>
      </c>
      <c r="G407" s="34" t="s">
        <v>644</v>
      </c>
      <c r="H407" s="34" t="s">
        <v>21</v>
      </c>
      <c r="I407" s="34" t="s">
        <v>19</v>
      </c>
      <c r="J407" s="34" t="s">
        <v>22</v>
      </c>
      <c r="K407" s="34" t="s">
        <v>15</v>
      </c>
      <c r="L407">
        <v>1.8065421848054248</v>
      </c>
    </row>
    <row r="408" spans="1:12" x14ac:dyDescent="0.3">
      <c r="A408" s="34" t="s">
        <v>662</v>
      </c>
      <c r="B408">
        <v>-1</v>
      </c>
      <c r="C408">
        <v>2050</v>
      </c>
      <c r="D408" s="34" t="s">
        <v>375</v>
      </c>
      <c r="E408" s="34" t="s">
        <v>376</v>
      </c>
      <c r="F408" s="34" t="s">
        <v>635</v>
      </c>
      <c r="G408" s="34" t="s">
        <v>645</v>
      </c>
      <c r="H408" s="34" t="s">
        <v>23</v>
      </c>
      <c r="I408" s="34" t="s">
        <v>19</v>
      </c>
      <c r="J408" s="34" t="s">
        <v>24</v>
      </c>
      <c r="K408" s="34" t="s">
        <v>15</v>
      </c>
      <c r="L408">
        <v>1.2440599999999995</v>
      </c>
    </row>
    <row r="409" spans="1:12" x14ac:dyDescent="0.3">
      <c r="A409" s="34" t="s">
        <v>662</v>
      </c>
      <c r="B409">
        <v>-1</v>
      </c>
      <c r="C409">
        <v>2050</v>
      </c>
      <c r="D409" s="34" t="s">
        <v>377</v>
      </c>
      <c r="E409" s="34" t="s">
        <v>378</v>
      </c>
      <c r="F409" s="34" t="s">
        <v>582</v>
      </c>
      <c r="G409" s="34" t="s">
        <v>31</v>
      </c>
      <c r="H409" s="34" t="s">
        <v>18</v>
      </c>
      <c r="I409" s="34" t="s">
        <v>19</v>
      </c>
      <c r="J409" s="34" t="s">
        <v>32</v>
      </c>
      <c r="K409" s="34" t="s">
        <v>15</v>
      </c>
      <c r="L409">
        <v>5.0418131464835882</v>
      </c>
    </row>
    <row r="410" spans="1:12" x14ac:dyDescent="0.3">
      <c r="A410" s="34" t="s">
        <v>662</v>
      </c>
      <c r="B410">
        <v>-1</v>
      </c>
      <c r="C410">
        <v>2050</v>
      </c>
      <c r="D410" s="34" t="s">
        <v>377</v>
      </c>
      <c r="E410" s="34" t="s">
        <v>378</v>
      </c>
      <c r="F410" s="34" t="s">
        <v>582</v>
      </c>
      <c r="G410" s="34" t="s">
        <v>180</v>
      </c>
      <c r="H410" s="34" t="s">
        <v>18</v>
      </c>
      <c r="I410" s="34" t="s">
        <v>19</v>
      </c>
      <c r="J410" s="34" t="s">
        <v>181</v>
      </c>
      <c r="K410" s="34" t="s">
        <v>15</v>
      </c>
      <c r="L410">
        <v>1.4864691859152643</v>
      </c>
    </row>
    <row r="411" spans="1:12" x14ac:dyDescent="0.3">
      <c r="A411" s="34" t="s">
        <v>662</v>
      </c>
      <c r="B411">
        <v>-1</v>
      </c>
      <c r="C411">
        <v>2050</v>
      </c>
      <c r="D411" s="34" t="s">
        <v>377</v>
      </c>
      <c r="E411" s="34" t="s">
        <v>378</v>
      </c>
      <c r="F411" s="34" t="s">
        <v>636</v>
      </c>
      <c r="G411" s="34" t="s">
        <v>644</v>
      </c>
      <c r="H411" s="34" t="s">
        <v>21</v>
      </c>
      <c r="I411" s="34" t="s">
        <v>19</v>
      </c>
      <c r="J411" s="34" t="s">
        <v>22</v>
      </c>
      <c r="K411" s="34" t="s">
        <v>15</v>
      </c>
      <c r="L411">
        <v>6.1801800000000018</v>
      </c>
    </row>
    <row r="412" spans="1:12" x14ac:dyDescent="0.3">
      <c r="A412" s="34" t="s">
        <v>662</v>
      </c>
      <c r="B412">
        <v>-1</v>
      </c>
      <c r="C412">
        <v>2050</v>
      </c>
      <c r="D412" s="34" t="s">
        <v>379</v>
      </c>
      <c r="E412" s="34" t="s">
        <v>380</v>
      </c>
      <c r="F412" s="34" t="s">
        <v>583</v>
      </c>
      <c r="G412" s="34" t="s">
        <v>31</v>
      </c>
      <c r="H412" s="34" t="s">
        <v>18</v>
      </c>
      <c r="I412" s="34" t="s">
        <v>19</v>
      </c>
      <c r="J412" s="34" t="s">
        <v>32</v>
      </c>
      <c r="K412" s="34" t="s">
        <v>15</v>
      </c>
      <c r="L412">
        <v>1.0288186730891331</v>
      </c>
    </row>
    <row r="413" spans="1:12" x14ac:dyDescent="0.3">
      <c r="A413" s="34" t="s">
        <v>662</v>
      </c>
      <c r="B413">
        <v>-1</v>
      </c>
      <c r="C413">
        <v>2050</v>
      </c>
      <c r="D413" s="34" t="s">
        <v>379</v>
      </c>
      <c r="E413" s="34" t="s">
        <v>380</v>
      </c>
      <c r="F413" s="34" t="s">
        <v>583</v>
      </c>
      <c r="G413" s="34" t="s">
        <v>180</v>
      </c>
      <c r="H413" s="34" t="s">
        <v>18</v>
      </c>
      <c r="I413" s="34" t="s">
        <v>19</v>
      </c>
      <c r="J413" s="34" t="s">
        <v>181</v>
      </c>
      <c r="K413" s="34" t="s">
        <v>15</v>
      </c>
      <c r="L413">
        <v>0.86593176485006973</v>
      </c>
    </row>
    <row r="414" spans="1:12" x14ac:dyDescent="0.3">
      <c r="A414" s="34" t="s">
        <v>662</v>
      </c>
      <c r="B414">
        <v>-1</v>
      </c>
      <c r="C414">
        <v>2050</v>
      </c>
      <c r="D414" s="34" t="s">
        <v>379</v>
      </c>
      <c r="E414" s="34" t="s">
        <v>380</v>
      </c>
      <c r="F414" s="34" t="s">
        <v>637</v>
      </c>
      <c r="G414" s="34" t="s">
        <v>644</v>
      </c>
      <c r="H414" s="34" t="s">
        <v>21</v>
      </c>
      <c r="I414" s="34" t="s">
        <v>19</v>
      </c>
      <c r="J414" s="34" t="s">
        <v>22</v>
      </c>
      <c r="K414" s="34" t="s">
        <v>15</v>
      </c>
      <c r="L414">
        <v>0.99913199999999991</v>
      </c>
    </row>
    <row r="415" spans="1:12" x14ac:dyDescent="0.3">
      <c r="A415" s="34" t="s">
        <v>662</v>
      </c>
      <c r="B415">
        <v>-1</v>
      </c>
      <c r="C415">
        <v>2050</v>
      </c>
      <c r="D415" s="34" t="s">
        <v>381</v>
      </c>
      <c r="E415" s="34" t="s">
        <v>382</v>
      </c>
      <c r="F415" s="34" t="s">
        <v>584</v>
      </c>
      <c r="G415" s="34" t="s">
        <v>180</v>
      </c>
      <c r="H415" s="34" t="s">
        <v>18</v>
      </c>
      <c r="I415" s="34" t="s">
        <v>19</v>
      </c>
      <c r="J415" s="34" t="s">
        <v>181</v>
      </c>
      <c r="K415" s="34" t="s">
        <v>15</v>
      </c>
      <c r="L415">
        <v>1.4272360684499523</v>
      </c>
    </row>
    <row r="416" spans="1:12" x14ac:dyDescent="0.3">
      <c r="A416" s="34" t="s">
        <v>662</v>
      </c>
      <c r="B416">
        <v>-1</v>
      </c>
      <c r="C416">
        <v>2050</v>
      </c>
      <c r="D416" s="34" t="s">
        <v>381</v>
      </c>
      <c r="E416" s="34" t="s">
        <v>382</v>
      </c>
      <c r="F416" s="34" t="s">
        <v>638</v>
      </c>
      <c r="G416" s="34" t="s">
        <v>645</v>
      </c>
      <c r="H416" s="34" t="s">
        <v>23</v>
      </c>
      <c r="I416" s="34" t="s">
        <v>19</v>
      </c>
      <c r="J416" s="34" t="s">
        <v>24</v>
      </c>
      <c r="K416" s="34" t="s">
        <v>15</v>
      </c>
      <c r="L416">
        <v>0.43335275477163582</v>
      </c>
    </row>
    <row r="417" spans="1:12" x14ac:dyDescent="0.3">
      <c r="A417" s="34" t="s">
        <v>662</v>
      </c>
      <c r="B417">
        <v>-1</v>
      </c>
      <c r="C417">
        <v>2050</v>
      </c>
      <c r="D417" s="34" t="s">
        <v>383</v>
      </c>
      <c r="E417" s="34" t="s">
        <v>384</v>
      </c>
      <c r="F417" s="34" t="s">
        <v>585</v>
      </c>
      <c r="G417" s="34" t="s">
        <v>319</v>
      </c>
      <c r="H417" s="34" t="s">
        <v>12</v>
      </c>
      <c r="I417" s="34" t="s">
        <v>19</v>
      </c>
      <c r="J417" s="34" t="s">
        <v>258</v>
      </c>
      <c r="K417" s="34" t="s">
        <v>15</v>
      </c>
      <c r="L417">
        <v>1.6748285714285712E-2</v>
      </c>
    </row>
    <row r="418" spans="1:12" x14ac:dyDescent="0.3">
      <c r="A418" s="34" t="s">
        <v>662</v>
      </c>
      <c r="B418">
        <v>-1</v>
      </c>
      <c r="C418">
        <v>2050</v>
      </c>
      <c r="D418" s="34" t="s">
        <v>383</v>
      </c>
      <c r="E418" s="34" t="s">
        <v>384</v>
      </c>
      <c r="F418" s="34" t="s">
        <v>585</v>
      </c>
      <c r="G418" s="34" t="s">
        <v>31</v>
      </c>
      <c r="H418" s="34" t="s">
        <v>18</v>
      </c>
      <c r="I418" s="34" t="s">
        <v>19</v>
      </c>
      <c r="J418" s="34" t="s">
        <v>32</v>
      </c>
      <c r="K418" s="34" t="s">
        <v>15</v>
      </c>
      <c r="L418">
        <v>2.1268269060643776</v>
      </c>
    </row>
    <row r="419" spans="1:12" x14ac:dyDescent="0.3">
      <c r="A419" s="34" t="s">
        <v>662</v>
      </c>
      <c r="B419">
        <v>-1</v>
      </c>
      <c r="C419">
        <v>2050</v>
      </c>
      <c r="D419" s="34" t="s">
        <v>383</v>
      </c>
      <c r="E419" s="34" t="s">
        <v>384</v>
      </c>
      <c r="F419" s="34" t="s">
        <v>585</v>
      </c>
      <c r="G419" s="34" t="s">
        <v>180</v>
      </c>
      <c r="H419" s="34" t="s">
        <v>18</v>
      </c>
      <c r="I419" s="34" t="s">
        <v>19</v>
      </c>
      <c r="J419" s="34" t="s">
        <v>181</v>
      </c>
      <c r="K419" s="34" t="s">
        <v>15</v>
      </c>
      <c r="L419">
        <v>3.0547364864254889</v>
      </c>
    </row>
    <row r="420" spans="1:12" x14ac:dyDescent="0.3">
      <c r="A420" s="34" t="s">
        <v>662</v>
      </c>
      <c r="B420">
        <v>-1</v>
      </c>
      <c r="C420">
        <v>2050</v>
      </c>
      <c r="D420" s="34" t="s">
        <v>385</v>
      </c>
      <c r="E420" s="34" t="s">
        <v>386</v>
      </c>
      <c r="F420" s="34" t="s">
        <v>586</v>
      </c>
      <c r="G420" s="34" t="s">
        <v>31</v>
      </c>
      <c r="H420" s="34" t="s">
        <v>18</v>
      </c>
      <c r="I420" s="34" t="s">
        <v>19</v>
      </c>
      <c r="J420" s="34" t="s">
        <v>32</v>
      </c>
      <c r="K420" s="34" t="s">
        <v>15</v>
      </c>
      <c r="L420">
        <v>1.419890098532371</v>
      </c>
    </row>
    <row r="421" spans="1:12" x14ac:dyDescent="0.3">
      <c r="A421" s="34" t="s">
        <v>662</v>
      </c>
      <c r="B421">
        <v>-1</v>
      </c>
      <c r="C421">
        <v>2050</v>
      </c>
      <c r="D421" s="34" t="s">
        <v>385</v>
      </c>
      <c r="E421" s="34" t="s">
        <v>386</v>
      </c>
      <c r="F421" s="34" t="s">
        <v>586</v>
      </c>
      <c r="G421" s="34" t="s">
        <v>180</v>
      </c>
      <c r="H421" s="34" t="s">
        <v>18</v>
      </c>
      <c r="I421" s="34" t="s">
        <v>19</v>
      </c>
      <c r="J421" s="34" t="s">
        <v>181</v>
      </c>
      <c r="K421" s="34" t="s">
        <v>15</v>
      </c>
      <c r="L421">
        <v>5.655352405616906</v>
      </c>
    </row>
    <row r="422" spans="1:12" x14ac:dyDescent="0.3">
      <c r="A422" s="34" t="s">
        <v>662</v>
      </c>
      <c r="B422">
        <v>-1</v>
      </c>
      <c r="C422">
        <v>2050</v>
      </c>
      <c r="D422" s="34" t="s">
        <v>385</v>
      </c>
      <c r="E422" s="34" t="s">
        <v>386</v>
      </c>
      <c r="F422" s="34" t="s">
        <v>586</v>
      </c>
      <c r="G422" s="34" t="s">
        <v>671</v>
      </c>
      <c r="H422" s="34" t="s">
        <v>12</v>
      </c>
      <c r="I422" s="34" t="s">
        <v>203</v>
      </c>
      <c r="J422" s="34" t="s">
        <v>14</v>
      </c>
      <c r="K422" s="34" t="s">
        <v>15</v>
      </c>
      <c r="L422">
        <v>-3.5483266877837394E-18</v>
      </c>
    </row>
    <row r="423" spans="1:12" x14ac:dyDescent="0.3">
      <c r="A423" s="34" t="s">
        <v>662</v>
      </c>
      <c r="B423">
        <v>-1</v>
      </c>
      <c r="C423">
        <v>2050</v>
      </c>
      <c r="D423" s="34" t="s">
        <v>385</v>
      </c>
      <c r="E423" s="34" t="s">
        <v>386</v>
      </c>
      <c r="F423" s="34" t="s">
        <v>586</v>
      </c>
      <c r="G423" s="34" t="s">
        <v>671</v>
      </c>
      <c r="H423" s="34" t="s">
        <v>12</v>
      </c>
      <c r="I423" s="34" t="s">
        <v>13</v>
      </c>
      <c r="J423" s="34" t="s">
        <v>14</v>
      </c>
      <c r="K423" s="34" t="s">
        <v>15</v>
      </c>
      <c r="L423">
        <v>-4.1495695768389849E-17</v>
      </c>
    </row>
    <row r="424" spans="1:12" x14ac:dyDescent="0.3">
      <c r="A424" s="34" t="s">
        <v>662</v>
      </c>
      <c r="B424">
        <v>-1</v>
      </c>
      <c r="C424">
        <v>2050</v>
      </c>
      <c r="D424" s="34" t="s">
        <v>385</v>
      </c>
      <c r="E424" s="34" t="s">
        <v>386</v>
      </c>
      <c r="F424" s="34" t="s">
        <v>640</v>
      </c>
      <c r="G424" s="34" t="s">
        <v>644</v>
      </c>
      <c r="H424" s="34" t="s">
        <v>21</v>
      </c>
      <c r="I424" s="34" t="s">
        <v>19</v>
      </c>
      <c r="J424" s="34" t="s">
        <v>22</v>
      </c>
      <c r="K424" s="34" t="s">
        <v>15</v>
      </c>
      <c r="L424">
        <v>1.1257959999999996</v>
      </c>
    </row>
    <row r="425" spans="1:12" x14ac:dyDescent="0.3">
      <c r="A425" s="34" t="s">
        <v>662</v>
      </c>
      <c r="B425">
        <v>-1</v>
      </c>
      <c r="C425">
        <v>2050</v>
      </c>
      <c r="D425" s="34" t="s">
        <v>55</v>
      </c>
      <c r="E425" s="34" t="s">
        <v>56</v>
      </c>
      <c r="F425" s="34" t="s">
        <v>587</v>
      </c>
      <c r="G425" s="34" t="s">
        <v>31</v>
      </c>
      <c r="H425" s="34" t="s">
        <v>18</v>
      </c>
      <c r="I425" s="34" t="s">
        <v>19</v>
      </c>
      <c r="J425" s="34" t="s">
        <v>32</v>
      </c>
      <c r="K425" s="34" t="s">
        <v>15</v>
      </c>
      <c r="L425">
        <v>94.759614626630693</v>
      </c>
    </row>
    <row r="426" spans="1:12" x14ac:dyDescent="0.3">
      <c r="A426" s="34" t="s">
        <v>662</v>
      </c>
      <c r="B426">
        <v>-1</v>
      </c>
      <c r="C426">
        <v>2050</v>
      </c>
      <c r="D426" s="34" t="s">
        <v>55</v>
      </c>
      <c r="E426" s="34" t="s">
        <v>56</v>
      </c>
      <c r="F426" s="34" t="s">
        <v>587</v>
      </c>
      <c r="G426" s="34" t="s">
        <v>16</v>
      </c>
      <c r="H426" s="34" t="s">
        <v>12</v>
      </c>
      <c r="I426" s="34" t="s">
        <v>13</v>
      </c>
      <c r="J426" s="34" t="s">
        <v>14</v>
      </c>
      <c r="K426" s="34" t="s">
        <v>15</v>
      </c>
      <c r="L426">
        <v>153.39355885438889</v>
      </c>
    </row>
    <row r="427" spans="1:12" x14ac:dyDescent="0.3">
      <c r="A427" s="34" t="s">
        <v>662</v>
      </c>
      <c r="B427">
        <v>-1</v>
      </c>
      <c r="C427">
        <v>2050</v>
      </c>
      <c r="D427" s="34" t="s">
        <v>55</v>
      </c>
      <c r="E427" s="34" t="s">
        <v>56</v>
      </c>
      <c r="F427" s="34" t="s">
        <v>641</v>
      </c>
      <c r="G427" s="34" t="s">
        <v>28</v>
      </c>
      <c r="H427" s="34" t="s">
        <v>23</v>
      </c>
      <c r="I427" s="34" t="s">
        <v>19</v>
      </c>
      <c r="J427" s="34" t="s">
        <v>24</v>
      </c>
      <c r="K427" s="34" t="s">
        <v>15</v>
      </c>
      <c r="L427">
        <v>-1.3693579603568651E-15</v>
      </c>
    </row>
    <row r="428" spans="1:12" x14ac:dyDescent="0.3">
      <c r="A428" s="34" t="s">
        <v>662</v>
      </c>
      <c r="B428">
        <v>-1</v>
      </c>
      <c r="C428">
        <v>2050</v>
      </c>
      <c r="D428" s="34" t="s">
        <v>55</v>
      </c>
      <c r="E428" s="34" t="s">
        <v>56</v>
      </c>
      <c r="F428" s="34" t="s">
        <v>641</v>
      </c>
      <c r="G428" s="34" t="s">
        <v>588</v>
      </c>
      <c r="H428" s="34" t="s">
        <v>21</v>
      </c>
      <c r="I428" s="34" t="s">
        <v>19</v>
      </c>
      <c r="J428" s="34" t="s">
        <v>22</v>
      </c>
      <c r="K428" s="34" t="s">
        <v>15</v>
      </c>
      <c r="L428">
        <v>-2.0747847884194924E-15</v>
      </c>
    </row>
    <row r="429" spans="1:12" x14ac:dyDescent="0.3">
      <c r="A429" s="34" t="s">
        <v>662</v>
      </c>
      <c r="B429">
        <v>-1</v>
      </c>
      <c r="C429">
        <v>2050</v>
      </c>
      <c r="D429" s="34" t="s">
        <v>55</v>
      </c>
      <c r="E429" s="34" t="s">
        <v>56</v>
      </c>
      <c r="F429" s="34" t="s">
        <v>641</v>
      </c>
      <c r="G429" s="34" t="s">
        <v>29</v>
      </c>
      <c r="H429" s="34" t="s">
        <v>21</v>
      </c>
      <c r="I429" s="34" t="s">
        <v>19</v>
      </c>
      <c r="J429" s="34" t="s">
        <v>22</v>
      </c>
      <c r="K429" s="34" t="s">
        <v>15</v>
      </c>
      <c r="L429">
        <v>-6.0168758864165278E-16</v>
      </c>
    </row>
    <row r="430" spans="1:12" x14ac:dyDescent="0.3">
      <c r="A430" s="34" t="s">
        <v>662</v>
      </c>
      <c r="B430">
        <v>-1</v>
      </c>
      <c r="C430">
        <v>2050</v>
      </c>
      <c r="D430" s="34" t="s">
        <v>55</v>
      </c>
      <c r="E430" s="34" t="s">
        <v>56</v>
      </c>
      <c r="F430" s="34" t="s">
        <v>641</v>
      </c>
      <c r="G430" s="34" t="s">
        <v>20</v>
      </c>
      <c r="H430" s="34" t="s">
        <v>21</v>
      </c>
      <c r="I430" s="34" t="s">
        <v>19</v>
      </c>
      <c r="J430" s="34" t="s">
        <v>22</v>
      </c>
      <c r="K430" s="34" t="s">
        <v>15</v>
      </c>
      <c r="L430">
        <v>-1.9295498532301278E-15</v>
      </c>
    </row>
    <row r="431" spans="1:12" x14ac:dyDescent="0.3">
      <c r="A431" s="34" t="s">
        <v>662</v>
      </c>
      <c r="B431">
        <v>-1</v>
      </c>
      <c r="C431">
        <v>2050</v>
      </c>
      <c r="D431" s="34" t="s">
        <v>55</v>
      </c>
      <c r="E431" s="34" t="s">
        <v>56</v>
      </c>
      <c r="F431" s="34" t="s">
        <v>641</v>
      </c>
      <c r="G431" s="34" t="s">
        <v>30</v>
      </c>
      <c r="H431" s="34" t="s">
        <v>21</v>
      </c>
      <c r="I431" s="34" t="s">
        <v>19</v>
      </c>
      <c r="J431" s="34" t="s">
        <v>22</v>
      </c>
      <c r="K431" s="34" t="s">
        <v>15</v>
      </c>
      <c r="L431">
        <v>-4.1495695768389849E-17</v>
      </c>
    </row>
    <row r="432" spans="1:12" x14ac:dyDescent="0.3">
      <c r="A432" s="34" t="s">
        <v>662</v>
      </c>
      <c r="B432">
        <v>-1</v>
      </c>
      <c r="C432">
        <v>2050</v>
      </c>
      <c r="D432" s="34" t="s">
        <v>55</v>
      </c>
      <c r="E432" s="34" t="s">
        <v>56</v>
      </c>
      <c r="F432" s="34" t="s">
        <v>641</v>
      </c>
      <c r="G432" s="34" t="s">
        <v>644</v>
      </c>
      <c r="H432" s="34" t="s">
        <v>21</v>
      </c>
      <c r="I432" s="34" t="s">
        <v>19</v>
      </c>
      <c r="J432" s="34" t="s">
        <v>22</v>
      </c>
      <c r="K432" s="34" t="s">
        <v>15</v>
      </c>
      <c r="L432">
        <v>130.17099026866575</v>
      </c>
    </row>
    <row r="433" spans="1:12" x14ac:dyDescent="0.3">
      <c r="A433" s="34" t="s">
        <v>662</v>
      </c>
      <c r="B433">
        <v>-1</v>
      </c>
      <c r="C433">
        <v>2050</v>
      </c>
      <c r="D433" s="34" t="s">
        <v>55</v>
      </c>
      <c r="E433" s="34" t="s">
        <v>56</v>
      </c>
      <c r="F433" s="34" t="s">
        <v>641</v>
      </c>
      <c r="G433" s="34" t="s">
        <v>645</v>
      </c>
      <c r="H433" s="34" t="s">
        <v>23</v>
      </c>
      <c r="I433" s="34" t="s">
        <v>19</v>
      </c>
      <c r="J433" s="34" t="s">
        <v>24</v>
      </c>
      <c r="K433" s="34" t="s">
        <v>15</v>
      </c>
      <c r="L433">
        <v>206.78416173809143</v>
      </c>
    </row>
    <row r="434" spans="1:12" x14ac:dyDescent="0.3">
      <c r="A434" s="34" t="s">
        <v>662</v>
      </c>
      <c r="B434">
        <v>-1</v>
      </c>
      <c r="C434">
        <v>2050</v>
      </c>
      <c r="D434" s="34" t="s">
        <v>387</v>
      </c>
      <c r="E434" s="34" t="s">
        <v>388</v>
      </c>
      <c r="F434" s="34" t="s">
        <v>589</v>
      </c>
      <c r="G434" s="34" t="s">
        <v>591</v>
      </c>
      <c r="H434" s="34" t="s">
        <v>40</v>
      </c>
      <c r="I434" s="34" t="s">
        <v>19</v>
      </c>
      <c r="J434" s="34" t="s">
        <v>27</v>
      </c>
      <c r="K434" s="34" t="s">
        <v>15</v>
      </c>
      <c r="L434">
        <v>5.8286818517735907E-2</v>
      </c>
    </row>
    <row r="435" spans="1:12" x14ac:dyDescent="0.3">
      <c r="A435" s="34" t="s">
        <v>662</v>
      </c>
      <c r="B435">
        <v>-1</v>
      </c>
      <c r="C435">
        <v>2050</v>
      </c>
      <c r="D435" s="34" t="s">
        <v>387</v>
      </c>
      <c r="E435" s="34" t="s">
        <v>388</v>
      </c>
      <c r="F435" s="34" t="s">
        <v>589</v>
      </c>
      <c r="G435" s="34" t="s">
        <v>25</v>
      </c>
      <c r="H435" s="34" t="s">
        <v>26</v>
      </c>
      <c r="I435" s="34" t="s">
        <v>19</v>
      </c>
      <c r="J435" s="34" t="s">
        <v>27</v>
      </c>
      <c r="K435" s="34" t="s">
        <v>15</v>
      </c>
      <c r="L435">
        <v>4.4811293408191157E-2</v>
      </c>
    </row>
    <row r="436" spans="1:12" x14ac:dyDescent="0.3">
      <c r="A436" s="34" t="s">
        <v>662</v>
      </c>
      <c r="B436">
        <v>-1</v>
      </c>
      <c r="C436">
        <v>2050</v>
      </c>
      <c r="D436" s="34" t="s">
        <v>387</v>
      </c>
      <c r="E436" s="34" t="s">
        <v>388</v>
      </c>
      <c r="F436" s="34" t="s">
        <v>589</v>
      </c>
      <c r="G436" s="34" t="s">
        <v>16</v>
      </c>
      <c r="H436" s="34" t="s">
        <v>12</v>
      </c>
      <c r="I436" s="34" t="s">
        <v>13</v>
      </c>
      <c r="J436" s="34" t="s">
        <v>14</v>
      </c>
      <c r="K436" s="34" t="s">
        <v>15</v>
      </c>
      <c r="L436">
        <v>0.22120601235697088</v>
      </c>
    </row>
    <row r="437" spans="1:12" x14ac:dyDescent="0.3">
      <c r="A437" s="34" t="s">
        <v>662</v>
      </c>
      <c r="B437">
        <v>-1</v>
      </c>
      <c r="C437">
        <v>2050</v>
      </c>
      <c r="D437" s="34" t="s">
        <v>387</v>
      </c>
      <c r="E437" s="34" t="s">
        <v>388</v>
      </c>
      <c r="F437" s="34" t="s">
        <v>589</v>
      </c>
      <c r="G437" s="34" t="s">
        <v>393</v>
      </c>
      <c r="H437" s="34" t="s">
        <v>13</v>
      </c>
      <c r="I437" s="34" t="s">
        <v>19</v>
      </c>
      <c r="J437" s="34" t="s">
        <v>391</v>
      </c>
      <c r="K437" s="34" t="s">
        <v>15</v>
      </c>
      <c r="L437">
        <v>0.13796618990704268</v>
      </c>
    </row>
    <row r="438" spans="1:12" x14ac:dyDescent="0.3">
      <c r="A438" s="34" t="s">
        <v>662</v>
      </c>
      <c r="B438">
        <v>-1</v>
      </c>
      <c r="C438">
        <v>2050</v>
      </c>
      <c r="D438" s="34" t="s">
        <v>387</v>
      </c>
      <c r="E438" s="34" t="s">
        <v>388</v>
      </c>
      <c r="F438" s="34" t="s">
        <v>589</v>
      </c>
      <c r="G438" s="34" t="s">
        <v>57</v>
      </c>
      <c r="H438" s="34" t="s">
        <v>13</v>
      </c>
      <c r="I438" s="34" t="s">
        <v>13</v>
      </c>
      <c r="J438" s="34" t="s">
        <v>17</v>
      </c>
      <c r="K438" s="34" t="s">
        <v>15</v>
      </c>
      <c r="L438">
        <v>0.21899395223340107</v>
      </c>
    </row>
    <row r="439" spans="1:12" x14ac:dyDescent="0.3">
      <c r="A439" s="34" t="s">
        <v>662</v>
      </c>
      <c r="B439">
        <v>-1</v>
      </c>
      <c r="C439">
        <v>2050</v>
      </c>
      <c r="D439" s="34" t="s">
        <v>387</v>
      </c>
      <c r="E439" s="34" t="s">
        <v>388</v>
      </c>
      <c r="F439" s="34" t="s">
        <v>642</v>
      </c>
      <c r="G439" s="34" t="s">
        <v>645</v>
      </c>
      <c r="H439" s="34" t="s">
        <v>23</v>
      </c>
      <c r="I439" s="34" t="s">
        <v>19</v>
      </c>
      <c r="J439" s="34" t="s">
        <v>24</v>
      </c>
      <c r="K439" s="34" t="s">
        <v>15</v>
      </c>
      <c r="L439">
        <v>1.2689746558731614</v>
      </c>
    </row>
    <row r="440" spans="1:12" x14ac:dyDescent="0.3">
      <c r="A440" s="34" t="s">
        <v>662</v>
      </c>
      <c r="B440">
        <v>-1</v>
      </c>
      <c r="C440">
        <v>2050</v>
      </c>
      <c r="D440" s="34" t="s">
        <v>389</v>
      </c>
      <c r="E440" s="34" t="s">
        <v>390</v>
      </c>
      <c r="F440" s="34" t="s">
        <v>643</v>
      </c>
      <c r="G440" s="34" t="s">
        <v>645</v>
      </c>
      <c r="H440" s="34" t="s">
        <v>23</v>
      </c>
      <c r="I440" s="34" t="s">
        <v>19</v>
      </c>
      <c r="J440" s="34" t="s">
        <v>24</v>
      </c>
      <c r="K440" s="34" t="s">
        <v>15</v>
      </c>
      <c r="L440">
        <v>2.8527889495896184</v>
      </c>
    </row>
  </sheetData>
  <pageMargins left="0.7" right="0.7" top="0.75" bottom="0.75" header="0.3" footer="0.3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DD984-CCE4-428E-9E82-1BE3D26C8644}">
  <sheetPr codeName="Sheet6">
    <tabColor theme="4" tint="0.59999389629810485"/>
  </sheetPr>
  <dimension ref="A1:U357"/>
  <sheetViews>
    <sheetView topLeftCell="H1" workbookViewId="0">
      <selection sqref="A1:M99"/>
    </sheetView>
  </sheetViews>
  <sheetFormatPr defaultRowHeight="14.4" x14ac:dyDescent="0.3"/>
  <cols>
    <col min="1" max="1" width="17.44140625" bestFit="1" customWidth="1"/>
    <col min="2" max="2" width="10.6640625" bestFit="1" customWidth="1"/>
    <col min="3" max="3" width="5" bestFit="1" customWidth="1"/>
    <col min="4" max="4" width="26.21875" bestFit="1" customWidth="1"/>
    <col min="5" max="5" width="5.44140625" bestFit="1" customWidth="1"/>
    <col min="6" max="6" width="38.33203125" bestFit="1" customWidth="1"/>
    <col min="7" max="7" width="8.21875" bestFit="1" customWidth="1"/>
    <col min="8" max="8" width="12.6640625" bestFit="1" customWidth="1"/>
    <col min="11" max="11" width="18.88671875" bestFit="1" customWidth="1"/>
    <col min="12" max="12" width="28" bestFit="1" customWidth="1"/>
    <col min="13" max="13" width="26" bestFit="1" customWidth="1"/>
    <col min="14" max="14" width="25.109375" bestFit="1" customWidth="1"/>
    <col min="15" max="15" width="33.44140625" bestFit="1" customWidth="1"/>
    <col min="16" max="16" width="21.6640625" bestFit="1" customWidth="1"/>
    <col min="17" max="17" width="35.21875" bestFit="1" customWidth="1"/>
    <col min="18" max="18" width="30" bestFit="1" customWidth="1"/>
    <col min="19" max="19" width="33.33203125" bestFit="1" customWidth="1"/>
    <col min="20" max="20" width="38.5546875" bestFit="1" customWidth="1"/>
    <col min="21" max="21" width="12" bestFit="1" customWidth="1"/>
  </cols>
  <sheetData>
    <row r="1" spans="1:21" x14ac:dyDescent="0.3">
      <c r="A1" t="s">
        <v>1</v>
      </c>
      <c r="B1" t="s">
        <v>37</v>
      </c>
      <c r="C1" t="s">
        <v>2</v>
      </c>
      <c r="D1" t="s">
        <v>3</v>
      </c>
      <c r="E1" t="s">
        <v>4</v>
      </c>
      <c r="F1" t="s">
        <v>50</v>
      </c>
      <c r="G1" t="s">
        <v>10</v>
      </c>
      <c r="H1" t="s">
        <v>0</v>
      </c>
    </row>
    <row r="2" spans="1:21" x14ac:dyDescent="0.3">
      <c r="A2" s="34" t="s">
        <v>662</v>
      </c>
      <c r="B2">
        <v>-1</v>
      </c>
      <c r="C2">
        <v>2050</v>
      </c>
      <c r="D2" s="34" t="s">
        <v>167</v>
      </c>
      <c r="E2" s="34" t="s">
        <v>187</v>
      </c>
      <c r="F2" s="34" t="s">
        <v>58</v>
      </c>
      <c r="G2" s="34" t="s">
        <v>59</v>
      </c>
      <c r="H2">
        <v>126.51390066922359</v>
      </c>
    </row>
    <row r="3" spans="1:21" x14ac:dyDescent="0.3">
      <c r="A3" s="34" t="s">
        <v>662</v>
      </c>
      <c r="B3">
        <v>-1</v>
      </c>
      <c r="C3">
        <v>2050</v>
      </c>
      <c r="D3" s="34" t="s">
        <v>167</v>
      </c>
      <c r="E3" s="34" t="s">
        <v>187</v>
      </c>
      <c r="F3" s="34" t="s">
        <v>60</v>
      </c>
      <c r="G3" s="34" t="s">
        <v>59</v>
      </c>
      <c r="H3">
        <v>130.51401820736373</v>
      </c>
    </row>
    <row r="4" spans="1:21" x14ac:dyDescent="0.3">
      <c r="A4" s="34" t="s">
        <v>662</v>
      </c>
      <c r="B4">
        <v>-1</v>
      </c>
      <c r="C4">
        <v>2050</v>
      </c>
      <c r="D4" s="34" t="s">
        <v>167</v>
      </c>
      <c r="E4" s="34" t="s">
        <v>187</v>
      </c>
      <c r="F4" s="34" t="s">
        <v>61</v>
      </c>
      <c r="G4" s="34" t="s">
        <v>59</v>
      </c>
      <c r="H4">
        <v>59.441190034750299</v>
      </c>
    </row>
    <row r="5" spans="1:21" x14ac:dyDescent="0.3">
      <c r="A5" s="34" t="s">
        <v>662</v>
      </c>
      <c r="B5">
        <v>-1</v>
      </c>
      <c r="C5">
        <v>2050</v>
      </c>
      <c r="D5" s="34" t="s">
        <v>167</v>
      </c>
      <c r="E5" s="34" t="s">
        <v>187</v>
      </c>
      <c r="F5" s="34" t="s">
        <v>411</v>
      </c>
      <c r="G5" s="34" t="s">
        <v>59</v>
      </c>
      <c r="H5">
        <v>7.5173746617307978E-4</v>
      </c>
    </row>
    <row r="6" spans="1:21" x14ac:dyDescent="0.3">
      <c r="A6" s="34" t="s">
        <v>662</v>
      </c>
      <c r="B6">
        <v>-1</v>
      </c>
      <c r="C6">
        <v>2050</v>
      </c>
      <c r="D6" s="34" t="s">
        <v>167</v>
      </c>
      <c r="E6" s="34" t="s">
        <v>187</v>
      </c>
      <c r="F6" s="34" t="s">
        <v>413</v>
      </c>
      <c r="G6" s="34" t="s">
        <v>59</v>
      </c>
      <c r="H6">
        <v>7.1215975861487415</v>
      </c>
      <c r="K6" s="1" t="s">
        <v>35</v>
      </c>
      <c r="L6" s="1" t="s">
        <v>36</v>
      </c>
    </row>
    <row r="7" spans="1:21" x14ac:dyDescent="0.3">
      <c r="A7" s="34" t="s">
        <v>662</v>
      </c>
      <c r="B7">
        <v>-1</v>
      </c>
      <c r="C7">
        <v>2050</v>
      </c>
      <c r="D7" s="34" t="s">
        <v>167</v>
      </c>
      <c r="E7" s="34" t="s">
        <v>187</v>
      </c>
      <c r="F7" s="34" t="s">
        <v>414</v>
      </c>
      <c r="G7" s="34" t="s">
        <v>59</v>
      </c>
      <c r="H7">
        <v>6.3169372615537164E-6</v>
      </c>
      <c r="K7" s="1" t="s">
        <v>33</v>
      </c>
      <c r="L7" t="s">
        <v>58</v>
      </c>
      <c r="M7" t="s">
        <v>60</v>
      </c>
      <c r="N7" t="s">
        <v>62</v>
      </c>
      <c r="O7" t="s">
        <v>61</v>
      </c>
      <c r="P7" t="s">
        <v>63</v>
      </c>
      <c r="Q7" t="s">
        <v>411</v>
      </c>
      <c r="R7" t="s">
        <v>412</v>
      </c>
      <c r="S7" t="s">
        <v>413</v>
      </c>
      <c r="T7" t="s">
        <v>414</v>
      </c>
      <c r="U7" t="s">
        <v>34</v>
      </c>
    </row>
    <row r="8" spans="1:21" x14ac:dyDescent="0.3">
      <c r="A8" s="34" t="s">
        <v>662</v>
      </c>
      <c r="B8">
        <v>-1</v>
      </c>
      <c r="C8">
        <v>2050</v>
      </c>
      <c r="D8" s="34" t="s">
        <v>167</v>
      </c>
      <c r="E8" s="34" t="s">
        <v>191</v>
      </c>
      <c r="F8" s="34" t="s">
        <v>58</v>
      </c>
      <c r="G8" s="34" t="s">
        <v>59</v>
      </c>
      <c r="H8">
        <v>406.86816607087235</v>
      </c>
      <c r="K8" s="2" t="s">
        <v>662</v>
      </c>
      <c r="L8" s="34">
        <v>75770.765659985744</v>
      </c>
      <c r="M8" s="34">
        <v>28051.521872274272</v>
      </c>
      <c r="N8" s="34">
        <v>1580.466802900838</v>
      </c>
      <c r="O8" s="34">
        <v>5561.4118558093214</v>
      </c>
      <c r="P8" s="34">
        <v>4.6785593543636343</v>
      </c>
      <c r="Q8" s="34">
        <v>0.15272581057746956</v>
      </c>
      <c r="R8" s="34">
        <v>2675.9420983148716</v>
      </c>
      <c r="S8" s="34">
        <v>1006.0961119917547</v>
      </c>
      <c r="T8" s="34">
        <v>1.7253586810928041E-3</v>
      </c>
      <c r="U8" s="34">
        <v>114651.03741180041</v>
      </c>
    </row>
    <row r="9" spans="1:21" x14ac:dyDescent="0.3">
      <c r="A9" s="34" t="s">
        <v>662</v>
      </c>
      <c r="B9">
        <v>-1</v>
      </c>
      <c r="C9">
        <v>2050</v>
      </c>
      <c r="D9" s="34" t="s">
        <v>167</v>
      </c>
      <c r="E9" s="34" t="s">
        <v>191</v>
      </c>
      <c r="F9" s="34" t="s">
        <v>60</v>
      </c>
      <c r="G9" s="34" t="s">
        <v>59</v>
      </c>
      <c r="H9">
        <v>200.58706838875912</v>
      </c>
      <c r="K9" s="3">
        <v>2050</v>
      </c>
      <c r="L9" s="34">
        <v>75770.765659985744</v>
      </c>
      <c r="M9" s="34">
        <v>28051.521872274272</v>
      </c>
      <c r="N9" s="34">
        <v>1580.466802900838</v>
      </c>
      <c r="O9" s="34">
        <v>5561.4118558093214</v>
      </c>
      <c r="P9" s="34">
        <v>4.6785593543636343</v>
      </c>
      <c r="Q9" s="34">
        <v>0.15272581057746956</v>
      </c>
      <c r="R9" s="34">
        <v>2675.9420983148716</v>
      </c>
      <c r="S9" s="34">
        <v>1006.0961119917547</v>
      </c>
      <c r="T9" s="34">
        <v>1.7253586810928041E-3</v>
      </c>
      <c r="U9" s="34">
        <v>114651.03741180041</v>
      </c>
    </row>
    <row r="10" spans="1:21" x14ac:dyDescent="0.3">
      <c r="A10" s="34" t="s">
        <v>662</v>
      </c>
      <c r="B10">
        <v>-1</v>
      </c>
      <c r="C10">
        <v>2050</v>
      </c>
      <c r="D10" s="34" t="s">
        <v>167</v>
      </c>
      <c r="E10" s="34" t="s">
        <v>191</v>
      </c>
      <c r="F10" s="34" t="s">
        <v>61</v>
      </c>
      <c r="G10" s="34" t="s">
        <v>59</v>
      </c>
      <c r="H10">
        <v>141.32205523115596</v>
      </c>
      <c r="K10" s="2" t="s">
        <v>34</v>
      </c>
      <c r="L10" s="34">
        <v>75770.765659985744</v>
      </c>
      <c r="M10" s="34">
        <v>28051.521872274272</v>
      </c>
      <c r="N10" s="34">
        <v>1580.466802900838</v>
      </c>
      <c r="O10" s="34">
        <v>5561.4118558093214</v>
      </c>
      <c r="P10" s="34">
        <v>4.6785593543636343</v>
      </c>
      <c r="Q10" s="34">
        <v>0.15272581057746956</v>
      </c>
      <c r="R10" s="34">
        <v>2675.9420983148716</v>
      </c>
      <c r="S10" s="34">
        <v>1006.0961119917547</v>
      </c>
      <c r="T10" s="34">
        <v>1.7253586810928041E-3</v>
      </c>
      <c r="U10" s="34">
        <v>114651.03741180041</v>
      </c>
    </row>
    <row r="11" spans="1:21" x14ac:dyDescent="0.3">
      <c r="A11" s="34" t="s">
        <v>662</v>
      </c>
      <c r="B11">
        <v>-1</v>
      </c>
      <c r="C11">
        <v>2050</v>
      </c>
      <c r="D11" s="34" t="s">
        <v>167</v>
      </c>
      <c r="E11" s="34" t="s">
        <v>191</v>
      </c>
      <c r="F11" s="34" t="s">
        <v>412</v>
      </c>
      <c r="G11" s="34" t="s">
        <v>59</v>
      </c>
      <c r="H11">
        <v>22.712437231340672</v>
      </c>
    </row>
    <row r="12" spans="1:21" x14ac:dyDescent="0.3">
      <c r="A12" s="34" t="s">
        <v>662</v>
      </c>
      <c r="B12">
        <v>-1</v>
      </c>
      <c r="C12">
        <v>2050</v>
      </c>
      <c r="D12" s="34" t="s">
        <v>167</v>
      </c>
      <c r="E12" s="34" t="s">
        <v>191</v>
      </c>
      <c r="F12" s="34" t="s">
        <v>411</v>
      </c>
      <c r="G12" s="34" t="s">
        <v>59</v>
      </c>
      <c r="H12">
        <v>1.5089880841619961E-3</v>
      </c>
    </row>
    <row r="13" spans="1:21" x14ac:dyDescent="0.3">
      <c r="A13" s="34" t="s">
        <v>662</v>
      </c>
      <c r="B13">
        <v>-1</v>
      </c>
      <c r="C13">
        <v>2050</v>
      </c>
      <c r="D13" s="34" t="s">
        <v>167</v>
      </c>
      <c r="E13" s="34" t="s">
        <v>191</v>
      </c>
      <c r="F13" s="34" t="s">
        <v>413</v>
      </c>
      <c r="G13" s="34" t="s">
        <v>59</v>
      </c>
      <c r="H13">
        <v>5.9310792369859824</v>
      </c>
    </row>
    <row r="14" spans="1:21" x14ac:dyDescent="0.3">
      <c r="A14" s="34" t="s">
        <v>662</v>
      </c>
      <c r="B14">
        <v>-1</v>
      </c>
      <c r="C14">
        <v>2050</v>
      </c>
      <c r="D14" s="34" t="s">
        <v>167</v>
      </c>
      <c r="E14" s="34" t="s">
        <v>191</v>
      </c>
      <c r="F14" s="34" t="s">
        <v>414</v>
      </c>
      <c r="G14" s="34" t="s">
        <v>59</v>
      </c>
      <c r="H14">
        <v>1.2652246330131819E-5</v>
      </c>
    </row>
    <row r="15" spans="1:21" x14ac:dyDescent="0.3">
      <c r="A15" s="34" t="s">
        <v>662</v>
      </c>
      <c r="B15">
        <v>-1</v>
      </c>
      <c r="C15">
        <v>2050</v>
      </c>
      <c r="D15" s="34" t="s">
        <v>167</v>
      </c>
      <c r="E15" s="34" t="s">
        <v>395</v>
      </c>
      <c r="F15" s="34" t="s">
        <v>58</v>
      </c>
      <c r="G15" s="34" t="s">
        <v>59</v>
      </c>
      <c r="H15">
        <v>394.38398111096143</v>
      </c>
    </row>
    <row r="16" spans="1:21" x14ac:dyDescent="0.3">
      <c r="A16" s="34" t="s">
        <v>662</v>
      </c>
      <c r="B16">
        <v>-1</v>
      </c>
      <c r="C16">
        <v>2050</v>
      </c>
      <c r="D16" s="34" t="s">
        <v>167</v>
      </c>
      <c r="E16" s="34" t="s">
        <v>395</v>
      </c>
      <c r="F16" s="34" t="s">
        <v>60</v>
      </c>
      <c r="G16" s="34" t="s">
        <v>59</v>
      </c>
      <c r="H16">
        <v>592.8617413719835</v>
      </c>
    </row>
    <row r="17" spans="1:8" x14ac:dyDescent="0.3">
      <c r="A17" s="34" t="s">
        <v>662</v>
      </c>
      <c r="B17">
        <v>-1</v>
      </c>
      <c r="C17">
        <v>2050</v>
      </c>
      <c r="D17" s="34" t="s">
        <v>167</v>
      </c>
      <c r="E17" s="34" t="s">
        <v>395</v>
      </c>
      <c r="F17" s="34" t="s">
        <v>61</v>
      </c>
      <c r="G17" s="34" t="s">
        <v>59</v>
      </c>
      <c r="H17">
        <v>342.59237737569902</v>
      </c>
    </row>
    <row r="18" spans="1:8" x14ac:dyDescent="0.3">
      <c r="A18" s="34" t="s">
        <v>662</v>
      </c>
      <c r="B18">
        <v>-1</v>
      </c>
      <c r="C18">
        <v>2050</v>
      </c>
      <c r="D18" s="34" t="s">
        <v>167</v>
      </c>
      <c r="E18" s="34" t="s">
        <v>395</v>
      </c>
      <c r="F18" s="34" t="s">
        <v>412</v>
      </c>
      <c r="G18" s="34" t="s">
        <v>59</v>
      </c>
      <c r="H18">
        <v>74.544306702219373</v>
      </c>
    </row>
    <row r="19" spans="1:8" x14ac:dyDescent="0.3">
      <c r="A19" s="34" t="s">
        <v>662</v>
      </c>
      <c r="B19">
        <v>-1</v>
      </c>
      <c r="C19">
        <v>2050</v>
      </c>
      <c r="D19" s="34" t="s">
        <v>167</v>
      </c>
      <c r="E19" s="34" t="s">
        <v>395</v>
      </c>
      <c r="F19" s="34" t="s">
        <v>411</v>
      </c>
      <c r="G19" s="34" t="s">
        <v>59</v>
      </c>
      <c r="H19">
        <v>7.8679975804085249E-3</v>
      </c>
    </row>
    <row r="20" spans="1:8" x14ac:dyDescent="0.3">
      <c r="A20" s="34" t="s">
        <v>662</v>
      </c>
      <c r="B20">
        <v>-1</v>
      </c>
      <c r="C20">
        <v>2050</v>
      </c>
      <c r="D20" s="34" t="s">
        <v>167</v>
      </c>
      <c r="E20" s="34" t="s">
        <v>395</v>
      </c>
      <c r="F20" s="34" t="s">
        <v>413</v>
      </c>
      <c r="G20" s="34" t="s">
        <v>59</v>
      </c>
      <c r="H20">
        <v>15.698337122421528</v>
      </c>
    </row>
    <row r="21" spans="1:8" x14ac:dyDescent="0.3">
      <c r="A21" s="34" t="s">
        <v>662</v>
      </c>
      <c r="B21">
        <v>-1</v>
      </c>
      <c r="C21">
        <v>2050</v>
      </c>
      <c r="D21" s="34" t="s">
        <v>167</v>
      </c>
      <c r="E21" s="34" t="s">
        <v>395</v>
      </c>
      <c r="F21" s="34" t="s">
        <v>414</v>
      </c>
      <c r="G21" s="34" t="s">
        <v>59</v>
      </c>
      <c r="H21">
        <v>1.3474626091449149E-5</v>
      </c>
    </row>
    <row r="22" spans="1:8" x14ac:dyDescent="0.3">
      <c r="A22" s="34" t="s">
        <v>662</v>
      </c>
      <c r="B22">
        <v>-1</v>
      </c>
      <c r="C22">
        <v>2050</v>
      </c>
      <c r="D22" s="34" t="s">
        <v>197</v>
      </c>
      <c r="E22" s="34" t="s">
        <v>198</v>
      </c>
      <c r="F22" s="34" t="s">
        <v>58</v>
      </c>
      <c r="G22" s="34" t="s">
        <v>59</v>
      </c>
      <c r="H22">
        <v>628.52516326626301</v>
      </c>
    </row>
    <row r="23" spans="1:8" x14ac:dyDescent="0.3">
      <c r="A23" s="34" t="s">
        <v>662</v>
      </c>
      <c r="B23">
        <v>-1</v>
      </c>
      <c r="C23">
        <v>2050</v>
      </c>
      <c r="D23" s="34" t="s">
        <v>197</v>
      </c>
      <c r="E23" s="34" t="s">
        <v>198</v>
      </c>
      <c r="F23" s="34" t="s">
        <v>60</v>
      </c>
      <c r="G23" s="34" t="s">
        <v>59</v>
      </c>
      <c r="H23">
        <v>134.29833832602208</v>
      </c>
    </row>
    <row r="24" spans="1:8" x14ac:dyDescent="0.3">
      <c r="A24" s="34" t="s">
        <v>662</v>
      </c>
      <c r="B24">
        <v>-1</v>
      </c>
      <c r="C24">
        <v>2050</v>
      </c>
      <c r="D24" s="34" t="s">
        <v>197</v>
      </c>
      <c r="E24" s="34" t="s">
        <v>198</v>
      </c>
      <c r="F24" s="34" t="s">
        <v>61</v>
      </c>
      <c r="G24" s="34" t="s">
        <v>59</v>
      </c>
      <c r="H24">
        <v>55.766052742491368</v>
      </c>
    </row>
    <row r="25" spans="1:8" x14ac:dyDescent="0.3">
      <c r="A25" s="34" t="s">
        <v>662</v>
      </c>
      <c r="B25">
        <v>-1</v>
      </c>
      <c r="C25">
        <v>2050</v>
      </c>
      <c r="D25" s="34" t="s">
        <v>197</v>
      </c>
      <c r="E25" s="34" t="s">
        <v>198</v>
      </c>
      <c r="F25" s="34" t="s">
        <v>411</v>
      </c>
      <c r="G25" s="34" t="s">
        <v>59</v>
      </c>
      <c r="H25">
        <v>2.3913650010879747E-3</v>
      </c>
    </row>
    <row r="26" spans="1:8" x14ac:dyDescent="0.3">
      <c r="A26" s="34" t="s">
        <v>662</v>
      </c>
      <c r="B26">
        <v>-1</v>
      </c>
      <c r="C26">
        <v>2050</v>
      </c>
      <c r="D26" s="34" t="s">
        <v>197</v>
      </c>
      <c r="E26" s="34" t="s">
        <v>198</v>
      </c>
      <c r="F26" s="34" t="s">
        <v>413</v>
      </c>
      <c r="G26" s="34" t="s">
        <v>59</v>
      </c>
      <c r="H26">
        <v>5.0072006182178006</v>
      </c>
    </row>
    <row r="27" spans="1:8" x14ac:dyDescent="0.3">
      <c r="A27" s="34" t="s">
        <v>662</v>
      </c>
      <c r="B27">
        <v>-1</v>
      </c>
      <c r="C27">
        <v>2050</v>
      </c>
      <c r="D27" s="34" t="s">
        <v>197</v>
      </c>
      <c r="E27" s="34" t="s">
        <v>198</v>
      </c>
      <c r="F27" s="34" t="s">
        <v>414</v>
      </c>
      <c r="G27" s="34" t="s">
        <v>59</v>
      </c>
      <c r="H27">
        <v>6.9778946887925881E-6</v>
      </c>
    </row>
    <row r="28" spans="1:8" x14ac:dyDescent="0.3">
      <c r="A28" s="34" t="s">
        <v>662</v>
      </c>
      <c r="B28">
        <v>-1</v>
      </c>
      <c r="C28">
        <v>2050</v>
      </c>
      <c r="D28" s="34" t="s">
        <v>197</v>
      </c>
      <c r="E28" s="34" t="s">
        <v>231</v>
      </c>
      <c r="F28" s="34" t="s">
        <v>58</v>
      </c>
      <c r="G28" s="34" t="s">
        <v>59</v>
      </c>
      <c r="H28">
        <v>237.38289591674427</v>
      </c>
    </row>
    <row r="29" spans="1:8" x14ac:dyDescent="0.3">
      <c r="A29" s="34" t="s">
        <v>662</v>
      </c>
      <c r="B29">
        <v>-1</v>
      </c>
      <c r="C29">
        <v>2050</v>
      </c>
      <c r="D29" s="34" t="s">
        <v>197</v>
      </c>
      <c r="E29" s="34" t="s">
        <v>231</v>
      </c>
      <c r="F29" s="34" t="s">
        <v>60</v>
      </c>
      <c r="G29" s="34" t="s">
        <v>59</v>
      </c>
      <c r="H29">
        <v>71.096378201340002</v>
      </c>
    </row>
    <row r="30" spans="1:8" x14ac:dyDescent="0.3">
      <c r="A30" s="34" t="s">
        <v>662</v>
      </c>
      <c r="B30">
        <v>-1</v>
      </c>
      <c r="C30">
        <v>2050</v>
      </c>
      <c r="D30" s="34" t="s">
        <v>197</v>
      </c>
      <c r="E30" s="34" t="s">
        <v>231</v>
      </c>
      <c r="F30" s="34" t="s">
        <v>61</v>
      </c>
      <c r="G30" s="34" t="s">
        <v>59</v>
      </c>
      <c r="H30">
        <v>21.845015435086527</v>
      </c>
    </row>
    <row r="31" spans="1:8" x14ac:dyDescent="0.3">
      <c r="A31" s="34" t="s">
        <v>662</v>
      </c>
      <c r="B31">
        <v>-1</v>
      </c>
      <c r="C31">
        <v>2050</v>
      </c>
      <c r="D31" s="34" t="s">
        <v>197</v>
      </c>
      <c r="E31" s="34" t="s">
        <v>231</v>
      </c>
      <c r="F31" s="34" t="s">
        <v>412</v>
      </c>
      <c r="G31" s="34" t="s">
        <v>59</v>
      </c>
      <c r="H31">
        <v>0.44538379378754861</v>
      </c>
    </row>
    <row r="32" spans="1:8" x14ac:dyDescent="0.3">
      <c r="A32" s="34" t="s">
        <v>662</v>
      </c>
      <c r="B32">
        <v>-1</v>
      </c>
      <c r="C32">
        <v>2050</v>
      </c>
      <c r="D32" s="34" t="s">
        <v>197</v>
      </c>
      <c r="E32" s="34" t="s">
        <v>231</v>
      </c>
      <c r="F32" s="34" t="s">
        <v>411</v>
      </c>
      <c r="G32" s="34" t="s">
        <v>59</v>
      </c>
      <c r="H32">
        <v>6.9921304178317259E-4</v>
      </c>
    </row>
    <row r="33" spans="1:8" x14ac:dyDescent="0.3">
      <c r="A33" s="34" t="s">
        <v>662</v>
      </c>
      <c r="B33">
        <v>-1</v>
      </c>
      <c r="C33">
        <v>2050</v>
      </c>
      <c r="D33" s="34" t="s">
        <v>197</v>
      </c>
      <c r="E33" s="34" t="s">
        <v>231</v>
      </c>
      <c r="F33" s="34" t="s">
        <v>413</v>
      </c>
      <c r="G33" s="34" t="s">
        <v>59</v>
      </c>
      <c r="H33">
        <v>2.1625408827895174</v>
      </c>
    </row>
    <row r="34" spans="1:8" x14ac:dyDescent="0.3">
      <c r="A34" s="34" t="s">
        <v>662</v>
      </c>
      <c r="B34">
        <v>-1</v>
      </c>
      <c r="C34">
        <v>2050</v>
      </c>
      <c r="D34" s="34" t="s">
        <v>197</v>
      </c>
      <c r="E34" s="34" t="s">
        <v>231</v>
      </c>
      <c r="F34" s="34" t="s">
        <v>414</v>
      </c>
      <c r="G34" s="34" t="s">
        <v>59</v>
      </c>
      <c r="H34">
        <v>2.9918129203095788E-6</v>
      </c>
    </row>
    <row r="35" spans="1:8" x14ac:dyDescent="0.3">
      <c r="A35" s="34" t="s">
        <v>662</v>
      </c>
      <c r="B35">
        <v>-1</v>
      </c>
      <c r="C35">
        <v>2050</v>
      </c>
      <c r="D35" s="34" t="s">
        <v>250</v>
      </c>
      <c r="E35" s="34" t="s">
        <v>251</v>
      </c>
      <c r="F35" s="34" t="s">
        <v>58</v>
      </c>
      <c r="G35" s="34" t="s">
        <v>59</v>
      </c>
      <c r="H35">
        <v>910.32530391476303</v>
      </c>
    </row>
    <row r="36" spans="1:8" x14ac:dyDescent="0.3">
      <c r="A36" s="34" t="s">
        <v>662</v>
      </c>
      <c r="B36">
        <v>-1</v>
      </c>
      <c r="C36">
        <v>2050</v>
      </c>
      <c r="D36" s="34" t="s">
        <v>250</v>
      </c>
      <c r="E36" s="34" t="s">
        <v>251</v>
      </c>
      <c r="F36" s="34" t="s">
        <v>60</v>
      </c>
      <c r="G36" s="34" t="s">
        <v>59</v>
      </c>
      <c r="H36">
        <v>282.57082860386242</v>
      </c>
    </row>
    <row r="37" spans="1:8" x14ac:dyDescent="0.3">
      <c r="A37" s="34" t="s">
        <v>662</v>
      </c>
      <c r="B37">
        <v>-1</v>
      </c>
      <c r="C37">
        <v>2050</v>
      </c>
      <c r="D37" s="34" t="s">
        <v>250</v>
      </c>
      <c r="E37" s="34" t="s">
        <v>251</v>
      </c>
      <c r="F37" s="34" t="s">
        <v>61</v>
      </c>
      <c r="G37" s="34" t="s">
        <v>59</v>
      </c>
      <c r="H37">
        <v>128.3910302919839</v>
      </c>
    </row>
    <row r="38" spans="1:8" x14ac:dyDescent="0.3">
      <c r="A38" s="34" t="s">
        <v>662</v>
      </c>
      <c r="B38">
        <v>-1</v>
      </c>
      <c r="C38">
        <v>2050</v>
      </c>
      <c r="D38" s="34" t="s">
        <v>250</v>
      </c>
      <c r="E38" s="34" t="s">
        <v>251</v>
      </c>
      <c r="F38" s="34" t="s">
        <v>62</v>
      </c>
      <c r="G38" s="34" t="s">
        <v>59</v>
      </c>
      <c r="H38">
        <v>8.9034703144967082</v>
      </c>
    </row>
    <row r="39" spans="1:8" x14ac:dyDescent="0.3">
      <c r="A39" s="34" t="s">
        <v>662</v>
      </c>
      <c r="B39">
        <v>-1</v>
      </c>
      <c r="C39">
        <v>2050</v>
      </c>
      <c r="D39" s="34" t="s">
        <v>250</v>
      </c>
      <c r="E39" s="34" t="s">
        <v>251</v>
      </c>
      <c r="F39" s="34" t="s">
        <v>412</v>
      </c>
      <c r="G39" s="34" t="s">
        <v>59</v>
      </c>
      <c r="H39">
        <v>34.194165502325063</v>
      </c>
    </row>
    <row r="40" spans="1:8" x14ac:dyDescent="0.3">
      <c r="A40" s="34" t="s">
        <v>662</v>
      </c>
      <c r="B40">
        <v>-1</v>
      </c>
      <c r="C40">
        <v>2050</v>
      </c>
      <c r="D40" s="34" t="s">
        <v>250</v>
      </c>
      <c r="E40" s="34" t="s">
        <v>251</v>
      </c>
      <c r="F40" s="34" t="s">
        <v>411</v>
      </c>
      <c r="G40" s="34" t="s">
        <v>59</v>
      </c>
      <c r="H40">
        <v>1.354017602275804E-3</v>
      </c>
    </row>
    <row r="41" spans="1:8" x14ac:dyDescent="0.3">
      <c r="A41" s="34" t="s">
        <v>662</v>
      </c>
      <c r="B41">
        <v>-1</v>
      </c>
      <c r="C41">
        <v>2050</v>
      </c>
      <c r="D41" s="34" t="s">
        <v>250</v>
      </c>
      <c r="E41" s="34" t="s">
        <v>251</v>
      </c>
      <c r="F41" s="34" t="s">
        <v>413</v>
      </c>
      <c r="G41" s="34" t="s">
        <v>59</v>
      </c>
      <c r="H41">
        <v>2.1945180442583028</v>
      </c>
    </row>
    <row r="42" spans="1:8" x14ac:dyDescent="0.3">
      <c r="A42" s="34" t="s">
        <v>662</v>
      </c>
      <c r="B42">
        <v>-1</v>
      </c>
      <c r="C42">
        <v>2050</v>
      </c>
      <c r="D42" s="34" t="s">
        <v>250</v>
      </c>
      <c r="E42" s="34" t="s">
        <v>251</v>
      </c>
      <c r="F42" s="34" t="s">
        <v>414</v>
      </c>
      <c r="G42" s="34" t="s">
        <v>59</v>
      </c>
      <c r="H42">
        <v>6.9024365477951255E-8</v>
      </c>
    </row>
    <row r="43" spans="1:8" x14ac:dyDescent="0.3">
      <c r="A43" s="34" t="s">
        <v>662</v>
      </c>
      <c r="B43">
        <v>-1</v>
      </c>
      <c r="C43">
        <v>2050</v>
      </c>
      <c r="D43" s="34" t="s">
        <v>255</v>
      </c>
      <c r="E43" s="34" t="s">
        <v>396</v>
      </c>
      <c r="F43" s="34" t="s">
        <v>58</v>
      </c>
      <c r="G43" s="34" t="s">
        <v>59</v>
      </c>
      <c r="H43">
        <v>6183.0077757496247</v>
      </c>
    </row>
    <row r="44" spans="1:8" x14ac:dyDescent="0.3">
      <c r="A44" s="34" t="s">
        <v>662</v>
      </c>
      <c r="B44">
        <v>-1</v>
      </c>
      <c r="C44">
        <v>2050</v>
      </c>
      <c r="D44" s="34" t="s">
        <v>255</v>
      </c>
      <c r="E44" s="34" t="s">
        <v>396</v>
      </c>
      <c r="F44" s="34" t="s">
        <v>60</v>
      </c>
      <c r="G44" s="34" t="s">
        <v>59</v>
      </c>
      <c r="H44">
        <v>1603.4375915144992</v>
      </c>
    </row>
    <row r="45" spans="1:8" x14ac:dyDescent="0.3">
      <c r="A45" s="34" t="s">
        <v>662</v>
      </c>
      <c r="B45">
        <v>-1</v>
      </c>
      <c r="C45">
        <v>2050</v>
      </c>
      <c r="D45" s="34" t="s">
        <v>255</v>
      </c>
      <c r="E45" s="34" t="s">
        <v>396</v>
      </c>
      <c r="F45" s="34" t="s">
        <v>61</v>
      </c>
      <c r="G45" s="34" t="s">
        <v>59</v>
      </c>
      <c r="H45">
        <v>531.85807719073284</v>
      </c>
    </row>
    <row r="46" spans="1:8" x14ac:dyDescent="0.3">
      <c r="A46" s="34" t="s">
        <v>662</v>
      </c>
      <c r="B46">
        <v>-1</v>
      </c>
      <c r="C46">
        <v>2050</v>
      </c>
      <c r="D46" s="34" t="s">
        <v>255</v>
      </c>
      <c r="E46" s="34" t="s">
        <v>396</v>
      </c>
      <c r="F46" s="34" t="s">
        <v>62</v>
      </c>
      <c r="G46" s="34" t="s">
        <v>59</v>
      </c>
      <c r="H46">
        <v>3.697774682888358E-14</v>
      </c>
    </row>
    <row r="47" spans="1:8" x14ac:dyDescent="0.3">
      <c r="A47" s="34" t="s">
        <v>662</v>
      </c>
      <c r="B47">
        <v>-1</v>
      </c>
      <c r="C47">
        <v>2050</v>
      </c>
      <c r="D47" s="34" t="s">
        <v>255</v>
      </c>
      <c r="E47" s="34" t="s">
        <v>396</v>
      </c>
      <c r="F47" s="34" t="s">
        <v>412</v>
      </c>
      <c r="G47" s="34" t="s">
        <v>59</v>
      </c>
      <c r="H47">
        <v>312.836776573507</v>
      </c>
    </row>
    <row r="48" spans="1:8" x14ac:dyDescent="0.3">
      <c r="A48" s="34" t="s">
        <v>662</v>
      </c>
      <c r="B48">
        <v>-1</v>
      </c>
      <c r="C48">
        <v>2050</v>
      </c>
      <c r="D48" s="34" t="s">
        <v>255</v>
      </c>
      <c r="E48" s="34" t="s">
        <v>396</v>
      </c>
      <c r="F48" s="34" t="s">
        <v>411</v>
      </c>
      <c r="G48" s="34" t="s">
        <v>59</v>
      </c>
      <c r="H48">
        <v>1.4312915659646579E-2</v>
      </c>
    </row>
    <row r="49" spans="1:8" x14ac:dyDescent="0.3">
      <c r="A49" s="34" t="s">
        <v>662</v>
      </c>
      <c r="B49">
        <v>-1</v>
      </c>
      <c r="C49">
        <v>2050</v>
      </c>
      <c r="D49" s="34" t="s">
        <v>255</v>
      </c>
      <c r="E49" s="34" t="s">
        <v>396</v>
      </c>
      <c r="F49" s="34" t="s">
        <v>413</v>
      </c>
      <c r="G49" s="34" t="s">
        <v>59</v>
      </c>
      <c r="H49">
        <v>82.256285471525857</v>
      </c>
    </row>
    <row r="50" spans="1:8" x14ac:dyDescent="0.3">
      <c r="A50" s="34" t="s">
        <v>662</v>
      </c>
      <c r="B50">
        <v>-1</v>
      </c>
      <c r="C50">
        <v>2050</v>
      </c>
      <c r="D50" s="34" t="s">
        <v>255</v>
      </c>
      <c r="E50" s="34" t="s">
        <v>396</v>
      </c>
      <c r="F50" s="34" t="s">
        <v>414</v>
      </c>
      <c r="G50" s="34" t="s">
        <v>59</v>
      </c>
      <c r="H50">
        <v>4.0813750819731404E-5</v>
      </c>
    </row>
    <row r="51" spans="1:8" x14ac:dyDescent="0.3">
      <c r="A51" s="34" t="s">
        <v>662</v>
      </c>
      <c r="B51">
        <v>-1</v>
      </c>
      <c r="C51">
        <v>2050</v>
      </c>
      <c r="D51" s="34" t="s">
        <v>305</v>
      </c>
      <c r="E51" s="34" t="s">
        <v>306</v>
      </c>
      <c r="F51" s="34" t="s">
        <v>58</v>
      </c>
      <c r="G51" s="34" t="s">
        <v>59</v>
      </c>
      <c r="H51">
        <v>1312.9113497794172</v>
      </c>
    </row>
    <row r="52" spans="1:8" x14ac:dyDescent="0.3">
      <c r="A52" s="34" t="s">
        <v>662</v>
      </c>
      <c r="B52">
        <v>-1</v>
      </c>
      <c r="C52">
        <v>2050</v>
      </c>
      <c r="D52" s="34" t="s">
        <v>305</v>
      </c>
      <c r="E52" s="34" t="s">
        <v>306</v>
      </c>
      <c r="F52" s="34" t="s">
        <v>60</v>
      </c>
      <c r="G52" s="34" t="s">
        <v>59</v>
      </c>
      <c r="H52">
        <v>476.06584249200301</v>
      </c>
    </row>
    <row r="53" spans="1:8" x14ac:dyDescent="0.3">
      <c r="A53" s="34" t="s">
        <v>662</v>
      </c>
      <c r="B53">
        <v>-1</v>
      </c>
      <c r="C53">
        <v>2050</v>
      </c>
      <c r="D53" s="34" t="s">
        <v>305</v>
      </c>
      <c r="E53" s="34" t="s">
        <v>306</v>
      </c>
      <c r="F53" s="34" t="s">
        <v>61</v>
      </c>
      <c r="G53" s="34" t="s">
        <v>59</v>
      </c>
      <c r="H53">
        <v>59.745369172902912</v>
      </c>
    </row>
    <row r="54" spans="1:8" x14ac:dyDescent="0.3">
      <c r="A54" s="34" t="s">
        <v>662</v>
      </c>
      <c r="B54">
        <v>-1</v>
      </c>
      <c r="C54">
        <v>2050</v>
      </c>
      <c r="D54" s="34" t="s">
        <v>305</v>
      </c>
      <c r="E54" s="34" t="s">
        <v>306</v>
      </c>
      <c r="F54" s="34" t="s">
        <v>412</v>
      </c>
      <c r="G54" s="34" t="s">
        <v>59</v>
      </c>
      <c r="H54">
        <v>126.52837374192366</v>
      </c>
    </row>
    <row r="55" spans="1:8" x14ac:dyDescent="0.3">
      <c r="A55" s="34" t="s">
        <v>662</v>
      </c>
      <c r="B55">
        <v>-1</v>
      </c>
      <c r="C55">
        <v>2050</v>
      </c>
      <c r="D55" s="34" t="s">
        <v>305</v>
      </c>
      <c r="E55" s="34" t="s">
        <v>306</v>
      </c>
      <c r="F55" s="34" t="s">
        <v>411</v>
      </c>
      <c r="G55" s="34" t="s">
        <v>59</v>
      </c>
      <c r="H55">
        <v>4.112610876256844E-3</v>
      </c>
    </row>
    <row r="56" spans="1:8" x14ac:dyDescent="0.3">
      <c r="A56" s="34" t="s">
        <v>662</v>
      </c>
      <c r="B56">
        <v>-1</v>
      </c>
      <c r="C56">
        <v>2050</v>
      </c>
      <c r="D56" s="34" t="s">
        <v>305</v>
      </c>
      <c r="E56" s="34" t="s">
        <v>306</v>
      </c>
      <c r="F56" s="34" t="s">
        <v>413</v>
      </c>
      <c r="G56" s="34" t="s">
        <v>59</v>
      </c>
      <c r="H56">
        <v>23.014169971819037</v>
      </c>
    </row>
    <row r="57" spans="1:8" x14ac:dyDescent="0.3">
      <c r="A57" s="34" t="s">
        <v>662</v>
      </c>
      <c r="B57">
        <v>-1</v>
      </c>
      <c r="C57">
        <v>2050</v>
      </c>
      <c r="D57" s="34" t="s">
        <v>305</v>
      </c>
      <c r="E57" s="34" t="s">
        <v>306</v>
      </c>
      <c r="F57" s="34" t="s">
        <v>414</v>
      </c>
      <c r="G57" s="34" t="s">
        <v>59</v>
      </c>
      <c r="H57">
        <v>2.2091627567474333E-6</v>
      </c>
    </row>
    <row r="58" spans="1:8" x14ac:dyDescent="0.3">
      <c r="A58" s="34" t="s">
        <v>662</v>
      </c>
      <c r="B58">
        <v>-1</v>
      </c>
      <c r="C58">
        <v>2050</v>
      </c>
      <c r="D58" s="34" t="s">
        <v>309</v>
      </c>
      <c r="E58" s="34" t="s">
        <v>310</v>
      </c>
      <c r="F58" s="34" t="s">
        <v>60</v>
      </c>
      <c r="G58" s="34" t="s">
        <v>59</v>
      </c>
      <c r="H58">
        <v>127.55921335512559</v>
      </c>
    </row>
    <row r="59" spans="1:8" x14ac:dyDescent="0.3">
      <c r="A59" s="34" t="s">
        <v>662</v>
      </c>
      <c r="B59">
        <v>-1</v>
      </c>
      <c r="C59">
        <v>2050</v>
      </c>
      <c r="D59" s="34" t="s">
        <v>309</v>
      </c>
      <c r="E59" s="34" t="s">
        <v>310</v>
      </c>
      <c r="F59" s="34" t="s">
        <v>61</v>
      </c>
      <c r="G59" s="34" t="s">
        <v>59</v>
      </c>
      <c r="H59">
        <v>64.277349571246191</v>
      </c>
    </row>
    <row r="60" spans="1:8" x14ac:dyDescent="0.3">
      <c r="A60" s="34" t="s">
        <v>662</v>
      </c>
      <c r="B60">
        <v>-1</v>
      </c>
      <c r="C60">
        <v>2050</v>
      </c>
      <c r="D60" s="34" t="s">
        <v>309</v>
      </c>
      <c r="E60" s="34" t="s">
        <v>310</v>
      </c>
      <c r="F60" s="34" t="s">
        <v>412</v>
      </c>
      <c r="G60" s="34" t="s">
        <v>59</v>
      </c>
      <c r="H60">
        <v>11.481728270984394</v>
      </c>
    </row>
    <row r="61" spans="1:8" x14ac:dyDescent="0.3">
      <c r="A61" s="34" t="s">
        <v>662</v>
      </c>
      <c r="B61">
        <v>-1</v>
      </c>
      <c r="C61">
        <v>2050</v>
      </c>
      <c r="D61" s="34" t="s">
        <v>309</v>
      </c>
      <c r="E61" s="34" t="s">
        <v>310</v>
      </c>
      <c r="F61" s="34" t="s">
        <v>411</v>
      </c>
      <c r="G61" s="34" t="s">
        <v>59</v>
      </c>
      <c r="H61">
        <v>1.4059688885191823E-3</v>
      </c>
    </row>
    <row r="62" spans="1:8" x14ac:dyDescent="0.3">
      <c r="A62" s="34" t="s">
        <v>662</v>
      </c>
      <c r="B62">
        <v>-1</v>
      </c>
      <c r="C62">
        <v>2050</v>
      </c>
      <c r="D62" s="34" t="s">
        <v>309</v>
      </c>
      <c r="E62" s="34" t="s">
        <v>310</v>
      </c>
      <c r="F62" s="34" t="s">
        <v>413</v>
      </c>
      <c r="G62" s="34" t="s">
        <v>59</v>
      </c>
      <c r="H62">
        <v>1.8088976509086074</v>
      </c>
    </row>
    <row r="63" spans="1:8" x14ac:dyDescent="0.3">
      <c r="A63" s="34" t="s">
        <v>662</v>
      </c>
      <c r="B63">
        <v>-1</v>
      </c>
      <c r="C63">
        <v>2050</v>
      </c>
      <c r="D63" s="34" t="s">
        <v>309</v>
      </c>
      <c r="E63" s="34" t="s">
        <v>310</v>
      </c>
      <c r="F63" s="34" t="s">
        <v>414</v>
      </c>
      <c r="G63" s="34" t="s">
        <v>59</v>
      </c>
      <c r="H63">
        <v>2.0253796235278455E-6</v>
      </c>
    </row>
    <row r="64" spans="1:8" x14ac:dyDescent="0.3">
      <c r="A64" s="34" t="s">
        <v>662</v>
      </c>
      <c r="B64">
        <v>-1</v>
      </c>
      <c r="C64">
        <v>2050</v>
      </c>
      <c r="D64" s="34" t="s">
        <v>309</v>
      </c>
      <c r="E64" s="34" t="s">
        <v>311</v>
      </c>
      <c r="F64" s="34" t="s">
        <v>58</v>
      </c>
      <c r="G64" s="34" t="s">
        <v>59</v>
      </c>
      <c r="H64">
        <v>696.77527766657306</v>
      </c>
    </row>
    <row r="65" spans="1:8" x14ac:dyDescent="0.3">
      <c r="A65" s="34" t="s">
        <v>662</v>
      </c>
      <c r="B65">
        <v>-1</v>
      </c>
      <c r="C65">
        <v>2050</v>
      </c>
      <c r="D65" s="34" t="s">
        <v>309</v>
      </c>
      <c r="E65" s="34" t="s">
        <v>311</v>
      </c>
      <c r="F65" s="34" t="s">
        <v>60</v>
      </c>
      <c r="G65" s="34" t="s">
        <v>59</v>
      </c>
      <c r="H65">
        <v>328.81551850460079</v>
      </c>
    </row>
    <row r="66" spans="1:8" x14ac:dyDescent="0.3">
      <c r="A66" s="34" t="s">
        <v>662</v>
      </c>
      <c r="B66">
        <v>-1</v>
      </c>
      <c r="C66">
        <v>2050</v>
      </c>
      <c r="D66" s="34" t="s">
        <v>309</v>
      </c>
      <c r="E66" s="34" t="s">
        <v>311</v>
      </c>
      <c r="F66" s="34" t="s">
        <v>61</v>
      </c>
      <c r="G66" s="34" t="s">
        <v>59</v>
      </c>
      <c r="H66">
        <v>153.47264296294824</v>
      </c>
    </row>
    <row r="67" spans="1:8" x14ac:dyDescent="0.3">
      <c r="A67" s="34" t="s">
        <v>662</v>
      </c>
      <c r="B67">
        <v>-1</v>
      </c>
      <c r="C67">
        <v>2050</v>
      </c>
      <c r="D67" s="34" t="s">
        <v>309</v>
      </c>
      <c r="E67" s="34" t="s">
        <v>311</v>
      </c>
      <c r="F67" s="34" t="s">
        <v>411</v>
      </c>
      <c r="G67" s="34" t="s">
        <v>59</v>
      </c>
      <c r="H67">
        <v>5.9789705929681209E-3</v>
      </c>
    </row>
    <row r="68" spans="1:8" x14ac:dyDescent="0.3">
      <c r="A68" s="34" t="s">
        <v>662</v>
      </c>
      <c r="B68">
        <v>-1</v>
      </c>
      <c r="C68">
        <v>2050</v>
      </c>
      <c r="D68" s="34" t="s">
        <v>309</v>
      </c>
      <c r="E68" s="34" t="s">
        <v>311</v>
      </c>
      <c r="F68" s="34" t="s">
        <v>413</v>
      </c>
      <c r="G68" s="34" t="s">
        <v>59</v>
      </c>
      <c r="H68">
        <v>4.3030573961978966</v>
      </c>
    </row>
    <row r="69" spans="1:8" x14ac:dyDescent="0.3">
      <c r="A69" s="34" t="s">
        <v>662</v>
      </c>
      <c r="B69">
        <v>-1</v>
      </c>
      <c r="C69">
        <v>2050</v>
      </c>
      <c r="D69" s="34" t="s">
        <v>309</v>
      </c>
      <c r="E69" s="34" t="s">
        <v>311</v>
      </c>
      <c r="F69" s="34" t="s">
        <v>414</v>
      </c>
      <c r="G69" s="34" t="s">
        <v>59</v>
      </c>
      <c r="H69">
        <v>7.5201124095791027E-6</v>
      </c>
    </row>
    <row r="70" spans="1:8" x14ac:dyDescent="0.3">
      <c r="A70" s="34" t="s">
        <v>662</v>
      </c>
      <c r="B70">
        <v>-1</v>
      </c>
      <c r="C70">
        <v>2050</v>
      </c>
      <c r="D70" s="34" t="s">
        <v>309</v>
      </c>
      <c r="E70" s="34" t="s">
        <v>312</v>
      </c>
      <c r="F70" s="34" t="s">
        <v>58</v>
      </c>
      <c r="G70" s="34" t="s">
        <v>59</v>
      </c>
      <c r="H70">
        <v>800.60920446095349</v>
      </c>
    </row>
    <row r="71" spans="1:8" x14ac:dyDescent="0.3">
      <c r="A71" s="34" t="s">
        <v>662</v>
      </c>
      <c r="B71">
        <v>-1</v>
      </c>
      <c r="C71">
        <v>2050</v>
      </c>
      <c r="D71" s="34" t="s">
        <v>309</v>
      </c>
      <c r="E71" s="34" t="s">
        <v>312</v>
      </c>
      <c r="F71" s="34" t="s">
        <v>60</v>
      </c>
      <c r="G71" s="34" t="s">
        <v>59</v>
      </c>
      <c r="H71">
        <v>350.85477804223638</v>
      </c>
    </row>
    <row r="72" spans="1:8" x14ac:dyDescent="0.3">
      <c r="A72" s="34" t="s">
        <v>662</v>
      </c>
      <c r="B72">
        <v>-1</v>
      </c>
      <c r="C72">
        <v>2050</v>
      </c>
      <c r="D72" s="34" t="s">
        <v>309</v>
      </c>
      <c r="E72" s="34" t="s">
        <v>312</v>
      </c>
      <c r="F72" s="34" t="s">
        <v>61</v>
      </c>
      <c r="G72" s="34" t="s">
        <v>59</v>
      </c>
      <c r="H72">
        <v>81.379922528728372</v>
      </c>
    </row>
    <row r="73" spans="1:8" x14ac:dyDescent="0.3">
      <c r="A73" s="34" t="s">
        <v>662</v>
      </c>
      <c r="B73">
        <v>-1</v>
      </c>
      <c r="C73">
        <v>2050</v>
      </c>
      <c r="D73" s="34" t="s">
        <v>309</v>
      </c>
      <c r="E73" s="34" t="s">
        <v>312</v>
      </c>
      <c r="F73" s="34" t="s">
        <v>411</v>
      </c>
      <c r="G73" s="34" t="s">
        <v>59</v>
      </c>
      <c r="H73">
        <v>2.6073191904371273E-3</v>
      </c>
    </row>
    <row r="74" spans="1:8" x14ac:dyDescent="0.3">
      <c r="A74" s="34" t="s">
        <v>662</v>
      </c>
      <c r="B74">
        <v>-1</v>
      </c>
      <c r="C74">
        <v>2050</v>
      </c>
      <c r="D74" s="34" t="s">
        <v>309</v>
      </c>
      <c r="E74" s="34" t="s">
        <v>312</v>
      </c>
      <c r="F74" s="34" t="s">
        <v>413</v>
      </c>
      <c r="G74" s="34" t="s">
        <v>59</v>
      </c>
      <c r="H74">
        <v>12.027484999003789</v>
      </c>
    </row>
    <row r="75" spans="1:8" x14ac:dyDescent="0.3">
      <c r="A75" s="34" t="s">
        <v>662</v>
      </c>
      <c r="B75">
        <v>-1</v>
      </c>
      <c r="C75">
        <v>2050</v>
      </c>
      <c r="D75" s="34" t="s">
        <v>309</v>
      </c>
      <c r="E75" s="34" t="s">
        <v>312</v>
      </c>
      <c r="F75" s="34" t="s">
        <v>414</v>
      </c>
      <c r="G75" s="34" t="s">
        <v>59</v>
      </c>
      <c r="H75">
        <v>1.4251177245934489E-5</v>
      </c>
    </row>
    <row r="76" spans="1:8" x14ac:dyDescent="0.3">
      <c r="A76" s="34" t="s">
        <v>662</v>
      </c>
      <c r="B76">
        <v>-1</v>
      </c>
      <c r="C76">
        <v>2050</v>
      </c>
      <c r="D76" s="34" t="s">
        <v>309</v>
      </c>
      <c r="E76" s="34" t="s">
        <v>313</v>
      </c>
      <c r="F76" s="34" t="s">
        <v>58</v>
      </c>
      <c r="G76" s="34" t="s">
        <v>59</v>
      </c>
      <c r="H76">
        <v>243.15164030619269</v>
      </c>
    </row>
    <row r="77" spans="1:8" x14ac:dyDescent="0.3">
      <c r="A77" s="34" t="s">
        <v>662</v>
      </c>
      <c r="B77">
        <v>-1</v>
      </c>
      <c r="C77">
        <v>2050</v>
      </c>
      <c r="D77" s="34" t="s">
        <v>309</v>
      </c>
      <c r="E77" s="34" t="s">
        <v>313</v>
      </c>
      <c r="F77" s="34" t="s">
        <v>60</v>
      </c>
      <c r="G77" s="34" t="s">
        <v>59</v>
      </c>
      <c r="H77">
        <v>80.002884095938469</v>
      </c>
    </row>
    <row r="78" spans="1:8" x14ac:dyDescent="0.3">
      <c r="A78" s="34" t="s">
        <v>662</v>
      </c>
      <c r="B78">
        <v>-1</v>
      </c>
      <c r="C78">
        <v>2050</v>
      </c>
      <c r="D78" s="34" t="s">
        <v>309</v>
      </c>
      <c r="E78" s="34" t="s">
        <v>313</v>
      </c>
      <c r="F78" s="34" t="s">
        <v>61</v>
      </c>
      <c r="G78" s="34" t="s">
        <v>59</v>
      </c>
      <c r="H78">
        <v>25.126305185828848</v>
      </c>
    </row>
    <row r="79" spans="1:8" x14ac:dyDescent="0.3">
      <c r="A79" s="34" t="s">
        <v>662</v>
      </c>
      <c r="B79">
        <v>-1</v>
      </c>
      <c r="C79">
        <v>2050</v>
      </c>
      <c r="D79" s="34" t="s">
        <v>309</v>
      </c>
      <c r="E79" s="34" t="s">
        <v>313</v>
      </c>
      <c r="F79" s="34" t="s">
        <v>411</v>
      </c>
      <c r="G79" s="34" t="s">
        <v>59</v>
      </c>
      <c r="H79">
        <v>1.1875271065850315E-3</v>
      </c>
    </row>
    <row r="80" spans="1:8" x14ac:dyDescent="0.3">
      <c r="A80" s="34" t="s">
        <v>662</v>
      </c>
      <c r="B80">
        <v>-1</v>
      </c>
      <c r="C80">
        <v>2050</v>
      </c>
      <c r="D80" s="34" t="s">
        <v>309</v>
      </c>
      <c r="E80" s="34" t="s">
        <v>313</v>
      </c>
      <c r="F80" s="34" t="s">
        <v>413</v>
      </c>
      <c r="G80" s="34" t="s">
        <v>59</v>
      </c>
      <c r="H80">
        <v>3.6267910683096227</v>
      </c>
    </row>
    <row r="81" spans="1:8" x14ac:dyDescent="0.3">
      <c r="A81" s="34" t="s">
        <v>662</v>
      </c>
      <c r="B81">
        <v>-1</v>
      </c>
      <c r="C81">
        <v>2050</v>
      </c>
      <c r="D81" s="34" t="s">
        <v>309</v>
      </c>
      <c r="E81" s="34" t="s">
        <v>313</v>
      </c>
      <c r="F81" s="34" t="s">
        <v>414</v>
      </c>
      <c r="G81" s="34" t="s">
        <v>59</v>
      </c>
      <c r="H81">
        <v>3.5630065046923828E-6</v>
      </c>
    </row>
    <row r="82" spans="1:8" x14ac:dyDescent="0.3">
      <c r="A82" s="34" t="s">
        <v>662</v>
      </c>
      <c r="B82">
        <v>-1</v>
      </c>
      <c r="C82">
        <v>2050</v>
      </c>
      <c r="D82" s="34" t="s">
        <v>314</v>
      </c>
      <c r="E82" s="34" t="s">
        <v>397</v>
      </c>
      <c r="F82" s="34" t="s">
        <v>58</v>
      </c>
      <c r="G82" s="34" t="s">
        <v>59</v>
      </c>
      <c r="H82">
        <v>10037.945136692411</v>
      </c>
    </row>
    <row r="83" spans="1:8" x14ac:dyDescent="0.3">
      <c r="A83" s="34" t="s">
        <v>662</v>
      </c>
      <c r="B83">
        <v>-1</v>
      </c>
      <c r="C83">
        <v>2050</v>
      </c>
      <c r="D83" s="34" t="s">
        <v>314</v>
      </c>
      <c r="E83" s="34" t="s">
        <v>397</v>
      </c>
      <c r="F83" s="34" t="s">
        <v>60</v>
      </c>
      <c r="G83" s="34" t="s">
        <v>59</v>
      </c>
      <c r="H83">
        <v>2702.4214500451708</v>
      </c>
    </row>
    <row r="84" spans="1:8" x14ac:dyDescent="0.3">
      <c r="A84" s="34" t="s">
        <v>662</v>
      </c>
      <c r="B84">
        <v>-1</v>
      </c>
      <c r="C84">
        <v>2050</v>
      </c>
      <c r="D84" s="34" t="s">
        <v>314</v>
      </c>
      <c r="E84" s="34" t="s">
        <v>397</v>
      </c>
      <c r="F84" s="34" t="s">
        <v>61</v>
      </c>
      <c r="G84" s="34" t="s">
        <v>59</v>
      </c>
      <c r="H84">
        <v>803.81193235474302</v>
      </c>
    </row>
    <row r="85" spans="1:8" x14ac:dyDescent="0.3">
      <c r="A85" s="34" t="s">
        <v>662</v>
      </c>
      <c r="B85">
        <v>-1</v>
      </c>
      <c r="C85">
        <v>2050</v>
      </c>
      <c r="D85" s="34" t="s">
        <v>314</v>
      </c>
      <c r="E85" s="34" t="s">
        <v>397</v>
      </c>
      <c r="F85" s="34" t="s">
        <v>62</v>
      </c>
      <c r="G85" s="34" t="s">
        <v>59</v>
      </c>
      <c r="H85">
        <v>66.567409134618273</v>
      </c>
    </row>
    <row r="86" spans="1:8" x14ac:dyDescent="0.3">
      <c r="A86" s="34" t="s">
        <v>662</v>
      </c>
      <c r="B86">
        <v>-1</v>
      </c>
      <c r="C86">
        <v>2050</v>
      </c>
      <c r="D86" s="34" t="s">
        <v>314</v>
      </c>
      <c r="E86" s="34" t="s">
        <v>397</v>
      </c>
      <c r="F86" s="34" t="s">
        <v>412</v>
      </c>
      <c r="G86" s="34" t="s">
        <v>59</v>
      </c>
      <c r="H86">
        <v>263.10647383344804</v>
      </c>
    </row>
    <row r="87" spans="1:8" x14ac:dyDescent="0.3">
      <c r="A87" s="34" t="s">
        <v>662</v>
      </c>
      <c r="B87">
        <v>-1</v>
      </c>
      <c r="C87">
        <v>2050</v>
      </c>
      <c r="D87" s="34" t="s">
        <v>314</v>
      </c>
      <c r="E87" s="34" t="s">
        <v>397</v>
      </c>
      <c r="F87" s="34" t="s">
        <v>411</v>
      </c>
      <c r="G87" s="34" t="s">
        <v>59</v>
      </c>
      <c r="H87">
        <v>1.0008922987159342E-2</v>
      </c>
    </row>
    <row r="88" spans="1:8" x14ac:dyDescent="0.3">
      <c r="A88" s="34" t="s">
        <v>662</v>
      </c>
      <c r="B88">
        <v>-1</v>
      </c>
      <c r="C88">
        <v>2050</v>
      </c>
      <c r="D88" s="34" t="s">
        <v>314</v>
      </c>
      <c r="E88" s="34" t="s">
        <v>397</v>
      </c>
      <c r="F88" s="34" t="s">
        <v>413</v>
      </c>
      <c r="G88" s="34" t="s">
        <v>59</v>
      </c>
      <c r="H88">
        <v>21.648881062799688</v>
      </c>
    </row>
    <row r="89" spans="1:8" x14ac:dyDescent="0.3">
      <c r="A89" s="34" t="s">
        <v>662</v>
      </c>
      <c r="B89">
        <v>-1</v>
      </c>
      <c r="C89">
        <v>2050</v>
      </c>
      <c r="D89" s="34" t="s">
        <v>314</v>
      </c>
      <c r="E89" s="34" t="s">
        <v>397</v>
      </c>
      <c r="F89" s="34" t="s">
        <v>414</v>
      </c>
      <c r="G89" s="34" t="s">
        <v>59</v>
      </c>
      <c r="H89">
        <v>7.6900907443732148E-5</v>
      </c>
    </row>
    <row r="90" spans="1:8" x14ac:dyDescent="0.3">
      <c r="A90" s="34" t="s">
        <v>662</v>
      </c>
      <c r="B90">
        <v>-1</v>
      </c>
      <c r="C90">
        <v>2050</v>
      </c>
      <c r="D90" s="34" t="s">
        <v>314</v>
      </c>
      <c r="E90" s="34" t="s">
        <v>398</v>
      </c>
      <c r="F90" s="34" t="s">
        <v>58</v>
      </c>
      <c r="G90" s="34" t="s">
        <v>59</v>
      </c>
      <c r="H90">
        <v>2.1311859411741079</v>
      </c>
    </row>
    <row r="91" spans="1:8" x14ac:dyDescent="0.3">
      <c r="A91" s="34" t="s">
        <v>662</v>
      </c>
      <c r="B91">
        <v>-1</v>
      </c>
      <c r="C91">
        <v>2050</v>
      </c>
      <c r="D91" s="34" t="s">
        <v>314</v>
      </c>
      <c r="E91" s="34" t="s">
        <v>398</v>
      </c>
      <c r="F91" s="34" t="s">
        <v>60</v>
      </c>
      <c r="G91" s="34" t="s">
        <v>59</v>
      </c>
      <c r="H91">
        <v>5.2034185421335519E-2</v>
      </c>
    </row>
    <row r="92" spans="1:8" x14ac:dyDescent="0.3">
      <c r="A92" s="34" t="s">
        <v>662</v>
      </c>
      <c r="B92">
        <v>-1</v>
      </c>
      <c r="C92">
        <v>2050</v>
      </c>
      <c r="D92" s="34" t="s">
        <v>314</v>
      </c>
      <c r="E92" s="34" t="s">
        <v>398</v>
      </c>
      <c r="F92" s="34" t="s">
        <v>61</v>
      </c>
      <c r="G92" s="34" t="s">
        <v>59</v>
      </c>
      <c r="H92">
        <v>4.1433498045135894E-2</v>
      </c>
    </row>
    <row r="93" spans="1:8" x14ac:dyDescent="0.3">
      <c r="A93" s="34" t="s">
        <v>662</v>
      </c>
      <c r="B93">
        <v>-1</v>
      </c>
      <c r="C93">
        <v>2050</v>
      </c>
      <c r="D93" s="34" t="s">
        <v>314</v>
      </c>
      <c r="E93" s="34" t="s">
        <v>398</v>
      </c>
      <c r="F93" s="34" t="s">
        <v>412</v>
      </c>
      <c r="G93" s="34" t="s">
        <v>59</v>
      </c>
      <c r="H93">
        <v>1.3787999449894019</v>
      </c>
    </row>
    <row r="94" spans="1:8" x14ac:dyDescent="0.3">
      <c r="A94" s="34" t="s">
        <v>662</v>
      </c>
      <c r="B94">
        <v>-1</v>
      </c>
      <c r="C94">
        <v>2050</v>
      </c>
      <c r="D94" s="34" t="s">
        <v>314</v>
      </c>
      <c r="E94" s="34" t="s">
        <v>398</v>
      </c>
      <c r="F94" s="34" t="s">
        <v>411</v>
      </c>
      <c r="G94" s="34" t="s">
        <v>59</v>
      </c>
      <c r="H94">
        <v>2.9131928990813796E-5</v>
      </c>
    </row>
    <row r="95" spans="1:8" x14ac:dyDescent="0.3">
      <c r="A95" s="34" t="s">
        <v>662</v>
      </c>
      <c r="B95">
        <v>-1</v>
      </c>
      <c r="C95">
        <v>2050</v>
      </c>
      <c r="D95" s="34" t="s">
        <v>328</v>
      </c>
      <c r="E95" s="34" t="s">
        <v>329</v>
      </c>
      <c r="F95" s="34" t="s">
        <v>60</v>
      </c>
      <c r="G95" s="34" t="s">
        <v>59</v>
      </c>
      <c r="H95">
        <v>2.0337800000000002E-3</v>
      </c>
    </row>
    <row r="96" spans="1:8" x14ac:dyDescent="0.3">
      <c r="A96" s="34" t="s">
        <v>662</v>
      </c>
      <c r="B96">
        <v>-1</v>
      </c>
      <c r="C96">
        <v>2050</v>
      </c>
      <c r="D96" s="34" t="s">
        <v>328</v>
      </c>
      <c r="E96" s="34" t="s">
        <v>329</v>
      </c>
      <c r="F96" s="34" t="s">
        <v>412</v>
      </c>
      <c r="G96" s="34" t="s">
        <v>59</v>
      </c>
      <c r="H96">
        <v>5.3881889158319645</v>
      </c>
    </row>
    <row r="97" spans="1:8" x14ac:dyDescent="0.3">
      <c r="A97" s="34" t="s">
        <v>662</v>
      </c>
      <c r="B97">
        <v>-1</v>
      </c>
      <c r="C97">
        <v>2050</v>
      </c>
      <c r="D97" s="34" t="s">
        <v>328</v>
      </c>
      <c r="E97" s="34" t="s">
        <v>329</v>
      </c>
      <c r="F97" s="34" t="s">
        <v>411</v>
      </c>
      <c r="G97" s="34" t="s">
        <v>59</v>
      </c>
      <c r="H97">
        <v>2.6236452877842703E-4</v>
      </c>
    </row>
    <row r="98" spans="1:8" x14ac:dyDescent="0.3">
      <c r="A98" s="34" t="s">
        <v>662</v>
      </c>
      <c r="B98">
        <v>-1</v>
      </c>
      <c r="C98">
        <v>2050</v>
      </c>
      <c r="D98" s="34" t="s">
        <v>328</v>
      </c>
      <c r="E98" s="34" t="s">
        <v>329</v>
      </c>
      <c r="F98" s="34" t="s">
        <v>413</v>
      </c>
      <c r="G98" s="34" t="s">
        <v>59</v>
      </c>
      <c r="H98">
        <v>0.97139834050920926</v>
      </c>
    </row>
    <row r="99" spans="1:8" x14ac:dyDescent="0.3">
      <c r="A99" s="34" t="s">
        <v>662</v>
      </c>
      <c r="B99">
        <v>-1</v>
      </c>
      <c r="C99">
        <v>2050</v>
      </c>
      <c r="D99" s="34" t="s">
        <v>328</v>
      </c>
      <c r="E99" s="34" t="s">
        <v>329</v>
      </c>
      <c r="F99" s="34" t="s">
        <v>414</v>
      </c>
      <c r="G99" s="34" t="s">
        <v>59</v>
      </c>
      <c r="H99">
        <v>3.3407274512148414E-7</v>
      </c>
    </row>
    <row r="100" spans="1:8" x14ac:dyDescent="0.3">
      <c r="A100" s="34" t="s">
        <v>662</v>
      </c>
      <c r="B100">
        <v>-1</v>
      </c>
      <c r="C100">
        <v>2050</v>
      </c>
      <c r="D100" s="34" t="s">
        <v>330</v>
      </c>
      <c r="E100" s="34" t="s">
        <v>331</v>
      </c>
      <c r="F100" s="34" t="s">
        <v>60</v>
      </c>
      <c r="G100" s="34" t="s">
        <v>59</v>
      </c>
      <c r="H100">
        <v>55.732126896551776</v>
      </c>
    </row>
    <row r="101" spans="1:8" x14ac:dyDescent="0.3">
      <c r="A101" s="34" t="s">
        <v>662</v>
      </c>
      <c r="B101">
        <v>-1</v>
      </c>
      <c r="C101">
        <v>2050</v>
      </c>
      <c r="D101" s="34" t="s">
        <v>330</v>
      </c>
      <c r="E101" s="34" t="s">
        <v>331</v>
      </c>
      <c r="F101" s="34" t="s">
        <v>412</v>
      </c>
      <c r="G101" s="34" t="s">
        <v>59</v>
      </c>
      <c r="H101">
        <v>5.8843400241370922</v>
      </c>
    </row>
    <row r="102" spans="1:8" x14ac:dyDescent="0.3">
      <c r="A102" s="34" t="s">
        <v>662</v>
      </c>
      <c r="B102">
        <v>-1</v>
      </c>
      <c r="C102">
        <v>2050</v>
      </c>
      <c r="D102" s="34" t="s">
        <v>330</v>
      </c>
      <c r="E102" s="34" t="s">
        <v>331</v>
      </c>
      <c r="F102" s="34" t="s">
        <v>411</v>
      </c>
      <c r="G102" s="34" t="s">
        <v>59</v>
      </c>
      <c r="H102">
        <v>6.2332730911510137E-4</v>
      </c>
    </row>
    <row r="103" spans="1:8" x14ac:dyDescent="0.3">
      <c r="A103" s="34" t="s">
        <v>662</v>
      </c>
      <c r="B103">
        <v>-1</v>
      </c>
      <c r="C103">
        <v>2050</v>
      </c>
      <c r="D103" s="34" t="s">
        <v>330</v>
      </c>
      <c r="E103" s="34" t="s">
        <v>331</v>
      </c>
      <c r="F103" s="34" t="s">
        <v>413</v>
      </c>
      <c r="G103" s="34" t="s">
        <v>59</v>
      </c>
      <c r="H103">
        <v>0.85895975252150092</v>
      </c>
    </row>
    <row r="104" spans="1:8" x14ac:dyDescent="0.3">
      <c r="A104" s="34" t="s">
        <v>662</v>
      </c>
      <c r="B104">
        <v>-1</v>
      </c>
      <c r="C104">
        <v>2050</v>
      </c>
      <c r="D104" s="34" t="s">
        <v>330</v>
      </c>
      <c r="E104" s="34" t="s">
        <v>331</v>
      </c>
      <c r="F104" s="34" t="s">
        <v>414</v>
      </c>
      <c r="G104" s="34" t="s">
        <v>59</v>
      </c>
      <c r="H104">
        <v>1.4193621288527866E-6</v>
      </c>
    </row>
    <row r="105" spans="1:8" x14ac:dyDescent="0.3">
      <c r="A105" s="34" t="s">
        <v>662</v>
      </c>
      <c r="B105">
        <v>-1</v>
      </c>
      <c r="C105">
        <v>2050</v>
      </c>
      <c r="D105" s="34" t="s">
        <v>332</v>
      </c>
      <c r="E105" s="34" t="s">
        <v>333</v>
      </c>
      <c r="F105" s="34" t="s">
        <v>58</v>
      </c>
      <c r="G105" s="34" t="s">
        <v>59</v>
      </c>
      <c r="H105">
        <v>1473.1370141197663</v>
      </c>
    </row>
    <row r="106" spans="1:8" x14ac:dyDescent="0.3">
      <c r="A106" s="34" t="s">
        <v>662</v>
      </c>
      <c r="B106">
        <v>-1</v>
      </c>
      <c r="C106">
        <v>2050</v>
      </c>
      <c r="D106" s="34" t="s">
        <v>332</v>
      </c>
      <c r="E106" s="34" t="s">
        <v>333</v>
      </c>
      <c r="F106" s="34" t="s">
        <v>60</v>
      </c>
      <c r="G106" s="34" t="s">
        <v>59</v>
      </c>
      <c r="H106">
        <v>300.85835674356042</v>
      </c>
    </row>
    <row r="107" spans="1:8" x14ac:dyDescent="0.3">
      <c r="A107" s="34" t="s">
        <v>662</v>
      </c>
      <c r="B107">
        <v>-1</v>
      </c>
      <c r="C107">
        <v>2050</v>
      </c>
      <c r="D107" s="34" t="s">
        <v>332</v>
      </c>
      <c r="E107" s="34" t="s">
        <v>333</v>
      </c>
      <c r="F107" s="34" t="s">
        <v>61</v>
      </c>
      <c r="G107" s="34" t="s">
        <v>59</v>
      </c>
      <c r="H107">
        <v>111.30384018622175</v>
      </c>
    </row>
    <row r="108" spans="1:8" x14ac:dyDescent="0.3">
      <c r="A108" s="34" t="s">
        <v>662</v>
      </c>
      <c r="B108">
        <v>-1</v>
      </c>
      <c r="C108">
        <v>2050</v>
      </c>
      <c r="D108" s="34" t="s">
        <v>332</v>
      </c>
      <c r="E108" s="34" t="s">
        <v>333</v>
      </c>
      <c r="F108" s="34" t="s">
        <v>412</v>
      </c>
      <c r="G108" s="34" t="s">
        <v>59</v>
      </c>
      <c r="H108">
        <v>33.948327062703186</v>
      </c>
    </row>
    <row r="109" spans="1:8" x14ac:dyDescent="0.3">
      <c r="A109" s="34" t="s">
        <v>662</v>
      </c>
      <c r="B109">
        <v>-1</v>
      </c>
      <c r="C109">
        <v>2050</v>
      </c>
      <c r="D109" s="34" t="s">
        <v>332</v>
      </c>
      <c r="E109" s="34" t="s">
        <v>333</v>
      </c>
      <c r="F109" s="34" t="s">
        <v>411</v>
      </c>
      <c r="G109" s="34" t="s">
        <v>59</v>
      </c>
      <c r="H109">
        <v>2.536643621555249E-3</v>
      </c>
    </row>
    <row r="110" spans="1:8" x14ac:dyDescent="0.3">
      <c r="A110" s="34" t="s">
        <v>662</v>
      </c>
      <c r="B110">
        <v>-1</v>
      </c>
      <c r="C110">
        <v>2050</v>
      </c>
      <c r="D110" s="34" t="s">
        <v>332</v>
      </c>
      <c r="E110" s="34" t="s">
        <v>333</v>
      </c>
      <c r="F110" s="34" t="s">
        <v>413</v>
      </c>
      <c r="G110" s="34" t="s">
        <v>59</v>
      </c>
      <c r="H110">
        <v>16.391264760863574</v>
      </c>
    </row>
    <row r="111" spans="1:8" x14ac:dyDescent="0.3">
      <c r="A111" s="34" t="s">
        <v>662</v>
      </c>
      <c r="B111">
        <v>-1</v>
      </c>
      <c r="C111">
        <v>2050</v>
      </c>
      <c r="D111" s="34" t="s">
        <v>332</v>
      </c>
      <c r="E111" s="34" t="s">
        <v>333</v>
      </c>
      <c r="F111" s="34" t="s">
        <v>414</v>
      </c>
      <c r="G111" s="34" t="s">
        <v>59</v>
      </c>
      <c r="H111">
        <v>3.2570342006105702E-5</v>
      </c>
    </row>
    <row r="112" spans="1:8" x14ac:dyDescent="0.3">
      <c r="A112" s="34" t="s">
        <v>662</v>
      </c>
      <c r="B112">
        <v>-1</v>
      </c>
      <c r="C112">
        <v>2050</v>
      </c>
      <c r="D112" s="34" t="s">
        <v>336</v>
      </c>
      <c r="E112" s="34" t="s">
        <v>337</v>
      </c>
      <c r="F112" s="34" t="s">
        <v>58</v>
      </c>
      <c r="G112" s="34" t="s">
        <v>59</v>
      </c>
      <c r="H112">
        <v>11020.190292746633</v>
      </c>
    </row>
    <row r="113" spans="1:8" x14ac:dyDescent="0.3">
      <c r="A113" s="34" t="s">
        <v>662</v>
      </c>
      <c r="B113">
        <v>-1</v>
      </c>
      <c r="C113">
        <v>2050</v>
      </c>
      <c r="D113" s="34" t="s">
        <v>336</v>
      </c>
      <c r="E113" s="34" t="s">
        <v>337</v>
      </c>
      <c r="F113" s="34" t="s">
        <v>60</v>
      </c>
      <c r="G113" s="34" t="s">
        <v>59</v>
      </c>
      <c r="H113">
        <v>2275.4570723213519</v>
      </c>
    </row>
    <row r="114" spans="1:8" x14ac:dyDescent="0.3">
      <c r="A114" s="34" t="s">
        <v>662</v>
      </c>
      <c r="B114">
        <v>-1</v>
      </c>
      <c r="C114">
        <v>2050</v>
      </c>
      <c r="D114" s="34" t="s">
        <v>336</v>
      </c>
      <c r="E114" s="34" t="s">
        <v>337</v>
      </c>
      <c r="F114" s="34" t="s">
        <v>61</v>
      </c>
      <c r="G114" s="34" t="s">
        <v>59</v>
      </c>
      <c r="H114">
        <v>711.85379789524382</v>
      </c>
    </row>
    <row r="115" spans="1:8" x14ac:dyDescent="0.3">
      <c r="A115" s="34" t="s">
        <v>662</v>
      </c>
      <c r="B115">
        <v>-1</v>
      </c>
      <c r="C115">
        <v>2050</v>
      </c>
      <c r="D115" s="34" t="s">
        <v>336</v>
      </c>
      <c r="E115" s="34" t="s">
        <v>337</v>
      </c>
      <c r="F115" s="34" t="s">
        <v>412</v>
      </c>
      <c r="G115" s="34" t="s">
        <v>59</v>
      </c>
      <c r="H115">
        <v>322.17384555297417</v>
      </c>
    </row>
    <row r="116" spans="1:8" x14ac:dyDescent="0.3">
      <c r="A116" s="34" t="s">
        <v>662</v>
      </c>
      <c r="B116">
        <v>-1</v>
      </c>
      <c r="C116">
        <v>2050</v>
      </c>
      <c r="D116" s="34" t="s">
        <v>336</v>
      </c>
      <c r="E116" s="34" t="s">
        <v>337</v>
      </c>
      <c r="F116" s="34" t="s">
        <v>411</v>
      </c>
      <c r="G116" s="34" t="s">
        <v>59</v>
      </c>
      <c r="H116">
        <v>1.143541142267299E-2</v>
      </c>
    </row>
    <row r="117" spans="1:8" x14ac:dyDescent="0.3">
      <c r="A117" s="34" t="s">
        <v>662</v>
      </c>
      <c r="B117">
        <v>-1</v>
      </c>
      <c r="C117">
        <v>2050</v>
      </c>
      <c r="D117" s="34" t="s">
        <v>336</v>
      </c>
      <c r="E117" s="34" t="s">
        <v>337</v>
      </c>
      <c r="F117" s="34" t="s">
        <v>413</v>
      </c>
      <c r="G117" s="34" t="s">
        <v>59</v>
      </c>
      <c r="H117">
        <v>85.789311285989172</v>
      </c>
    </row>
    <row r="118" spans="1:8" x14ac:dyDescent="0.3">
      <c r="A118" s="34" t="s">
        <v>662</v>
      </c>
      <c r="B118">
        <v>-1</v>
      </c>
      <c r="C118">
        <v>2050</v>
      </c>
      <c r="D118" s="34" t="s">
        <v>336</v>
      </c>
      <c r="E118" s="34" t="s">
        <v>337</v>
      </c>
      <c r="F118" s="34" t="s">
        <v>414</v>
      </c>
      <c r="G118" s="34" t="s">
        <v>59</v>
      </c>
      <c r="H118">
        <v>2.5996409990489003E-4</v>
      </c>
    </row>
    <row r="119" spans="1:8" x14ac:dyDescent="0.3">
      <c r="A119" s="34" t="s">
        <v>662</v>
      </c>
      <c r="B119">
        <v>-1</v>
      </c>
      <c r="C119">
        <v>2050</v>
      </c>
      <c r="D119" s="34" t="s">
        <v>338</v>
      </c>
      <c r="E119" s="34" t="s">
        <v>339</v>
      </c>
      <c r="F119" s="34" t="s">
        <v>58</v>
      </c>
      <c r="G119" s="34" t="s">
        <v>59</v>
      </c>
      <c r="H119">
        <v>715.72639075298673</v>
      </c>
    </row>
    <row r="120" spans="1:8" x14ac:dyDescent="0.3">
      <c r="A120" s="34" t="s">
        <v>662</v>
      </c>
      <c r="B120">
        <v>-1</v>
      </c>
      <c r="C120">
        <v>2050</v>
      </c>
      <c r="D120" s="34" t="s">
        <v>338</v>
      </c>
      <c r="E120" s="34" t="s">
        <v>339</v>
      </c>
      <c r="F120" s="34" t="s">
        <v>60</v>
      </c>
      <c r="G120" s="34" t="s">
        <v>59</v>
      </c>
      <c r="H120">
        <v>204.26919529947594</v>
      </c>
    </row>
    <row r="121" spans="1:8" x14ac:dyDescent="0.3">
      <c r="A121" s="34" t="s">
        <v>662</v>
      </c>
      <c r="B121">
        <v>-1</v>
      </c>
      <c r="C121">
        <v>2050</v>
      </c>
      <c r="D121" s="34" t="s">
        <v>338</v>
      </c>
      <c r="E121" s="34" t="s">
        <v>339</v>
      </c>
      <c r="F121" s="34" t="s">
        <v>61</v>
      </c>
      <c r="G121" s="34" t="s">
        <v>59</v>
      </c>
      <c r="H121">
        <v>46.926869443999998</v>
      </c>
    </row>
    <row r="122" spans="1:8" x14ac:dyDescent="0.3">
      <c r="A122" s="34" t="s">
        <v>662</v>
      </c>
      <c r="B122">
        <v>-1</v>
      </c>
      <c r="C122">
        <v>2050</v>
      </c>
      <c r="D122" s="34" t="s">
        <v>338</v>
      </c>
      <c r="E122" s="34" t="s">
        <v>339</v>
      </c>
      <c r="F122" s="34" t="s">
        <v>412</v>
      </c>
      <c r="G122" s="34" t="s">
        <v>59</v>
      </c>
      <c r="H122">
        <v>164.25373834428314</v>
      </c>
    </row>
    <row r="123" spans="1:8" x14ac:dyDescent="0.3">
      <c r="A123" s="34" t="s">
        <v>662</v>
      </c>
      <c r="B123">
        <v>-1</v>
      </c>
      <c r="C123">
        <v>2050</v>
      </c>
      <c r="D123" s="34" t="s">
        <v>338</v>
      </c>
      <c r="E123" s="34" t="s">
        <v>339</v>
      </c>
      <c r="F123" s="34" t="s">
        <v>411</v>
      </c>
      <c r="G123" s="34" t="s">
        <v>59</v>
      </c>
      <c r="H123">
        <v>3.9813698373349499E-3</v>
      </c>
    </row>
    <row r="124" spans="1:8" x14ac:dyDescent="0.3">
      <c r="A124" s="34" t="s">
        <v>662</v>
      </c>
      <c r="B124">
        <v>-1</v>
      </c>
      <c r="C124">
        <v>2050</v>
      </c>
      <c r="D124" s="34" t="s">
        <v>338</v>
      </c>
      <c r="E124" s="34" t="s">
        <v>339</v>
      </c>
      <c r="F124" s="34" t="s">
        <v>413</v>
      </c>
      <c r="G124" s="34" t="s">
        <v>59</v>
      </c>
      <c r="H124">
        <v>43.592451333159019</v>
      </c>
    </row>
    <row r="125" spans="1:8" x14ac:dyDescent="0.3">
      <c r="A125" s="34" t="s">
        <v>662</v>
      </c>
      <c r="B125">
        <v>-1</v>
      </c>
      <c r="C125">
        <v>2050</v>
      </c>
      <c r="D125" s="34" t="s">
        <v>338</v>
      </c>
      <c r="E125" s="34" t="s">
        <v>339</v>
      </c>
      <c r="F125" s="34" t="s">
        <v>414</v>
      </c>
      <c r="G125" s="34" t="s">
        <v>59</v>
      </c>
      <c r="H125">
        <v>8.5009893490280527E-5</v>
      </c>
    </row>
    <row r="126" spans="1:8" x14ac:dyDescent="0.3">
      <c r="A126" s="34" t="s">
        <v>662</v>
      </c>
      <c r="B126">
        <v>-1</v>
      </c>
      <c r="C126">
        <v>2050</v>
      </c>
      <c r="D126" s="34" t="s">
        <v>340</v>
      </c>
      <c r="E126" s="34" t="s">
        <v>399</v>
      </c>
      <c r="F126" s="34" t="s">
        <v>58</v>
      </c>
      <c r="G126" s="34" t="s">
        <v>59</v>
      </c>
      <c r="H126">
        <v>9604.1910551773217</v>
      </c>
    </row>
    <row r="127" spans="1:8" x14ac:dyDescent="0.3">
      <c r="A127" s="34" t="s">
        <v>662</v>
      </c>
      <c r="B127">
        <v>-1</v>
      </c>
      <c r="C127">
        <v>2050</v>
      </c>
      <c r="D127" s="34" t="s">
        <v>340</v>
      </c>
      <c r="E127" s="34" t="s">
        <v>399</v>
      </c>
      <c r="F127" s="34" t="s">
        <v>60</v>
      </c>
      <c r="G127" s="34" t="s">
        <v>59</v>
      </c>
      <c r="H127">
        <v>5785.4905726138777</v>
      </c>
    </row>
    <row r="128" spans="1:8" x14ac:dyDescent="0.3">
      <c r="A128" s="34" t="s">
        <v>662</v>
      </c>
      <c r="B128">
        <v>-1</v>
      </c>
      <c r="C128">
        <v>2050</v>
      </c>
      <c r="D128" s="34" t="s">
        <v>340</v>
      </c>
      <c r="E128" s="34" t="s">
        <v>399</v>
      </c>
      <c r="F128" s="34" t="s">
        <v>61</v>
      </c>
      <c r="G128" s="34" t="s">
        <v>59</v>
      </c>
      <c r="H128">
        <v>1131.1416523696698</v>
      </c>
    </row>
    <row r="129" spans="1:8" x14ac:dyDescent="0.3">
      <c r="A129" s="34" t="s">
        <v>662</v>
      </c>
      <c r="B129">
        <v>-1</v>
      </c>
      <c r="C129">
        <v>2050</v>
      </c>
      <c r="D129" s="34" t="s">
        <v>340</v>
      </c>
      <c r="E129" s="34" t="s">
        <v>399</v>
      </c>
      <c r="F129" s="34" t="s">
        <v>62</v>
      </c>
      <c r="G129" s="34" t="s">
        <v>59</v>
      </c>
      <c r="H129">
        <v>1261.3642462069756</v>
      </c>
    </row>
    <row r="130" spans="1:8" x14ac:dyDescent="0.3">
      <c r="A130" s="34" t="s">
        <v>662</v>
      </c>
      <c r="B130">
        <v>-1</v>
      </c>
      <c r="C130">
        <v>2050</v>
      </c>
      <c r="D130" s="34" t="s">
        <v>340</v>
      </c>
      <c r="E130" s="34" t="s">
        <v>399</v>
      </c>
      <c r="F130" s="34" t="s">
        <v>412</v>
      </c>
      <c r="G130" s="34" t="s">
        <v>59</v>
      </c>
      <c r="H130">
        <v>179.1301083086762</v>
      </c>
    </row>
    <row r="131" spans="1:8" x14ac:dyDescent="0.3">
      <c r="A131" s="34" t="s">
        <v>662</v>
      </c>
      <c r="B131">
        <v>-1</v>
      </c>
      <c r="C131">
        <v>2050</v>
      </c>
      <c r="D131" s="34" t="s">
        <v>340</v>
      </c>
      <c r="E131" s="34" t="s">
        <v>399</v>
      </c>
      <c r="F131" s="34" t="s">
        <v>411</v>
      </c>
      <c r="G131" s="34" t="s">
        <v>59</v>
      </c>
      <c r="H131">
        <v>1.0744372299799607E-2</v>
      </c>
    </row>
    <row r="132" spans="1:8" x14ac:dyDescent="0.3">
      <c r="A132" s="34" t="s">
        <v>662</v>
      </c>
      <c r="B132">
        <v>-1</v>
      </c>
      <c r="C132">
        <v>2050</v>
      </c>
      <c r="D132" s="34" t="s">
        <v>340</v>
      </c>
      <c r="E132" s="34" t="s">
        <v>399</v>
      </c>
      <c r="F132" s="34" t="s">
        <v>413</v>
      </c>
      <c r="G132" s="34" t="s">
        <v>59</v>
      </c>
      <c r="H132">
        <v>192.88385656984835</v>
      </c>
    </row>
    <row r="133" spans="1:8" x14ac:dyDescent="0.3">
      <c r="A133" s="34" t="s">
        <v>662</v>
      </c>
      <c r="B133">
        <v>-1</v>
      </c>
      <c r="C133">
        <v>2050</v>
      </c>
      <c r="D133" s="34" t="s">
        <v>340</v>
      </c>
      <c r="E133" s="34" t="s">
        <v>399</v>
      </c>
      <c r="F133" s="34" t="s">
        <v>414</v>
      </c>
      <c r="G133" s="34" t="s">
        <v>59</v>
      </c>
      <c r="H133">
        <v>3.1092561562453869E-4</v>
      </c>
    </row>
    <row r="134" spans="1:8" x14ac:dyDescent="0.3">
      <c r="A134" s="34" t="s">
        <v>662</v>
      </c>
      <c r="B134">
        <v>-1</v>
      </c>
      <c r="C134">
        <v>2050</v>
      </c>
      <c r="D134" s="34" t="s">
        <v>340</v>
      </c>
      <c r="E134" s="34" t="s">
        <v>400</v>
      </c>
      <c r="F134" s="34" t="s">
        <v>58</v>
      </c>
      <c r="G134" s="34" t="s">
        <v>59</v>
      </c>
      <c r="H134">
        <v>139.51526610494972</v>
      </c>
    </row>
    <row r="135" spans="1:8" x14ac:dyDescent="0.3">
      <c r="A135" s="34" t="s">
        <v>662</v>
      </c>
      <c r="B135">
        <v>-1</v>
      </c>
      <c r="C135">
        <v>2050</v>
      </c>
      <c r="D135" s="34" t="s">
        <v>340</v>
      </c>
      <c r="E135" s="34" t="s">
        <v>400</v>
      </c>
      <c r="F135" s="34" t="s">
        <v>60</v>
      </c>
      <c r="G135" s="34" t="s">
        <v>59</v>
      </c>
      <c r="H135">
        <v>30.106725517345645</v>
      </c>
    </row>
    <row r="136" spans="1:8" x14ac:dyDescent="0.3">
      <c r="A136" s="34" t="s">
        <v>662</v>
      </c>
      <c r="B136">
        <v>-1</v>
      </c>
      <c r="C136">
        <v>2050</v>
      </c>
      <c r="D136" s="34" t="s">
        <v>340</v>
      </c>
      <c r="E136" s="34" t="s">
        <v>400</v>
      </c>
      <c r="F136" s="34" t="s">
        <v>61</v>
      </c>
      <c r="G136" s="34" t="s">
        <v>59</v>
      </c>
      <c r="H136">
        <v>6.5213789133639208</v>
      </c>
    </row>
    <row r="137" spans="1:8" x14ac:dyDescent="0.3">
      <c r="A137" s="34" t="s">
        <v>662</v>
      </c>
      <c r="B137">
        <v>-1</v>
      </c>
      <c r="C137">
        <v>2050</v>
      </c>
      <c r="D137" s="34" t="s">
        <v>340</v>
      </c>
      <c r="E137" s="34" t="s">
        <v>400</v>
      </c>
      <c r="F137" s="34" t="s">
        <v>62</v>
      </c>
      <c r="G137" s="34" t="s">
        <v>59</v>
      </c>
      <c r="H137">
        <v>-3.3894138274686436</v>
      </c>
    </row>
    <row r="138" spans="1:8" x14ac:dyDescent="0.3">
      <c r="A138" s="34" t="s">
        <v>662</v>
      </c>
      <c r="B138">
        <v>-1</v>
      </c>
      <c r="C138">
        <v>2050</v>
      </c>
      <c r="D138" s="34" t="s">
        <v>340</v>
      </c>
      <c r="E138" s="34" t="s">
        <v>400</v>
      </c>
      <c r="F138" s="34" t="s">
        <v>411</v>
      </c>
      <c r="G138" s="34" t="s">
        <v>59</v>
      </c>
      <c r="H138">
        <v>2.3050096124190413E-5</v>
      </c>
    </row>
    <row r="139" spans="1:8" x14ac:dyDescent="0.3">
      <c r="A139" s="34" t="s">
        <v>662</v>
      </c>
      <c r="B139">
        <v>-1</v>
      </c>
      <c r="C139">
        <v>2050</v>
      </c>
      <c r="D139" s="34" t="s">
        <v>346</v>
      </c>
      <c r="E139" s="34" t="s">
        <v>401</v>
      </c>
      <c r="F139" s="34" t="s">
        <v>58</v>
      </c>
      <c r="G139" s="34" t="s">
        <v>59</v>
      </c>
      <c r="H139">
        <v>53.334179567114347</v>
      </c>
    </row>
    <row r="140" spans="1:8" x14ac:dyDescent="0.3">
      <c r="A140" s="34" t="s">
        <v>662</v>
      </c>
      <c r="B140">
        <v>-1</v>
      </c>
      <c r="C140">
        <v>2050</v>
      </c>
      <c r="D140" s="34" t="s">
        <v>346</v>
      </c>
      <c r="E140" s="34" t="s">
        <v>401</v>
      </c>
      <c r="F140" s="34" t="s">
        <v>60</v>
      </c>
      <c r="G140" s="34" t="s">
        <v>59</v>
      </c>
      <c r="H140">
        <v>57.527276832971168</v>
      </c>
    </row>
    <row r="141" spans="1:8" x14ac:dyDescent="0.3">
      <c r="A141" s="34" t="s">
        <v>662</v>
      </c>
      <c r="B141">
        <v>-1</v>
      </c>
      <c r="C141">
        <v>2050</v>
      </c>
      <c r="D141" s="34" t="s">
        <v>346</v>
      </c>
      <c r="E141" s="34" t="s">
        <v>401</v>
      </c>
      <c r="F141" s="34" t="s">
        <v>61</v>
      </c>
      <c r="G141" s="34" t="s">
        <v>59</v>
      </c>
      <c r="H141">
        <v>0.48408322965500122</v>
      </c>
    </row>
    <row r="142" spans="1:8" x14ac:dyDescent="0.3">
      <c r="A142" s="34" t="s">
        <v>662</v>
      </c>
      <c r="B142">
        <v>-1</v>
      </c>
      <c r="C142">
        <v>2050</v>
      </c>
      <c r="D142" s="34" t="s">
        <v>346</v>
      </c>
      <c r="E142" s="34" t="s">
        <v>401</v>
      </c>
      <c r="F142" s="34" t="s">
        <v>62</v>
      </c>
      <c r="G142" s="34" t="s">
        <v>59</v>
      </c>
      <c r="H142">
        <v>-3.2991166489054879E-15</v>
      </c>
    </row>
    <row r="143" spans="1:8" x14ac:dyDescent="0.3">
      <c r="A143" s="34" t="s">
        <v>662</v>
      </c>
      <c r="B143">
        <v>-1</v>
      </c>
      <c r="C143">
        <v>2050</v>
      </c>
      <c r="D143" s="34" t="s">
        <v>346</v>
      </c>
      <c r="E143" s="34" t="s">
        <v>401</v>
      </c>
      <c r="F143" s="34" t="s">
        <v>412</v>
      </c>
      <c r="G143" s="34" t="s">
        <v>59</v>
      </c>
      <c r="H143">
        <v>20.515786070459498</v>
      </c>
    </row>
    <row r="144" spans="1:8" x14ac:dyDescent="0.3">
      <c r="A144" s="34" t="s">
        <v>662</v>
      </c>
      <c r="B144">
        <v>-1</v>
      </c>
      <c r="C144">
        <v>2050</v>
      </c>
      <c r="D144" s="34" t="s">
        <v>346</v>
      </c>
      <c r="E144" s="34" t="s">
        <v>401</v>
      </c>
      <c r="F144" s="34" t="s">
        <v>411</v>
      </c>
      <c r="G144" s="34" t="s">
        <v>59</v>
      </c>
      <c r="H144">
        <v>2.0556400385313579E-3</v>
      </c>
    </row>
    <row r="145" spans="1:8" x14ac:dyDescent="0.3">
      <c r="A145" s="34" t="s">
        <v>662</v>
      </c>
      <c r="B145">
        <v>-1</v>
      </c>
      <c r="C145">
        <v>2050</v>
      </c>
      <c r="D145" s="34" t="s">
        <v>346</v>
      </c>
      <c r="E145" s="34" t="s">
        <v>401</v>
      </c>
      <c r="F145" s="34" t="s">
        <v>413</v>
      </c>
      <c r="G145" s="34" t="s">
        <v>59</v>
      </c>
      <c r="H145">
        <v>4.3612252187332965</v>
      </c>
    </row>
    <row r="146" spans="1:8" x14ac:dyDescent="0.3">
      <c r="A146" s="34" t="s">
        <v>662</v>
      </c>
      <c r="B146">
        <v>-1</v>
      </c>
      <c r="C146">
        <v>2050</v>
      </c>
      <c r="D146" s="34" t="s">
        <v>346</v>
      </c>
      <c r="E146" s="34" t="s">
        <v>401</v>
      </c>
      <c r="F146" s="34" t="s">
        <v>414</v>
      </c>
      <c r="G146" s="34" t="s">
        <v>59</v>
      </c>
      <c r="H146">
        <v>2.9153465313458714E-5</v>
      </c>
    </row>
    <row r="147" spans="1:8" x14ac:dyDescent="0.3">
      <c r="A147" s="34" t="s">
        <v>662</v>
      </c>
      <c r="B147">
        <v>-1</v>
      </c>
      <c r="C147">
        <v>2050</v>
      </c>
      <c r="D147" s="34" t="s">
        <v>346</v>
      </c>
      <c r="E147" s="34" t="s">
        <v>401</v>
      </c>
      <c r="F147" s="34" t="s">
        <v>63</v>
      </c>
      <c r="G147" s="34" t="s">
        <v>59</v>
      </c>
      <c r="H147">
        <v>-1.498847187804131E-14</v>
      </c>
    </row>
    <row r="148" spans="1:8" x14ac:dyDescent="0.3">
      <c r="A148" s="34" t="s">
        <v>662</v>
      </c>
      <c r="B148">
        <v>-1</v>
      </c>
      <c r="C148">
        <v>2050</v>
      </c>
      <c r="D148" s="34" t="s">
        <v>346</v>
      </c>
      <c r="E148" s="34" t="s">
        <v>402</v>
      </c>
      <c r="F148" s="34" t="s">
        <v>58</v>
      </c>
      <c r="G148" s="34" t="s">
        <v>59</v>
      </c>
      <c r="H148">
        <v>44.169044652223107</v>
      </c>
    </row>
    <row r="149" spans="1:8" x14ac:dyDescent="0.3">
      <c r="A149" s="34" t="s">
        <v>662</v>
      </c>
      <c r="B149">
        <v>-1</v>
      </c>
      <c r="C149">
        <v>2050</v>
      </c>
      <c r="D149" s="34" t="s">
        <v>346</v>
      </c>
      <c r="E149" s="34" t="s">
        <v>402</v>
      </c>
      <c r="F149" s="34" t="s">
        <v>60</v>
      </c>
      <c r="G149" s="34" t="s">
        <v>59</v>
      </c>
      <c r="H149">
        <v>41.620570755106826</v>
      </c>
    </row>
    <row r="150" spans="1:8" x14ac:dyDescent="0.3">
      <c r="A150" s="34" t="s">
        <v>662</v>
      </c>
      <c r="B150">
        <v>-1</v>
      </c>
      <c r="C150">
        <v>2050</v>
      </c>
      <c r="D150" s="34" t="s">
        <v>346</v>
      </c>
      <c r="E150" s="34" t="s">
        <v>402</v>
      </c>
      <c r="F150" s="34" t="s">
        <v>61</v>
      </c>
      <c r="G150" s="34" t="s">
        <v>59</v>
      </c>
      <c r="H150">
        <v>0.25718161371083187</v>
      </c>
    </row>
    <row r="151" spans="1:8" x14ac:dyDescent="0.3">
      <c r="A151" s="34" t="s">
        <v>662</v>
      </c>
      <c r="B151">
        <v>-1</v>
      </c>
      <c r="C151">
        <v>2050</v>
      </c>
      <c r="D151" s="34" t="s">
        <v>346</v>
      </c>
      <c r="E151" s="34" t="s">
        <v>402</v>
      </c>
      <c r="F151" s="34" t="s">
        <v>62</v>
      </c>
      <c r="G151" s="34" t="s">
        <v>59</v>
      </c>
      <c r="H151">
        <v>-6.0144527974690049E-16</v>
      </c>
    </row>
    <row r="152" spans="1:8" x14ac:dyDescent="0.3">
      <c r="A152" s="34" t="s">
        <v>662</v>
      </c>
      <c r="B152">
        <v>-1</v>
      </c>
      <c r="C152">
        <v>2050</v>
      </c>
      <c r="D152" s="34" t="s">
        <v>346</v>
      </c>
      <c r="E152" s="34" t="s">
        <v>402</v>
      </c>
      <c r="F152" s="34" t="s">
        <v>412</v>
      </c>
      <c r="G152" s="34" t="s">
        <v>59</v>
      </c>
      <c r="H152">
        <v>19.691479280187345</v>
      </c>
    </row>
    <row r="153" spans="1:8" x14ac:dyDescent="0.3">
      <c r="A153" s="34" t="s">
        <v>662</v>
      </c>
      <c r="B153">
        <v>-1</v>
      </c>
      <c r="C153">
        <v>2050</v>
      </c>
      <c r="D153" s="34" t="s">
        <v>346</v>
      </c>
      <c r="E153" s="34" t="s">
        <v>402</v>
      </c>
      <c r="F153" s="34" t="s">
        <v>411</v>
      </c>
      <c r="G153" s="34" t="s">
        <v>59</v>
      </c>
      <c r="H153">
        <v>1.5224675854067185E-3</v>
      </c>
    </row>
    <row r="154" spans="1:8" x14ac:dyDescent="0.3">
      <c r="A154" s="34" t="s">
        <v>662</v>
      </c>
      <c r="B154">
        <v>-1</v>
      </c>
      <c r="C154">
        <v>2050</v>
      </c>
      <c r="D154" s="34" t="s">
        <v>346</v>
      </c>
      <c r="E154" s="34" t="s">
        <v>402</v>
      </c>
      <c r="F154" s="34" t="s">
        <v>413</v>
      </c>
      <c r="G154" s="34" t="s">
        <v>59</v>
      </c>
      <c r="H154">
        <v>10.12727646503906</v>
      </c>
    </row>
    <row r="155" spans="1:8" x14ac:dyDescent="0.3">
      <c r="A155" s="34" t="s">
        <v>662</v>
      </c>
      <c r="B155">
        <v>-1</v>
      </c>
      <c r="C155">
        <v>2050</v>
      </c>
      <c r="D155" s="34" t="s">
        <v>346</v>
      </c>
      <c r="E155" s="34" t="s">
        <v>402</v>
      </c>
      <c r="F155" s="34" t="s">
        <v>414</v>
      </c>
      <c r="G155" s="34" t="s">
        <v>59</v>
      </c>
      <c r="H155">
        <v>2.7411193795302067E-5</v>
      </c>
    </row>
    <row r="156" spans="1:8" x14ac:dyDescent="0.3">
      <c r="A156" s="34" t="s">
        <v>662</v>
      </c>
      <c r="B156">
        <v>-1</v>
      </c>
      <c r="C156">
        <v>2050</v>
      </c>
      <c r="D156" s="34" t="s">
        <v>346</v>
      </c>
      <c r="E156" s="34" t="s">
        <v>415</v>
      </c>
      <c r="F156" s="34" t="s">
        <v>411</v>
      </c>
      <c r="G156" s="34" t="s">
        <v>59</v>
      </c>
      <c r="H156">
        <v>2.1133114845052725E-4</v>
      </c>
    </row>
    <row r="157" spans="1:8" x14ac:dyDescent="0.3">
      <c r="A157" s="34" t="s">
        <v>662</v>
      </c>
      <c r="B157">
        <v>-1</v>
      </c>
      <c r="C157">
        <v>2050</v>
      </c>
      <c r="D157" s="34" t="s">
        <v>346</v>
      </c>
      <c r="E157" s="34" t="s">
        <v>403</v>
      </c>
      <c r="F157" s="34" t="s">
        <v>58</v>
      </c>
      <c r="G157" s="34" t="s">
        <v>59</v>
      </c>
      <c r="H157">
        <v>210.72465667673637</v>
      </c>
    </row>
    <row r="158" spans="1:8" x14ac:dyDescent="0.3">
      <c r="A158" s="34" t="s">
        <v>662</v>
      </c>
      <c r="B158">
        <v>-1</v>
      </c>
      <c r="C158">
        <v>2050</v>
      </c>
      <c r="D158" s="34" t="s">
        <v>346</v>
      </c>
      <c r="E158" s="34" t="s">
        <v>403</v>
      </c>
      <c r="F158" s="34" t="s">
        <v>60</v>
      </c>
      <c r="G158" s="34" t="s">
        <v>59</v>
      </c>
      <c r="H158">
        <v>192.12320913660375</v>
      </c>
    </row>
    <row r="159" spans="1:8" x14ac:dyDescent="0.3">
      <c r="A159" s="34" t="s">
        <v>662</v>
      </c>
      <c r="B159">
        <v>-1</v>
      </c>
      <c r="C159">
        <v>2050</v>
      </c>
      <c r="D159" s="34" t="s">
        <v>346</v>
      </c>
      <c r="E159" s="34" t="s">
        <v>403</v>
      </c>
      <c r="F159" s="34" t="s">
        <v>61</v>
      </c>
      <c r="G159" s="34" t="s">
        <v>59</v>
      </c>
      <c r="H159">
        <v>1.4899068000270637</v>
      </c>
    </row>
    <row r="160" spans="1:8" x14ac:dyDescent="0.3">
      <c r="A160" s="34" t="s">
        <v>662</v>
      </c>
      <c r="B160">
        <v>-1</v>
      </c>
      <c r="C160">
        <v>2050</v>
      </c>
      <c r="D160" s="34" t="s">
        <v>346</v>
      </c>
      <c r="E160" s="34" t="s">
        <v>403</v>
      </c>
      <c r="F160" s="34" t="s">
        <v>412</v>
      </c>
      <c r="G160" s="34" t="s">
        <v>59</v>
      </c>
      <c r="H160">
        <v>28.93097006977704</v>
      </c>
    </row>
    <row r="161" spans="1:8" x14ac:dyDescent="0.3">
      <c r="A161" s="34" t="s">
        <v>662</v>
      </c>
      <c r="B161">
        <v>-1</v>
      </c>
      <c r="C161">
        <v>2050</v>
      </c>
      <c r="D161" s="34" t="s">
        <v>346</v>
      </c>
      <c r="E161" s="34" t="s">
        <v>403</v>
      </c>
      <c r="F161" s="34" t="s">
        <v>411</v>
      </c>
      <c r="G161" s="34" t="s">
        <v>59</v>
      </c>
      <c r="H161">
        <v>2.6734330961653593E-3</v>
      </c>
    </row>
    <row r="162" spans="1:8" x14ac:dyDescent="0.3">
      <c r="A162" s="34" t="s">
        <v>662</v>
      </c>
      <c r="B162">
        <v>-1</v>
      </c>
      <c r="C162">
        <v>2050</v>
      </c>
      <c r="D162" s="34" t="s">
        <v>346</v>
      </c>
      <c r="E162" s="34" t="s">
        <v>403</v>
      </c>
      <c r="F162" s="34" t="s">
        <v>413</v>
      </c>
      <c r="G162" s="34" t="s">
        <v>59</v>
      </c>
      <c r="H162">
        <v>9.1803938713598008</v>
      </c>
    </row>
    <row r="163" spans="1:8" x14ac:dyDescent="0.3">
      <c r="A163" s="34" t="s">
        <v>662</v>
      </c>
      <c r="B163">
        <v>-1</v>
      </c>
      <c r="C163">
        <v>2050</v>
      </c>
      <c r="D163" s="34" t="s">
        <v>346</v>
      </c>
      <c r="E163" s="34" t="s">
        <v>403</v>
      </c>
      <c r="F163" s="34" t="s">
        <v>414</v>
      </c>
      <c r="G163" s="34" t="s">
        <v>59</v>
      </c>
      <c r="H163">
        <v>2.5126656406352006E-5</v>
      </c>
    </row>
    <row r="164" spans="1:8" x14ac:dyDescent="0.3">
      <c r="A164" s="34" t="s">
        <v>662</v>
      </c>
      <c r="B164">
        <v>-1</v>
      </c>
      <c r="C164">
        <v>2050</v>
      </c>
      <c r="D164" s="34" t="s">
        <v>346</v>
      </c>
      <c r="E164" s="34" t="s">
        <v>404</v>
      </c>
      <c r="F164" s="34" t="s">
        <v>58</v>
      </c>
      <c r="G164" s="34" t="s">
        <v>59</v>
      </c>
      <c r="H164">
        <v>877.57041150614839</v>
      </c>
    </row>
    <row r="165" spans="1:8" x14ac:dyDescent="0.3">
      <c r="A165" s="34" t="s">
        <v>662</v>
      </c>
      <c r="B165">
        <v>-1</v>
      </c>
      <c r="C165">
        <v>2050</v>
      </c>
      <c r="D165" s="34" t="s">
        <v>346</v>
      </c>
      <c r="E165" s="34" t="s">
        <v>404</v>
      </c>
      <c r="F165" s="34" t="s">
        <v>60</v>
      </c>
      <c r="G165" s="34" t="s">
        <v>59</v>
      </c>
      <c r="H165">
        <v>855.21129968518312</v>
      </c>
    </row>
    <row r="166" spans="1:8" x14ac:dyDescent="0.3">
      <c r="A166" s="34" t="s">
        <v>662</v>
      </c>
      <c r="B166">
        <v>-1</v>
      </c>
      <c r="C166">
        <v>2050</v>
      </c>
      <c r="D166" s="34" t="s">
        <v>346</v>
      </c>
      <c r="E166" s="34" t="s">
        <v>404</v>
      </c>
      <c r="F166" s="34" t="s">
        <v>61</v>
      </c>
      <c r="G166" s="34" t="s">
        <v>59</v>
      </c>
      <c r="H166">
        <v>7.3368882210228232</v>
      </c>
    </row>
    <row r="167" spans="1:8" x14ac:dyDescent="0.3">
      <c r="A167" s="34" t="s">
        <v>662</v>
      </c>
      <c r="B167">
        <v>-1</v>
      </c>
      <c r="C167">
        <v>2050</v>
      </c>
      <c r="D167" s="34" t="s">
        <v>346</v>
      </c>
      <c r="E167" s="34" t="s">
        <v>404</v>
      </c>
      <c r="F167" s="34" t="s">
        <v>62</v>
      </c>
      <c r="G167" s="34" t="s">
        <v>59</v>
      </c>
      <c r="H167">
        <v>5.6074371565434699E-14</v>
      </c>
    </row>
    <row r="168" spans="1:8" x14ac:dyDescent="0.3">
      <c r="A168" s="34" t="s">
        <v>662</v>
      </c>
      <c r="B168">
        <v>-1</v>
      </c>
      <c r="C168">
        <v>2050</v>
      </c>
      <c r="D168" s="34" t="s">
        <v>346</v>
      </c>
      <c r="E168" s="34" t="s">
        <v>404</v>
      </c>
      <c r="F168" s="34" t="s">
        <v>412</v>
      </c>
      <c r="G168" s="34" t="s">
        <v>59</v>
      </c>
      <c r="H168">
        <v>106.84279443744097</v>
      </c>
    </row>
    <row r="169" spans="1:8" x14ac:dyDescent="0.3">
      <c r="A169" s="34" t="s">
        <v>662</v>
      </c>
      <c r="B169">
        <v>-1</v>
      </c>
      <c r="C169">
        <v>2050</v>
      </c>
      <c r="D169" s="34" t="s">
        <v>346</v>
      </c>
      <c r="E169" s="34" t="s">
        <v>404</v>
      </c>
      <c r="F169" s="34" t="s">
        <v>411</v>
      </c>
      <c r="G169" s="34" t="s">
        <v>59</v>
      </c>
      <c r="H169">
        <v>5.2529626244848405E-3</v>
      </c>
    </row>
    <row r="170" spans="1:8" x14ac:dyDescent="0.3">
      <c r="A170" s="34" t="s">
        <v>662</v>
      </c>
      <c r="B170">
        <v>-1</v>
      </c>
      <c r="C170">
        <v>2050</v>
      </c>
      <c r="D170" s="34" t="s">
        <v>346</v>
      </c>
      <c r="E170" s="34" t="s">
        <v>404</v>
      </c>
      <c r="F170" s="34" t="s">
        <v>413</v>
      </c>
      <c r="G170" s="34" t="s">
        <v>59</v>
      </c>
      <c r="H170">
        <v>23.111963486839738</v>
      </c>
    </row>
    <row r="171" spans="1:8" x14ac:dyDescent="0.3">
      <c r="A171" s="34" t="s">
        <v>662</v>
      </c>
      <c r="B171">
        <v>-1</v>
      </c>
      <c r="C171">
        <v>2050</v>
      </c>
      <c r="D171" s="34" t="s">
        <v>346</v>
      </c>
      <c r="E171" s="34" t="s">
        <v>404</v>
      </c>
      <c r="F171" s="34" t="s">
        <v>414</v>
      </c>
      <c r="G171" s="34" t="s">
        <v>59</v>
      </c>
      <c r="H171">
        <v>6.9029750850448256E-5</v>
      </c>
    </row>
    <row r="172" spans="1:8" x14ac:dyDescent="0.3">
      <c r="A172" s="34" t="s">
        <v>662</v>
      </c>
      <c r="B172">
        <v>-1</v>
      </c>
      <c r="C172">
        <v>2050</v>
      </c>
      <c r="D172" s="34" t="s">
        <v>346</v>
      </c>
      <c r="E172" s="34" t="s">
        <v>404</v>
      </c>
      <c r="F172" s="34" t="s">
        <v>63</v>
      </c>
      <c r="G172" s="34" t="s">
        <v>59</v>
      </c>
      <c r="H172">
        <v>2.3981555004866097E-13</v>
      </c>
    </row>
    <row r="173" spans="1:8" x14ac:dyDescent="0.3">
      <c r="A173" s="34" t="s">
        <v>662</v>
      </c>
      <c r="B173">
        <v>-1</v>
      </c>
      <c r="C173">
        <v>2050</v>
      </c>
      <c r="D173" s="34" t="s">
        <v>346</v>
      </c>
      <c r="E173" s="34" t="s">
        <v>405</v>
      </c>
      <c r="F173" s="34" t="s">
        <v>58</v>
      </c>
      <c r="G173" s="34" t="s">
        <v>59</v>
      </c>
      <c r="H173">
        <v>2956.8613158830894</v>
      </c>
    </row>
    <row r="174" spans="1:8" x14ac:dyDescent="0.3">
      <c r="A174" s="34" t="s">
        <v>662</v>
      </c>
      <c r="B174">
        <v>-1</v>
      </c>
      <c r="C174">
        <v>2050</v>
      </c>
      <c r="D174" s="34" t="s">
        <v>346</v>
      </c>
      <c r="E174" s="34" t="s">
        <v>405</v>
      </c>
      <c r="F174" s="34" t="s">
        <v>60</v>
      </c>
      <c r="G174" s="34" t="s">
        <v>59</v>
      </c>
      <c r="H174">
        <v>660.22729690407925</v>
      </c>
    </row>
    <row r="175" spans="1:8" x14ac:dyDescent="0.3">
      <c r="A175" s="34" t="s">
        <v>662</v>
      </c>
      <c r="B175">
        <v>-1</v>
      </c>
      <c r="C175">
        <v>2050</v>
      </c>
      <c r="D175" s="34" t="s">
        <v>346</v>
      </c>
      <c r="E175" s="34" t="s">
        <v>405</v>
      </c>
      <c r="F175" s="34" t="s">
        <v>61</v>
      </c>
      <c r="G175" s="34" t="s">
        <v>59</v>
      </c>
      <c r="H175">
        <v>140.02526949946994</v>
      </c>
    </row>
    <row r="176" spans="1:8" x14ac:dyDescent="0.3">
      <c r="A176" s="34" t="s">
        <v>662</v>
      </c>
      <c r="B176">
        <v>-1</v>
      </c>
      <c r="C176">
        <v>2050</v>
      </c>
      <c r="D176" s="34" t="s">
        <v>346</v>
      </c>
      <c r="E176" s="34" t="s">
        <v>405</v>
      </c>
      <c r="F176" s="34" t="s">
        <v>62</v>
      </c>
      <c r="G176" s="34" t="s">
        <v>59</v>
      </c>
      <c r="H176">
        <v>-3.2991166489054879E-15</v>
      </c>
    </row>
    <row r="177" spans="1:8" x14ac:dyDescent="0.3">
      <c r="A177" s="34" t="s">
        <v>662</v>
      </c>
      <c r="B177">
        <v>-1</v>
      </c>
      <c r="C177">
        <v>2050</v>
      </c>
      <c r="D177" s="34" t="s">
        <v>346</v>
      </c>
      <c r="E177" s="34" t="s">
        <v>405</v>
      </c>
      <c r="F177" s="34" t="s">
        <v>412</v>
      </c>
      <c r="G177" s="34" t="s">
        <v>59</v>
      </c>
      <c r="H177">
        <v>24.651342152456003</v>
      </c>
    </row>
    <row r="178" spans="1:8" x14ac:dyDescent="0.3">
      <c r="A178" s="34" t="s">
        <v>662</v>
      </c>
      <c r="B178">
        <v>-1</v>
      </c>
      <c r="C178">
        <v>2050</v>
      </c>
      <c r="D178" s="34" t="s">
        <v>346</v>
      </c>
      <c r="E178" s="34" t="s">
        <v>405</v>
      </c>
      <c r="F178" s="34" t="s">
        <v>411</v>
      </c>
      <c r="G178" s="34" t="s">
        <v>59</v>
      </c>
      <c r="H178">
        <v>4.1735803996082402E-3</v>
      </c>
    </row>
    <row r="179" spans="1:8" x14ac:dyDescent="0.3">
      <c r="A179" s="34" t="s">
        <v>662</v>
      </c>
      <c r="B179">
        <v>-1</v>
      </c>
      <c r="C179">
        <v>2050</v>
      </c>
      <c r="D179" s="34" t="s">
        <v>346</v>
      </c>
      <c r="E179" s="34" t="s">
        <v>405</v>
      </c>
      <c r="F179" s="34" t="s">
        <v>413</v>
      </c>
      <c r="G179" s="34" t="s">
        <v>59</v>
      </c>
      <c r="H179">
        <v>30.911542318894945</v>
      </c>
    </row>
    <row r="180" spans="1:8" x14ac:dyDescent="0.3">
      <c r="A180" s="34" t="s">
        <v>662</v>
      </c>
      <c r="B180">
        <v>-1</v>
      </c>
      <c r="C180">
        <v>2050</v>
      </c>
      <c r="D180" s="34" t="s">
        <v>346</v>
      </c>
      <c r="E180" s="34" t="s">
        <v>405</v>
      </c>
      <c r="F180" s="34" t="s">
        <v>414</v>
      </c>
      <c r="G180" s="34" t="s">
        <v>59</v>
      </c>
      <c r="H180">
        <v>8.4657509351666299E-5</v>
      </c>
    </row>
    <row r="181" spans="1:8" x14ac:dyDescent="0.3">
      <c r="A181" s="34" t="s">
        <v>662</v>
      </c>
      <c r="B181">
        <v>-1</v>
      </c>
      <c r="C181">
        <v>2050</v>
      </c>
      <c r="D181" s="34" t="s">
        <v>346</v>
      </c>
      <c r="E181" s="34" t="s">
        <v>405</v>
      </c>
      <c r="F181" s="34" t="s">
        <v>63</v>
      </c>
      <c r="G181" s="34" t="s">
        <v>59</v>
      </c>
      <c r="H181">
        <v>-1.498847187804131E-14</v>
      </c>
    </row>
    <row r="182" spans="1:8" x14ac:dyDescent="0.3">
      <c r="A182" s="34" t="s">
        <v>662</v>
      </c>
      <c r="B182">
        <v>-1</v>
      </c>
      <c r="C182">
        <v>2050</v>
      </c>
      <c r="D182" s="34" t="s">
        <v>346</v>
      </c>
      <c r="E182" s="34" t="s">
        <v>406</v>
      </c>
      <c r="F182" s="34" t="s">
        <v>58</v>
      </c>
      <c r="G182" s="34" t="s">
        <v>59</v>
      </c>
      <c r="H182">
        <v>134.56214832621038</v>
      </c>
    </row>
    <row r="183" spans="1:8" x14ac:dyDescent="0.3">
      <c r="A183" s="34" t="s">
        <v>662</v>
      </c>
      <c r="B183">
        <v>-1</v>
      </c>
      <c r="C183">
        <v>2050</v>
      </c>
      <c r="D183" s="34" t="s">
        <v>346</v>
      </c>
      <c r="E183" s="34" t="s">
        <v>406</v>
      </c>
      <c r="F183" s="34" t="s">
        <v>60</v>
      </c>
      <c r="G183" s="34" t="s">
        <v>59</v>
      </c>
      <c r="H183">
        <v>40.049998932199351</v>
      </c>
    </row>
    <row r="184" spans="1:8" x14ac:dyDescent="0.3">
      <c r="A184" s="34" t="s">
        <v>662</v>
      </c>
      <c r="B184">
        <v>-1</v>
      </c>
      <c r="C184">
        <v>2050</v>
      </c>
      <c r="D184" s="34" t="s">
        <v>346</v>
      </c>
      <c r="E184" s="34" t="s">
        <v>406</v>
      </c>
      <c r="F184" s="34" t="s">
        <v>61</v>
      </c>
      <c r="G184" s="34" t="s">
        <v>59</v>
      </c>
      <c r="H184">
        <v>6.4401836806003354</v>
      </c>
    </row>
    <row r="185" spans="1:8" x14ac:dyDescent="0.3">
      <c r="A185" s="34" t="s">
        <v>662</v>
      </c>
      <c r="B185">
        <v>-1</v>
      </c>
      <c r="C185">
        <v>2050</v>
      </c>
      <c r="D185" s="34" t="s">
        <v>346</v>
      </c>
      <c r="E185" s="34" t="s">
        <v>406</v>
      </c>
      <c r="F185" s="34" t="s">
        <v>62</v>
      </c>
      <c r="G185" s="34" t="s">
        <v>59</v>
      </c>
      <c r="H185">
        <v>1.649558324452744E-15</v>
      </c>
    </row>
    <row r="186" spans="1:8" x14ac:dyDescent="0.3">
      <c r="A186" s="34" t="s">
        <v>662</v>
      </c>
      <c r="B186">
        <v>-1</v>
      </c>
      <c r="C186">
        <v>2050</v>
      </c>
      <c r="D186" s="34" t="s">
        <v>346</v>
      </c>
      <c r="E186" s="34" t="s">
        <v>406</v>
      </c>
      <c r="F186" s="34" t="s">
        <v>412</v>
      </c>
      <c r="G186" s="34" t="s">
        <v>59</v>
      </c>
      <c r="H186">
        <v>4.7746143416435731E-2</v>
      </c>
    </row>
    <row r="187" spans="1:8" x14ac:dyDescent="0.3">
      <c r="A187" s="34" t="s">
        <v>662</v>
      </c>
      <c r="B187">
        <v>-1</v>
      </c>
      <c r="C187">
        <v>2050</v>
      </c>
      <c r="D187" s="34" t="s">
        <v>346</v>
      </c>
      <c r="E187" s="34" t="s">
        <v>406</v>
      </c>
      <c r="F187" s="34" t="s">
        <v>411</v>
      </c>
      <c r="G187" s="34" t="s">
        <v>59</v>
      </c>
      <c r="H187">
        <v>2.4403621785265114E-4</v>
      </c>
    </row>
    <row r="188" spans="1:8" x14ac:dyDescent="0.3">
      <c r="A188" s="34" t="s">
        <v>662</v>
      </c>
      <c r="B188">
        <v>-1</v>
      </c>
      <c r="C188">
        <v>2050</v>
      </c>
      <c r="D188" s="34" t="s">
        <v>346</v>
      </c>
      <c r="E188" s="34" t="s">
        <v>406</v>
      </c>
      <c r="F188" s="34" t="s">
        <v>63</v>
      </c>
      <c r="G188" s="34" t="s">
        <v>59</v>
      </c>
      <c r="H188">
        <v>7.4942359390206552E-15</v>
      </c>
    </row>
    <row r="189" spans="1:8" x14ac:dyDescent="0.3">
      <c r="A189" s="34" t="s">
        <v>662</v>
      </c>
      <c r="B189">
        <v>-1</v>
      </c>
      <c r="C189">
        <v>2050</v>
      </c>
      <c r="D189" s="34" t="s">
        <v>346</v>
      </c>
      <c r="E189" s="34" t="s">
        <v>407</v>
      </c>
      <c r="F189" s="34" t="s">
        <v>58</v>
      </c>
      <c r="G189" s="34" t="s">
        <v>59</v>
      </c>
      <c r="H189">
        <v>652.37322513555193</v>
      </c>
    </row>
    <row r="190" spans="1:8" x14ac:dyDescent="0.3">
      <c r="A190" s="34" t="s">
        <v>662</v>
      </c>
      <c r="B190">
        <v>-1</v>
      </c>
      <c r="C190">
        <v>2050</v>
      </c>
      <c r="D190" s="34" t="s">
        <v>346</v>
      </c>
      <c r="E190" s="34" t="s">
        <v>407</v>
      </c>
      <c r="F190" s="34" t="s">
        <v>60</v>
      </c>
      <c r="G190" s="34" t="s">
        <v>59</v>
      </c>
      <c r="H190">
        <v>255.5310636278017</v>
      </c>
    </row>
    <row r="191" spans="1:8" x14ac:dyDescent="0.3">
      <c r="A191" s="34" t="s">
        <v>662</v>
      </c>
      <c r="B191">
        <v>-1</v>
      </c>
      <c r="C191">
        <v>2050</v>
      </c>
      <c r="D191" s="34" t="s">
        <v>346</v>
      </c>
      <c r="E191" s="34" t="s">
        <v>407</v>
      </c>
      <c r="F191" s="34" t="s">
        <v>61</v>
      </c>
      <c r="G191" s="34" t="s">
        <v>59</v>
      </c>
      <c r="H191">
        <v>0.11525713715724205</v>
      </c>
    </row>
    <row r="192" spans="1:8" x14ac:dyDescent="0.3">
      <c r="A192" s="34" t="s">
        <v>662</v>
      </c>
      <c r="B192">
        <v>-1</v>
      </c>
      <c r="C192">
        <v>2050</v>
      </c>
      <c r="D192" s="34" t="s">
        <v>346</v>
      </c>
      <c r="E192" s="34" t="s">
        <v>407</v>
      </c>
      <c r="F192" s="34" t="s">
        <v>62</v>
      </c>
      <c r="G192" s="34" t="s">
        <v>59</v>
      </c>
      <c r="H192">
        <v>-3.2991166489054879E-15</v>
      </c>
    </row>
    <row r="193" spans="1:8" x14ac:dyDescent="0.3">
      <c r="A193" s="34" t="s">
        <v>662</v>
      </c>
      <c r="B193">
        <v>-1</v>
      </c>
      <c r="C193">
        <v>2050</v>
      </c>
      <c r="D193" s="34" t="s">
        <v>346</v>
      </c>
      <c r="E193" s="34" t="s">
        <v>407</v>
      </c>
      <c r="F193" s="34" t="s">
        <v>412</v>
      </c>
      <c r="G193" s="34" t="s">
        <v>59</v>
      </c>
      <c r="H193">
        <v>12.667561697804683</v>
      </c>
    </row>
    <row r="194" spans="1:8" x14ac:dyDescent="0.3">
      <c r="A194" s="34" t="s">
        <v>662</v>
      </c>
      <c r="B194">
        <v>-1</v>
      </c>
      <c r="C194">
        <v>2050</v>
      </c>
      <c r="D194" s="34" t="s">
        <v>346</v>
      </c>
      <c r="E194" s="34" t="s">
        <v>407</v>
      </c>
      <c r="F194" s="34" t="s">
        <v>411</v>
      </c>
      <c r="G194" s="34" t="s">
        <v>59</v>
      </c>
      <c r="H194">
        <v>5.4954378443222978E-4</v>
      </c>
    </row>
    <row r="195" spans="1:8" x14ac:dyDescent="0.3">
      <c r="A195" s="34" t="s">
        <v>662</v>
      </c>
      <c r="B195">
        <v>-1</v>
      </c>
      <c r="C195">
        <v>2050</v>
      </c>
      <c r="D195" s="34" t="s">
        <v>346</v>
      </c>
      <c r="E195" s="34" t="s">
        <v>407</v>
      </c>
      <c r="F195" s="34" t="s">
        <v>413</v>
      </c>
      <c r="G195" s="34" t="s">
        <v>59</v>
      </c>
      <c r="H195">
        <v>2.6280149559202526</v>
      </c>
    </row>
    <row r="196" spans="1:8" x14ac:dyDescent="0.3">
      <c r="A196" s="34" t="s">
        <v>662</v>
      </c>
      <c r="B196">
        <v>-1</v>
      </c>
      <c r="C196">
        <v>2050</v>
      </c>
      <c r="D196" s="34" t="s">
        <v>346</v>
      </c>
      <c r="E196" s="34" t="s">
        <v>407</v>
      </c>
      <c r="F196" s="34" t="s">
        <v>414</v>
      </c>
      <c r="G196" s="34" t="s">
        <v>59</v>
      </c>
      <c r="H196">
        <v>1.578691745262186E-5</v>
      </c>
    </row>
    <row r="197" spans="1:8" x14ac:dyDescent="0.3">
      <c r="A197" s="34" t="s">
        <v>662</v>
      </c>
      <c r="B197">
        <v>-1</v>
      </c>
      <c r="C197">
        <v>2050</v>
      </c>
      <c r="D197" s="34" t="s">
        <v>346</v>
      </c>
      <c r="E197" s="34" t="s">
        <v>407</v>
      </c>
      <c r="F197" s="34" t="s">
        <v>63</v>
      </c>
      <c r="G197" s="34" t="s">
        <v>59</v>
      </c>
      <c r="H197">
        <v>-1.498847187804131E-14</v>
      </c>
    </row>
    <row r="198" spans="1:8" x14ac:dyDescent="0.3">
      <c r="A198" s="34" t="s">
        <v>662</v>
      </c>
      <c r="B198">
        <v>-1</v>
      </c>
      <c r="C198">
        <v>2050</v>
      </c>
      <c r="D198" s="34" t="s">
        <v>348</v>
      </c>
      <c r="E198" s="34" t="s">
        <v>349</v>
      </c>
      <c r="F198" s="34" t="s">
        <v>58</v>
      </c>
      <c r="G198" s="34" t="s">
        <v>59</v>
      </c>
      <c r="H198">
        <v>1075.288969182498</v>
      </c>
    </row>
    <row r="199" spans="1:8" x14ac:dyDescent="0.3">
      <c r="A199" s="34" t="s">
        <v>662</v>
      </c>
      <c r="B199">
        <v>-1</v>
      </c>
      <c r="C199">
        <v>2050</v>
      </c>
      <c r="D199" s="34" t="s">
        <v>348</v>
      </c>
      <c r="E199" s="34" t="s">
        <v>349</v>
      </c>
      <c r="F199" s="34" t="s">
        <v>60</v>
      </c>
      <c r="G199" s="34" t="s">
        <v>59</v>
      </c>
      <c r="H199">
        <v>1160.8599640905986</v>
      </c>
    </row>
    <row r="200" spans="1:8" x14ac:dyDescent="0.3">
      <c r="A200" s="34" t="s">
        <v>662</v>
      </c>
      <c r="B200">
        <v>-1</v>
      </c>
      <c r="C200">
        <v>2050</v>
      </c>
      <c r="D200" s="34" t="s">
        <v>348</v>
      </c>
      <c r="E200" s="34" t="s">
        <v>349</v>
      </c>
      <c r="F200" s="34" t="s">
        <v>61</v>
      </c>
      <c r="G200" s="34" t="s">
        <v>59</v>
      </c>
      <c r="H200">
        <v>101.93932968520305</v>
      </c>
    </row>
    <row r="201" spans="1:8" x14ac:dyDescent="0.3">
      <c r="A201" s="34" t="s">
        <v>662</v>
      </c>
      <c r="B201">
        <v>-1</v>
      </c>
      <c r="C201">
        <v>2050</v>
      </c>
      <c r="D201" s="34" t="s">
        <v>348</v>
      </c>
      <c r="E201" s="34" t="s">
        <v>349</v>
      </c>
      <c r="F201" s="34" t="s">
        <v>62</v>
      </c>
      <c r="G201" s="34" t="s">
        <v>59</v>
      </c>
      <c r="H201">
        <v>198.94670418532004</v>
      </c>
    </row>
    <row r="202" spans="1:8" x14ac:dyDescent="0.3">
      <c r="A202" s="34" t="s">
        <v>662</v>
      </c>
      <c r="B202">
        <v>-1</v>
      </c>
      <c r="C202">
        <v>2050</v>
      </c>
      <c r="D202" s="34" t="s">
        <v>348</v>
      </c>
      <c r="E202" s="34" t="s">
        <v>349</v>
      </c>
      <c r="F202" s="34" t="s">
        <v>412</v>
      </c>
      <c r="G202" s="34" t="s">
        <v>59</v>
      </c>
      <c r="H202">
        <v>78.095142756778543</v>
      </c>
    </row>
    <row r="203" spans="1:8" x14ac:dyDescent="0.3">
      <c r="A203" s="34" t="s">
        <v>662</v>
      </c>
      <c r="B203">
        <v>-1</v>
      </c>
      <c r="C203">
        <v>2050</v>
      </c>
      <c r="D203" s="34" t="s">
        <v>348</v>
      </c>
      <c r="E203" s="34" t="s">
        <v>349</v>
      </c>
      <c r="F203" s="34" t="s">
        <v>411</v>
      </c>
      <c r="G203" s="34" t="s">
        <v>59</v>
      </c>
      <c r="H203">
        <v>1.0261407055624843E-2</v>
      </c>
    </row>
    <row r="204" spans="1:8" x14ac:dyDescent="0.3">
      <c r="A204" s="34" t="s">
        <v>662</v>
      </c>
      <c r="B204">
        <v>-1</v>
      </c>
      <c r="C204">
        <v>2050</v>
      </c>
      <c r="D204" s="34" t="s">
        <v>348</v>
      </c>
      <c r="E204" s="34" t="s">
        <v>349</v>
      </c>
      <c r="F204" s="34" t="s">
        <v>413</v>
      </c>
      <c r="G204" s="34" t="s">
        <v>59</v>
      </c>
      <c r="H204">
        <v>4.7324936732444787</v>
      </c>
    </row>
    <row r="205" spans="1:8" x14ac:dyDescent="0.3">
      <c r="A205" s="34" t="s">
        <v>662</v>
      </c>
      <c r="B205">
        <v>-1</v>
      </c>
      <c r="C205">
        <v>2050</v>
      </c>
      <c r="D205" s="34" t="s">
        <v>348</v>
      </c>
      <c r="E205" s="34" t="s">
        <v>349</v>
      </c>
      <c r="F205" s="34" t="s">
        <v>414</v>
      </c>
      <c r="G205" s="34" t="s">
        <v>59</v>
      </c>
      <c r="H205">
        <v>3.472972116982967E-5</v>
      </c>
    </row>
    <row r="206" spans="1:8" x14ac:dyDescent="0.3">
      <c r="A206" s="34" t="s">
        <v>662</v>
      </c>
      <c r="B206">
        <v>-1</v>
      </c>
      <c r="C206">
        <v>2050</v>
      </c>
      <c r="D206" s="34" t="s">
        <v>350</v>
      </c>
      <c r="E206" s="34" t="s">
        <v>351</v>
      </c>
      <c r="F206" s="34" t="s">
        <v>58</v>
      </c>
      <c r="G206" s="34" t="s">
        <v>59</v>
      </c>
      <c r="H206">
        <v>581.80482683157447</v>
      </c>
    </row>
    <row r="207" spans="1:8" x14ac:dyDescent="0.3">
      <c r="A207" s="34" t="s">
        <v>662</v>
      </c>
      <c r="B207">
        <v>-1</v>
      </c>
      <c r="C207">
        <v>2050</v>
      </c>
      <c r="D207" s="34" t="s">
        <v>350</v>
      </c>
      <c r="E207" s="34" t="s">
        <v>351</v>
      </c>
      <c r="F207" s="34" t="s">
        <v>60</v>
      </c>
      <c r="G207" s="34" t="s">
        <v>59</v>
      </c>
      <c r="H207">
        <v>457.94094564231415</v>
      </c>
    </row>
    <row r="208" spans="1:8" x14ac:dyDescent="0.3">
      <c r="A208" s="34" t="s">
        <v>662</v>
      </c>
      <c r="B208">
        <v>-1</v>
      </c>
      <c r="C208">
        <v>2050</v>
      </c>
      <c r="D208" s="34" t="s">
        <v>350</v>
      </c>
      <c r="E208" s="34" t="s">
        <v>351</v>
      </c>
      <c r="F208" s="34" t="s">
        <v>61</v>
      </c>
      <c r="G208" s="34" t="s">
        <v>59</v>
      </c>
      <c r="H208">
        <v>75.415579475534742</v>
      </c>
    </row>
    <row r="209" spans="1:8" x14ac:dyDescent="0.3">
      <c r="A209" s="34" t="s">
        <v>662</v>
      </c>
      <c r="B209">
        <v>-1</v>
      </c>
      <c r="C209">
        <v>2050</v>
      </c>
      <c r="D209" s="34" t="s">
        <v>350</v>
      </c>
      <c r="E209" s="34" t="s">
        <v>351</v>
      </c>
      <c r="F209" s="34" t="s">
        <v>412</v>
      </c>
      <c r="G209" s="34" t="s">
        <v>59</v>
      </c>
      <c r="H209">
        <v>72.322638743894288</v>
      </c>
    </row>
    <row r="210" spans="1:8" x14ac:dyDescent="0.3">
      <c r="A210" s="34" t="s">
        <v>662</v>
      </c>
      <c r="B210">
        <v>-1</v>
      </c>
      <c r="C210">
        <v>2050</v>
      </c>
      <c r="D210" s="34" t="s">
        <v>350</v>
      </c>
      <c r="E210" s="34" t="s">
        <v>351</v>
      </c>
      <c r="F210" s="34" t="s">
        <v>411</v>
      </c>
      <c r="G210" s="34" t="s">
        <v>59</v>
      </c>
      <c r="H210">
        <v>5.3847085895574612E-3</v>
      </c>
    </row>
    <row r="211" spans="1:8" x14ac:dyDescent="0.3">
      <c r="A211" s="34" t="s">
        <v>662</v>
      </c>
      <c r="B211">
        <v>-1</v>
      </c>
      <c r="C211">
        <v>2050</v>
      </c>
      <c r="D211" s="34" t="s">
        <v>350</v>
      </c>
      <c r="E211" s="34" t="s">
        <v>351</v>
      </c>
      <c r="F211" s="34" t="s">
        <v>413</v>
      </c>
      <c r="G211" s="34" t="s">
        <v>59</v>
      </c>
      <c r="H211">
        <v>3.5750093485579031</v>
      </c>
    </row>
    <row r="212" spans="1:8" x14ac:dyDescent="0.3">
      <c r="A212" s="34" t="s">
        <v>662</v>
      </c>
      <c r="B212">
        <v>-1</v>
      </c>
      <c r="C212">
        <v>2050</v>
      </c>
      <c r="D212" s="34" t="s">
        <v>350</v>
      </c>
      <c r="E212" s="34" t="s">
        <v>351</v>
      </c>
      <c r="F212" s="34" t="s">
        <v>414</v>
      </c>
      <c r="G212" s="34" t="s">
        <v>59</v>
      </c>
      <c r="H212">
        <v>3.8541411194719586E-7</v>
      </c>
    </row>
    <row r="213" spans="1:8" x14ac:dyDescent="0.3">
      <c r="A213" s="34" t="s">
        <v>662</v>
      </c>
      <c r="B213">
        <v>-1</v>
      </c>
      <c r="C213">
        <v>2050</v>
      </c>
      <c r="D213" s="34" t="s">
        <v>352</v>
      </c>
      <c r="E213" s="34" t="s">
        <v>353</v>
      </c>
      <c r="F213" s="34" t="s">
        <v>58</v>
      </c>
      <c r="G213" s="34" t="s">
        <v>59</v>
      </c>
      <c r="H213">
        <v>1337.6483118146939</v>
      </c>
    </row>
    <row r="214" spans="1:8" x14ac:dyDescent="0.3">
      <c r="A214" s="34" t="s">
        <v>662</v>
      </c>
      <c r="B214">
        <v>-1</v>
      </c>
      <c r="C214">
        <v>2050</v>
      </c>
      <c r="D214" s="34" t="s">
        <v>352</v>
      </c>
      <c r="E214" s="34" t="s">
        <v>353</v>
      </c>
      <c r="F214" s="34" t="s">
        <v>60</v>
      </c>
      <c r="G214" s="34" t="s">
        <v>59</v>
      </c>
      <c r="H214">
        <v>341.74404915165513</v>
      </c>
    </row>
    <row r="215" spans="1:8" x14ac:dyDescent="0.3">
      <c r="A215" s="34" t="s">
        <v>662</v>
      </c>
      <c r="B215">
        <v>-1</v>
      </c>
      <c r="C215">
        <v>2050</v>
      </c>
      <c r="D215" s="34" t="s">
        <v>352</v>
      </c>
      <c r="E215" s="34" t="s">
        <v>353</v>
      </c>
      <c r="F215" s="34" t="s">
        <v>61</v>
      </c>
      <c r="G215" s="34" t="s">
        <v>59</v>
      </c>
      <c r="H215">
        <v>80.961132250158045</v>
      </c>
    </row>
    <row r="216" spans="1:8" x14ac:dyDescent="0.3">
      <c r="A216" s="34" t="s">
        <v>662</v>
      </c>
      <c r="B216">
        <v>-1</v>
      </c>
      <c r="C216">
        <v>2050</v>
      </c>
      <c r="D216" s="34" t="s">
        <v>352</v>
      </c>
      <c r="E216" s="34" t="s">
        <v>353</v>
      </c>
      <c r="F216" s="34" t="s">
        <v>412</v>
      </c>
      <c r="G216" s="34" t="s">
        <v>59</v>
      </c>
      <c r="H216">
        <v>63.625409671064659</v>
      </c>
    </row>
    <row r="217" spans="1:8" x14ac:dyDescent="0.3">
      <c r="A217" s="34" t="s">
        <v>662</v>
      </c>
      <c r="B217">
        <v>-1</v>
      </c>
      <c r="C217">
        <v>2050</v>
      </c>
      <c r="D217" s="34" t="s">
        <v>352</v>
      </c>
      <c r="E217" s="34" t="s">
        <v>353</v>
      </c>
      <c r="F217" s="34" t="s">
        <v>411</v>
      </c>
      <c r="G217" s="34" t="s">
        <v>59</v>
      </c>
      <c r="H217">
        <v>3.6029667870885042E-3</v>
      </c>
    </row>
    <row r="218" spans="1:8" x14ac:dyDescent="0.3">
      <c r="A218" s="34" t="s">
        <v>662</v>
      </c>
      <c r="B218">
        <v>-1</v>
      </c>
      <c r="C218">
        <v>2050</v>
      </c>
      <c r="D218" s="34" t="s">
        <v>352</v>
      </c>
      <c r="E218" s="34" t="s">
        <v>353</v>
      </c>
      <c r="F218" s="34" t="s">
        <v>413</v>
      </c>
      <c r="G218" s="34" t="s">
        <v>59</v>
      </c>
      <c r="H218">
        <v>1.610201388464866</v>
      </c>
    </row>
    <row r="219" spans="1:8" x14ac:dyDescent="0.3">
      <c r="A219" s="34" t="s">
        <v>662</v>
      </c>
      <c r="B219">
        <v>-1</v>
      </c>
      <c r="C219">
        <v>2050</v>
      </c>
      <c r="D219" s="34" t="s">
        <v>352</v>
      </c>
      <c r="E219" s="34" t="s">
        <v>353</v>
      </c>
      <c r="F219" s="34" t="s">
        <v>414</v>
      </c>
      <c r="G219" s="34" t="s">
        <v>59</v>
      </c>
      <c r="H219">
        <v>2.8687770468479553E-6</v>
      </c>
    </row>
    <row r="220" spans="1:8" x14ac:dyDescent="0.3">
      <c r="A220" s="34" t="s">
        <v>662</v>
      </c>
      <c r="B220">
        <v>-1</v>
      </c>
      <c r="C220">
        <v>2050</v>
      </c>
      <c r="D220" s="34" t="s">
        <v>354</v>
      </c>
      <c r="E220" s="34" t="s">
        <v>355</v>
      </c>
      <c r="F220" s="34" t="s">
        <v>58</v>
      </c>
      <c r="G220" s="34" t="s">
        <v>59</v>
      </c>
      <c r="H220">
        <v>11928.8299305849</v>
      </c>
    </row>
    <row r="221" spans="1:8" x14ac:dyDescent="0.3">
      <c r="A221" s="34" t="s">
        <v>662</v>
      </c>
      <c r="B221">
        <v>-1</v>
      </c>
      <c r="C221">
        <v>2050</v>
      </c>
      <c r="D221" s="34" t="s">
        <v>354</v>
      </c>
      <c r="E221" s="34" t="s">
        <v>355</v>
      </c>
      <c r="F221" s="34" t="s">
        <v>60</v>
      </c>
      <c r="G221" s="34" t="s">
        <v>59</v>
      </c>
      <c r="H221">
        <v>3861.2143040944825</v>
      </c>
    </row>
    <row r="222" spans="1:8" x14ac:dyDescent="0.3">
      <c r="A222" s="34" t="s">
        <v>662</v>
      </c>
      <c r="B222">
        <v>-1</v>
      </c>
      <c r="C222">
        <v>2050</v>
      </c>
      <c r="D222" s="34" t="s">
        <v>354</v>
      </c>
      <c r="E222" s="34" t="s">
        <v>355</v>
      </c>
      <c r="F222" s="34" t="s">
        <v>61</v>
      </c>
      <c r="G222" s="34" t="s">
        <v>59</v>
      </c>
      <c r="H222">
        <v>187.31691372878407</v>
      </c>
    </row>
    <row r="223" spans="1:8" x14ac:dyDescent="0.3">
      <c r="A223" s="34" t="s">
        <v>662</v>
      </c>
      <c r="B223">
        <v>-1</v>
      </c>
      <c r="C223">
        <v>2050</v>
      </c>
      <c r="D223" s="34" t="s">
        <v>354</v>
      </c>
      <c r="E223" s="34" t="s">
        <v>355</v>
      </c>
      <c r="F223" s="34" t="s">
        <v>62</v>
      </c>
      <c r="G223" s="34" t="s">
        <v>59</v>
      </c>
      <c r="H223">
        <v>-2.6230764018188122</v>
      </c>
    </row>
    <row r="224" spans="1:8" x14ac:dyDescent="0.3">
      <c r="A224" s="34" t="s">
        <v>662</v>
      </c>
      <c r="B224">
        <v>-1</v>
      </c>
      <c r="C224">
        <v>2050</v>
      </c>
      <c r="D224" s="34" t="s">
        <v>354</v>
      </c>
      <c r="E224" s="34" t="s">
        <v>355</v>
      </c>
      <c r="F224" s="34" t="s">
        <v>412</v>
      </c>
      <c r="G224" s="34" t="s">
        <v>59</v>
      </c>
      <c r="H224">
        <v>133.45440243082527</v>
      </c>
    </row>
    <row r="225" spans="1:8" x14ac:dyDescent="0.3">
      <c r="A225" s="34" t="s">
        <v>662</v>
      </c>
      <c r="B225">
        <v>-1</v>
      </c>
      <c r="C225">
        <v>2050</v>
      </c>
      <c r="D225" s="34" t="s">
        <v>354</v>
      </c>
      <c r="E225" s="34" t="s">
        <v>355</v>
      </c>
      <c r="F225" s="34" t="s">
        <v>411</v>
      </c>
      <c r="G225" s="34" t="s">
        <v>59</v>
      </c>
      <c r="H225">
        <v>4.9239644901094247E-3</v>
      </c>
    </row>
    <row r="226" spans="1:8" x14ac:dyDescent="0.3">
      <c r="A226" s="34" t="s">
        <v>662</v>
      </c>
      <c r="B226">
        <v>-1</v>
      </c>
      <c r="C226">
        <v>2050</v>
      </c>
      <c r="D226" s="34" t="s">
        <v>354</v>
      </c>
      <c r="E226" s="34" t="s">
        <v>355</v>
      </c>
      <c r="F226" s="34" t="s">
        <v>413</v>
      </c>
      <c r="G226" s="34" t="s">
        <v>59</v>
      </c>
      <c r="H226">
        <v>123.691124683513</v>
      </c>
    </row>
    <row r="227" spans="1:8" x14ac:dyDescent="0.3">
      <c r="A227" s="34" t="s">
        <v>662</v>
      </c>
      <c r="B227">
        <v>-1</v>
      </c>
      <c r="C227">
        <v>2050</v>
      </c>
      <c r="D227" s="34" t="s">
        <v>354</v>
      </c>
      <c r="E227" s="34" t="s">
        <v>355</v>
      </c>
      <c r="F227" s="34" t="s">
        <v>414</v>
      </c>
      <c r="G227" s="34" t="s">
        <v>59</v>
      </c>
      <c r="H227">
        <v>2.2088262833126881E-4</v>
      </c>
    </row>
    <row r="228" spans="1:8" x14ac:dyDescent="0.3">
      <c r="A228" s="34" t="s">
        <v>662</v>
      </c>
      <c r="B228">
        <v>-1</v>
      </c>
      <c r="C228">
        <v>2050</v>
      </c>
      <c r="D228" s="34" t="s">
        <v>356</v>
      </c>
      <c r="E228" s="34" t="s">
        <v>357</v>
      </c>
      <c r="F228" s="34" t="s">
        <v>58</v>
      </c>
      <c r="G228" s="34" t="s">
        <v>59</v>
      </c>
      <c r="H228">
        <v>519.14459849259515</v>
      </c>
    </row>
    <row r="229" spans="1:8" x14ac:dyDescent="0.3">
      <c r="A229" s="34" t="s">
        <v>662</v>
      </c>
      <c r="B229">
        <v>-1</v>
      </c>
      <c r="C229">
        <v>2050</v>
      </c>
      <c r="D229" s="34" t="s">
        <v>356</v>
      </c>
      <c r="E229" s="34" t="s">
        <v>357</v>
      </c>
      <c r="F229" s="34" t="s">
        <v>60</v>
      </c>
      <c r="G229" s="34" t="s">
        <v>59</v>
      </c>
      <c r="H229">
        <v>341.12614838965607</v>
      </c>
    </row>
    <row r="230" spans="1:8" x14ac:dyDescent="0.3">
      <c r="A230" s="34" t="s">
        <v>662</v>
      </c>
      <c r="B230">
        <v>-1</v>
      </c>
      <c r="C230">
        <v>2050</v>
      </c>
      <c r="D230" s="34" t="s">
        <v>356</v>
      </c>
      <c r="E230" s="34" t="s">
        <v>357</v>
      </c>
      <c r="F230" s="34" t="s">
        <v>61</v>
      </c>
      <c r="G230" s="34" t="s">
        <v>59</v>
      </c>
      <c r="H230">
        <v>0.12172418084244029</v>
      </c>
    </row>
    <row r="231" spans="1:8" x14ac:dyDescent="0.3">
      <c r="A231" s="34" t="s">
        <v>662</v>
      </c>
      <c r="B231">
        <v>-1</v>
      </c>
      <c r="C231">
        <v>2050</v>
      </c>
      <c r="D231" s="34" t="s">
        <v>356</v>
      </c>
      <c r="E231" s="34" t="s">
        <v>357</v>
      </c>
      <c r="F231" s="34" t="s">
        <v>62</v>
      </c>
      <c r="G231" s="34" t="s">
        <v>59</v>
      </c>
      <c r="H231">
        <v>-1.1117306645716592E-13</v>
      </c>
    </row>
    <row r="232" spans="1:8" x14ac:dyDescent="0.3">
      <c r="A232" s="34" t="s">
        <v>662</v>
      </c>
      <c r="B232">
        <v>-1</v>
      </c>
      <c r="C232">
        <v>2050</v>
      </c>
      <c r="D232" s="34" t="s">
        <v>356</v>
      </c>
      <c r="E232" s="34" t="s">
        <v>357</v>
      </c>
      <c r="F232" s="34" t="s">
        <v>411</v>
      </c>
      <c r="G232" s="34" t="s">
        <v>59</v>
      </c>
      <c r="H232">
        <v>1.2539895102611987E-4</v>
      </c>
    </row>
    <row r="233" spans="1:8" x14ac:dyDescent="0.3">
      <c r="A233" s="34" t="s">
        <v>662</v>
      </c>
      <c r="B233">
        <v>-1</v>
      </c>
      <c r="C233">
        <v>2050</v>
      </c>
      <c r="D233" s="34" t="s">
        <v>356</v>
      </c>
      <c r="E233" s="34" t="s">
        <v>357</v>
      </c>
      <c r="F233" s="34" t="s">
        <v>413</v>
      </c>
      <c r="G233" s="34" t="s">
        <v>59</v>
      </c>
      <c r="H233">
        <v>0.21507362909796268</v>
      </c>
    </row>
    <row r="234" spans="1:8" x14ac:dyDescent="0.3">
      <c r="A234" s="34" t="s">
        <v>662</v>
      </c>
      <c r="B234">
        <v>-1</v>
      </c>
      <c r="C234">
        <v>2050</v>
      </c>
      <c r="D234" s="34" t="s">
        <v>356</v>
      </c>
      <c r="E234" s="34" t="s">
        <v>357</v>
      </c>
      <c r="F234" s="34" t="s">
        <v>414</v>
      </c>
      <c r="G234" s="34" t="s">
        <v>59</v>
      </c>
      <c r="H234">
        <v>1.4757514905762157E-7</v>
      </c>
    </row>
    <row r="235" spans="1:8" x14ac:dyDescent="0.3">
      <c r="A235" s="34" t="s">
        <v>662</v>
      </c>
      <c r="B235">
        <v>-1</v>
      </c>
      <c r="C235">
        <v>2050</v>
      </c>
      <c r="D235" s="34" t="s">
        <v>356</v>
      </c>
      <c r="E235" s="34" t="s">
        <v>357</v>
      </c>
      <c r="F235" s="34" t="s">
        <v>63</v>
      </c>
      <c r="G235" s="34" t="s">
        <v>59</v>
      </c>
      <c r="H235">
        <v>2.9976943756082621E-14</v>
      </c>
    </row>
    <row r="236" spans="1:8" x14ac:dyDescent="0.3">
      <c r="A236" s="34" t="s">
        <v>662</v>
      </c>
      <c r="B236">
        <v>-1</v>
      </c>
      <c r="C236">
        <v>2050</v>
      </c>
      <c r="D236" s="34" t="s">
        <v>358</v>
      </c>
      <c r="E236" s="34" t="s">
        <v>359</v>
      </c>
      <c r="F236" s="34" t="s">
        <v>58</v>
      </c>
      <c r="G236" s="34" t="s">
        <v>59</v>
      </c>
      <c r="H236">
        <v>104.33523158330974</v>
      </c>
    </row>
    <row r="237" spans="1:8" x14ac:dyDescent="0.3">
      <c r="A237" s="34" t="s">
        <v>662</v>
      </c>
      <c r="B237">
        <v>-1</v>
      </c>
      <c r="C237">
        <v>2050</v>
      </c>
      <c r="D237" s="34" t="s">
        <v>358</v>
      </c>
      <c r="E237" s="34" t="s">
        <v>359</v>
      </c>
      <c r="F237" s="34" t="s">
        <v>60</v>
      </c>
      <c r="G237" s="34" t="s">
        <v>59</v>
      </c>
      <c r="H237">
        <v>89.544997095423355</v>
      </c>
    </row>
    <row r="238" spans="1:8" x14ac:dyDescent="0.3">
      <c r="A238" s="34" t="s">
        <v>662</v>
      </c>
      <c r="B238">
        <v>-1</v>
      </c>
      <c r="C238">
        <v>2050</v>
      </c>
      <c r="D238" s="34" t="s">
        <v>358</v>
      </c>
      <c r="E238" s="34" t="s">
        <v>359</v>
      </c>
      <c r="F238" s="34" t="s">
        <v>61</v>
      </c>
      <c r="G238" s="34" t="s">
        <v>59</v>
      </c>
      <c r="H238">
        <v>4.7125908396999996E-2</v>
      </c>
    </row>
    <row r="239" spans="1:8" x14ac:dyDescent="0.3">
      <c r="A239" s="34" t="s">
        <v>662</v>
      </c>
      <c r="B239">
        <v>-1</v>
      </c>
      <c r="C239">
        <v>2050</v>
      </c>
      <c r="D239" s="34" t="s">
        <v>358</v>
      </c>
      <c r="E239" s="34" t="s">
        <v>359</v>
      </c>
      <c r="F239" s="34" t="s">
        <v>62</v>
      </c>
      <c r="G239" s="34" t="s">
        <v>59</v>
      </c>
      <c r="H239">
        <v>-8.2477916222637198E-16</v>
      </c>
    </row>
    <row r="240" spans="1:8" x14ac:dyDescent="0.3">
      <c r="A240" s="34" t="s">
        <v>662</v>
      </c>
      <c r="B240">
        <v>-1</v>
      </c>
      <c r="C240">
        <v>2050</v>
      </c>
      <c r="D240" s="34" t="s">
        <v>358</v>
      </c>
      <c r="E240" s="34" t="s">
        <v>359</v>
      </c>
      <c r="F240" s="34" t="s">
        <v>412</v>
      </c>
      <c r="G240" s="34" t="s">
        <v>59</v>
      </c>
      <c r="H240">
        <v>3.9507705660157502</v>
      </c>
    </row>
    <row r="241" spans="1:8" x14ac:dyDescent="0.3">
      <c r="A241" s="34" t="s">
        <v>662</v>
      </c>
      <c r="B241">
        <v>-1</v>
      </c>
      <c r="C241">
        <v>2050</v>
      </c>
      <c r="D241" s="34" t="s">
        <v>358</v>
      </c>
      <c r="E241" s="34" t="s">
        <v>359</v>
      </c>
      <c r="F241" s="34" t="s">
        <v>411</v>
      </c>
      <c r="G241" s="34" t="s">
        <v>59</v>
      </c>
      <c r="H241">
        <v>9.4811675109076558E-4</v>
      </c>
    </row>
    <row r="242" spans="1:8" x14ac:dyDescent="0.3">
      <c r="A242" s="34" t="s">
        <v>662</v>
      </c>
      <c r="B242">
        <v>-1</v>
      </c>
      <c r="C242">
        <v>2050</v>
      </c>
      <c r="D242" s="34" t="s">
        <v>358</v>
      </c>
      <c r="E242" s="34" t="s">
        <v>359</v>
      </c>
      <c r="F242" s="34" t="s">
        <v>413</v>
      </c>
      <c r="G242" s="34" t="s">
        <v>59</v>
      </c>
      <c r="H242">
        <v>32.837089885580546</v>
      </c>
    </row>
    <row r="243" spans="1:8" x14ac:dyDescent="0.3">
      <c r="A243" s="34" t="s">
        <v>662</v>
      </c>
      <c r="B243">
        <v>-1</v>
      </c>
      <c r="C243">
        <v>2050</v>
      </c>
      <c r="D243" s="34" t="s">
        <v>358</v>
      </c>
      <c r="E243" s="34" t="s">
        <v>359</v>
      </c>
      <c r="F243" s="34" t="s">
        <v>414</v>
      </c>
      <c r="G243" s="34" t="s">
        <v>59</v>
      </c>
      <c r="H243">
        <v>8.7813250037632452E-5</v>
      </c>
    </row>
    <row r="244" spans="1:8" x14ac:dyDescent="0.3">
      <c r="A244" s="34" t="s">
        <v>662</v>
      </c>
      <c r="B244">
        <v>-1</v>
      </c>
      <c r="C244">
        <v>2050</v>
      </c>
      <c r="D244" s="34" t="s">
        <v>358</v>
      </c>
      <c r="E244" s="34" t="s">
        <v>359</v>
      </c>
      <c r="F244" s="34" t="s">
        <v>63</v>
      </c>
      <c r="G244" s="34" t="s">
        <v>59</v>
      </c>
      <c r="H244">
        <v>-3.7471179695103276E-15</v>
      </c>
    </row>
    <row r="245" spans="1:8" x14ac:dyDescent="0.3">
      <c r="A245" s="34" t="s">
        <v>662</v>
      </c>
      <c r="B245">
        <v>-1</v>
      </c>
      <c r="C245">
        <v>2050</v>
      </c>
      <c r="D245" s="34" t="s">
        <v>360</v>
      </c>
      <c r="E245" s="34" t="s">
        <v>361</v>
      </c>
      <c r="F245" s="34" t="s">
        <v>58</v>
      </c>
      <c r="G245" s="34" t="s">
        <v>59</v>
      </c>
      <c r="H245">
        <v>36.170645124748177</v>
      </c>
    </row>
    <row r="246" spans="1:8" x14ac:dyDescent="0.3">
      <c r="A246" s="34" t="s">
        <v>662</v>
      </c>
      <c r="B246">
        <v>-1</v>
      </c>
      <c r="C246">
        <v>2050</v>
      </c>
      <c r="D246" s="34" t="s">
        <v>360</v>
      </c>
      <c r="E246" s="34" t="s">
        <v>361</v>
      </c>
      <c r="F246" s="34" t="s">
        <v>60</v>
      </c>
      <c r="G246" s="34" t="s">
        <v>59</v>
      </c>
      <c r="H246">
        <v>30.375844591475104</v>
      </c>
    </row>
    <row r="247" spans="1:8" x14ac:dyDescent="0.3">
      <c r="A247" s="34" t="s">
        <v>662</v>
      </c>
      <c r="B247">
        <v>-1</v>
      </c>
      <c r="C247">
        <v>2050</v>
      </c>
      <c r="D247" s="34" t="s">
        <v>360</v>
      </c>
      <c r="E247" s="34" t="s">
        <v>361</v>
      </c>
      <c r="F247" s="34" t="s">
        <v>61</v>
      </c>
      <c r="G247" s="34" t="s">
        <v>59</v>
      </c>
      <c r="H247">
        <v>8.4369198378534502</v>
      </c>
    </row>
    <row r="248" spans="1:8" x14ac:dyDescent="0.3">
      <c r="A248" s="34" t="s">
        <v>662</v>
      </c>
      <c r="B248">
        <v>-1</v>
      </c>
      <c r="C248">
        <v>2050</v>
      </c>
      <c r="D248" s="34" t="s">
        <v>360</v>
      </c>
      <c r="E248" s="34" t="s">
        <v>361</v>
      </c>
      <c r="F248" s="34" t="s">
        <v>62</v>
      </c>
      <c r="G248" s="34" t="s">
        <v>59</v>
      </c>
      <c r="H248">
        <v>10.343531724626402</v>
      </c>
    </row>
    <row r="249" spans="1:8" x14ac:dyDescent="0.3">
      <c r="A249" s="34" t="s">
        <v>662</v>
      </c>
      <c r="B249">
        <v>-1</v>
      </c>
      <c r="C249">
        <v>2050</v>
      </c>
      <c r="D249" s="34" t="s">
        <v>360</v>
      </c>
      <c r="E249" s="34" t="s">
        <v>361</v>
      </c>
      <c r="F249" s="34" t="s">
        <v>412</v>
      </c>
      <c r="G249" s="34" t="s">
        <v>59</v>
      </c>
      <c r="H249">
        <v>57.742052440865706</v>
      </c>
    </row>
    <row r="250" spans="1:8" x14ac:dyDescent="0.3">
      <c r="A250" s="34" t="s">
        <v>662</v>
      </c>
      <c r="B250">
        <v>-1</v>
      </c>
      <c r="C250">
        <v>2050</v>
      </c>
      <c r="D250" s="34" t="s">
        <v>360</v>
      </c>
      <c r="E250" s="34" t="s">
        <v>361</v>
      </c>
      <c r="F250" s="34" t="s">
        <v>411</v>
      </c>
      <c r="G250" s="34" t="s">
        <v>59</v>
      </c>
      <c r="H250">
        <v>1.0008016146014036E-3</v>
      </c>
    </row>
    <row r="251" spans="1:8" x14ac:dyDescent="0.3">
      <c r="A251" s="34" t="s">
        <v>662</v>
      </c>
      <c r="B251">
        <v>-1</v>
      </c>
      <c r="C251">
        <v>2050</v>
      </c>
      <c r="D251" s="34" t="s">
        <v>360</v>
      </c>
      <c r="E251" s="34" t="s">
        <v>361</v>
      </c>
      <c r="F251" s="34" t="s">
        <v>413</v>
      </c>
      <c r="G251" s="34" t="s">
        <v>59</v>
      </c>
      <c r="H251">
        <v>13.935730410857875</v>
      </c>
    </row>
    <row r="252" spans="1:8" x14ac:dyDescent="0.3">
      <c r="A252" s="34" t="s">
        <v>662</v>
      </c>
      <c r="B252">
        <v>-1</v>
      </c>
      <c r="C252">
        <v>2050</v>
      </c>
      <c r="D252" s="34" t="s">
        <v>360</v>
      </c>
      <c r="E252" s="34" t="s">
        <v>361</v>
      </c>
      <c r="F252" s="34" t="s">
        <v>414</v>
      </c>
      <c r="G252" s="34" t="s">
        <v>59</v>
      </c>
      <c r="H252">
        <v>6.8169584284016979E-5</v>
      </c>
    </row>
    <row r="253" spans="1:8" x14ac:dyDescent="0.3">
      <c r="A253" s="34" t="s">
        <v>662</v>
      </c>
      <c r="B253">
        <v>-1</v>
      </c>
      <c r="C253">
        <v>2050</v>
      </c>
      <c r="D253" s="34" t="s">
        <v>362</v>
      </c>
      <c r="E253" s="34" t="s">
        <v>363</v>
      </c>
      <c r="F253" s="34" t="s">
        <v>58</v>
      </c>
      <c r="G253" s="34" t="s">
        <v>59</v>
      </c>
      <c r="H253">
        <v>106.36606405042993</v>
      </c>
    </row>
    <row r="254" spans="1:8" x14ac:dyDescent="0.3">
      <c r="A254" s="34" t="s">
        <v>662</v>
      </c>
      <c r="B254">
        <v>-1</v>
      </c>
      <c r="C254">
        <v>2050</v>
      </c>
      <c r="D254" s="34" t="s">
        <v>362</v>
      </c>
      <c r="E254" s="34" t="s">
        <v>363</v>
      </c>
      <c r="F254" s="34" t="s">
        <v>60</v>
      </c>
      <c r="G254" s="34" t="s">
        <v>59</v>
      </c>
      <c r="H254">
        <v>166.61176011972347</v>
      </c>
    </row>
    <row r="255" spans="1:8" x14ac:dyDescent="0.3">
      <c r="A255" s="34" t="s">
        <v>662</v>
      </c>
      <c r="B255">
        <v>-1</v>
      </c>
      <c r="C255">
        <v>2050</v>
      </c>
      <c r="D255" s="34" t="s">
        <v>362</v>
      </c>
      <c r="E255" s="34" t="s">
        <v>363</v>
      </c>
      <c r="F255" s="34" t="s">
        <v>61</v>
      </c>
      <c r="G255" s="34" t="s">
        <v>59</v>
      </c>
      <c r="H255">
        <v>21.250778879999977</v>
      </c>
    </row>
    <row r="256" spans="1:8" x14ac:dyDescent="0.3">
      <c r="A256" s="34" t="s">
        <v>662</v>
      </c>
      <c r="B256">
        <v>-1</v>
      </c>
      <c r="C256">
        <v>2050</v>
      </c>
      <c r="D256" s="34" t="s">
        <v>362</v>
      </c>
      <c r="E256" s="34" t="s">
        <v>363</v>
      </c>
      <c r="F256" s="34" t="s">
        <v>62</v>
      </c>
      <c r="G256" s="34" t="s">
        <v>59</v>
      </c>
      <c r="H256">
        <v>41.473417890844594</v>
      </c>
    </row>
    <row r="257" spans="1:8" x14ac:dyDescent="0.3">
      <c r="A257" s="34" t="s">
        <v>662</v>
      </c>
      <c r="B257">
        <v>-1</v>
      </c>
      <c r="C257">
        <v>2050</v>
      </c>
      <c r="D257" s="34" t="s">
        <v>362</v>
      </c>
      <c r="E257" s="34" t="s">
        <v>363</v>
      </c>
      <c r="F257" s="34" t="s">
        <v>412</v>
      </c>
      <c r="G257" s="34" t="s">
        <v>59</v>
      </c>
      <c r="H257">
        <v>36.324248666889403</v>
      </c>
    </row>
    <row r="258" spans="1:8" x14ac:dyDescent="0.3">
      <c r="A258" s="34" t="s">
        <v>662</v>
      </c>
      <c r="B258">
        <v>-1</v>
      </c>
      <c r="C258">
        <v>2050</v>
      </c>
      <c r="D258" s="34" t="s">
        <v>362</v>
      </c>
      <c r="E258" s="34" t="s">
        <v>363</v>
      </c>
      <c r="F258" s="34" t="s">
        <v>411</v>
      </c>
      <c r="G258" s="34" t="s">
        <v>59</v>
      </c>
      <c r="H258">
        <v>2.9126020392532263E-3</v>
      </c>
    </row>
    <row r="259" spans="1:8" x14ac:dyDescent="0.3">
      <c r="A259" s="34" t="s">
        <v>662</v>
      </c>
      <c r="B259">
        <v>-1</v>
      </c>
      <c r="C259">
        <v>2050</v>
      </c>
      <c r="D259" s="34" t="s">
        <v>362</v>
      </c>
      <c r="E259" s="34" t="s">
        <v>363</v>
      </c>
      <c r="F259" s="34" t="s">
        <v>413</v>
      </c>
      <c r="G259" s="34" t="s">
        <v>59</v>
      </c>
      <c r="H259">
        <v>2.4599536957765347</v>
      </c>
    </row>
    <row r="260" spans="1:8" x14ac:dyDescent="0.3">
      <c r="A260" s="34" t="s">
        <v>662</v>
      </c>
      <c r="B260">
        <v>-1</v>
      </c>
      <c r="C260">
        <v>2050</v>
      </c>
      <c r="D260" s="34" t="s">
        <v>362</v>
      </c>
      <c r="E260" s="34" t="s">
        <v>363</v>
      </c>
      <c r="F260" s="34" t="s">
        <v>414</v>
      </c>
      <c r="G260" s="34" t="s">
        <v>59</v>
      </c>
      <c r="H260">
        <v>1.7524848665482714E-5</v>
      </c>
    </row>
    <row r="261" spans="1:8" x14ac:dyDescent="0.3">
      <c r="A261" s="34" t="s">
        <v>662</v>
      </c>
      <c r="B261">
        <v>-1</v>
      </c>
      <c r="C261">
        <v>2050</v>
      </c>
      <c r="D261" s="34" t="s">
        <v>364</v>
      </c>
      <c r="E261" s="34" t="s">
        <v>365</v>
      </c>
      <c r="F261" s="34" t="s">
        <v>58</v>
      </c>
      <c r="G261" s="34" t="s">
        <v>59</v>
      </c>
      <c r="H261">
        <v>415.96241893460399</v>
      </c>
    </row>
    <row r="262" spans="1:8" x14ac:dyDescent="0.3">
      <c r="A262" s="34" t="s">
        <v>662</v>
      </c>
      <c r="B262">
        <v>-1</v>
      </c>
      <c r="C262">
        <v>2050</v>
      </c>
      <c r="D262" s="34" t="s">
        <v>364</v>
      </c>
      <c r="E262" s="34" t="s">
        <v>365</v>
      </c>
      <c r="F262" s="34" t="s">
        <v>60</v>
      </c>
      <c r="G262" s="34" t="s">
        <v>59</v>
      </c>
      <c r="H262">
        <v>127.13950389482761</v>
      </c>
    </row>
    <row r="263" spans="1:8" x14ac:dyDescent="0.3">
      <c r="A263" s="34" t="s">
        <v>662</v>
      </c>
      <c r="B263">
        <v>-1</v>
      </c>
      <c r="C263">
        <v>2050</v>
      </c>
      <c r="D263" s="34" t="s">
        <v>364</v>
      </c>
      <c r="E263" s="34" t="s">
        <v>365</v>
      </c>
      <c r="F263" s="34" t="s">
        <v>61</v>
      </c>
      <c r="G263" s="34" t="s">
        <v>59</v>
      </c>
      <c r="H263">
        <v>27.085529985045476</v>
      </c>
    </row>
    <row r="264" spans="1:8" x14ac:dyDescent="0.3">
      <c r="A264" s="34" t="s">
        <v>662</v>
      </c>
      <c r="B264">
        <v>-1</v>
      </c>
      <c r="C264">
        <v>2050</v>
      </c>
      <c r="D264" s="34" t="s">
        <v>364</v>
      </c>
      <c r="E264" s="34" t="s">
        <v>365</v>
      </c>
      <c r="F264" s="34" t="s">
        <v>62</v>
      </c>
      <c r="G264" s="34" t="s">
        <v>59</v>
      </c>
      <c r="H264">
        <v>4.1238958111318599E-16</v>
      </c>
    </row>
    <row r="265" spans="1:8" x14ac:dyDescent="0.3">
      <c r="A265" s="34" t="s">
        <v>662</v>
      </c>
      <c r="B265">
        <v>-1</v>
      </c>
      <c r="C265">
        <v>2050</v>
      </c>
      <c r="D265" s="34" t="s">
        <v>364</v>
      </c>
      <c r="E265" s="34" t="s">
        <v>365</v>
      </c>
      <c r="F265" s="34" t="s">
        <v>412</v>
      </c>
      <c r="G265" s="34" t="s">
        <v>59</v>
      </c>
      <c r="H265">
        <v>11.783452374308609</v>
      </c>
    </row>
    <row r="266" spans="1:8" x14ac:dyDescent="0.3">
      <c r="A266" s="34" t="s">
        <v>662</v>
      </c>
      <c r="B266">
        <v>-1</v>
      </c>
      <c r="C266">
        <v>2050</v>
      </c>
      <c r="D266" s="34" t="s">
        <v>364</v>
      </c>
      <c r="E266" s="34" t="s">
        <v>365</v>
      </c>
      <c r="F266" s="34" t="s">
        <v>411</v>
      </c>
      <c r="G266" s="34" t="s">
        <v>59</v>
      </c>
      <c r="H266">
        <v>2.015142424824313E-3</v>
      </c>
    </row>
    <row r="267" spans="1:8" x14ac:dyDescent="0.3">
      <c r="A267" s="34" t="s">
        <v>662</v>
      </c>
      <c r="B267">
        <v>-1</v>
      </c>
      <c r="C267">
        <v>2050</v>
      </c>
      <c r="D267" s="34" t="s">
        <v>364</v>
      </c>
      <c r="E267" s="34" t="s">
        <v>365</v>
      </c>
      <c r="F267" s="34" t="s">
        <v>413</v>
      </c>
      <c r="G267" s="34" t="s">
        <v>59</v>
      </c>
      <c r="H267">
        <v>1.9369439062470915</v>
      </c>
    </row>
    <row r="268" spans="1:8" x14ac:dyDescent="0.3">
      <c r="A268" s="34" t="s">
        <v>662</v>
      </c>
      <c r="B268">
        <v>-1</v>
      </c>
      <c r="C268">
        <v>2050</v>
      </c>
      <c r="D268" s="34" t="s">
        <v>364</v>
      </c>
      <c r="E268" s="34" t="s">
        <v>365</v>
      </c>
      <c r="F268" s="34" t="s">
        <v>414</v>
      </c>
      <c r="G268" s="34" t="s">
        <v>59</v>
      </c>
      <c r="H268">
        <v>7.4019317397500454E-6</v>
      </c>
    </row>
    <row r="269" spans="1:8" x14ac:dyDescent="0.3">
      <c r="A269" s="34" t="s">
        <v>662</v>
      </c>
      <c r="B269">
        <v>-1</v>
      </c>
      <c r="C269">
        <v>2050</v>
      </c>
      <c r="D269" s="34" t="s">
        <v>364</v>
      </c>
      <c r="E269" s="34" t="s">
        <v>365</v>
      </c>
      <c r="F269" s="34" t="s">
        <v>63</v>
      </c>
      <c r="G269" s="34" t="s">
        <v>59</v>
      </c>
      <c r="H269">
        <v>1.8735589847551638E-15</v>
      </c>
    </row>
    <row r="270" spans="1:8" x14ac:dyDescent="0.3">
      <c r="A270" s="34" t="s">
        <v>662</v>
      </c>
      <c r="B270">
        <v>-1</v>
      </c>
      <c r="C270">
        <v>2050</v>
      </c>
      <c r="D270" s="34" t="s">
        <v>366</v>
      </c>
      <c r="E270" s="34" t="s">
        <v>367</v>
      </c>
      <c r="F270" s="34" t="s">
        <v>58</v>
      </c>
      <c r="G270" s="34" t="s">
        <v>59</v>
      </c>
      <c r="H270">
        <v>1423.2801459159905</v>
      </c>
    </row>
    <row r="271" spans="1:8" x14ac:dyDescent="0.3">
      <c r="A271" s="34" t="s">
        <v>662</v>
      </c>
      <c r="B271">
        <v>-1</v>
      </c>
      <c r="C271">
        <v>2050</v>
      </c>
      <c r="D271" s="34" t="s">
        <v>366</v>
      </c>
      <c r="E271" s="34" t="s">
        <v>367</v>
      </c>
      <c r="F271" s="34" t="s">
        <v>60</v>
      </c>
      <c r="G271" s="34" t="s">
        <v>59</v>
      </c>
      <c r="H271">
        <v>452.92661011676836</v>
      </c>
    </row>
    <row r="272" spans="1:8" x14ac:dyDescent="0.3">
      <c r="A272" s="34" t="s">
        <v>662</v>
      </c>
      <c r="B272">
        <v>-1</v>
      </c>
      <c r="C272">
        <v>2050</v>
      </c>
      <c r="D272" s="34" t="s">
        <v>366</v>
      </c>
      <c r="E272" s="34" t="s">
        <v>367</v>
      </c>
      <c r="F272" s="34" t="s">
        <v>61</v>
      </c>
      <c r="G272" s="34" t="s">
        <v>59</v>
      </c>
      <c r="H272">
        <v>82.517361423081582</v>
      </c>
    </row>
    <row r="273" spans="1:8" x14ac:dyDescent="0.3">
      <c r="A273" s="34" t="s">
        <v>662</v>
      </c>
      <c r="B273">
        <v>-1</v>
      </c>
      <c r="C273">
        <v>2050</v>
      </c>
      <c r="D273" s="34" t="s">
        <v>366</v>
      </c>
      <c r="E273" s="34" t="s">
        <v>367</v>
      </c>
      <c r="F273" s="34" t="s">
        <v>412</v>
      </c>
      <c r="G273" s="34" t="s">
        <v>59</v>
      </c>
      <c r="H273">
        <v>74.167492753938831</v>
      </c>
    </row>
    <row r="274" spans="1:8" x14ac:dyDescent="0.3">
      <c r="A274" s="34" t="s">
        <v>662</v>
      </c>
      <c r="B274">
        <v>-1</v>
      </c>
      <c r="C274">
        <v>2050</v>
      </c>
      <c r="D274" s="34" t="s">
        <v>366</v>
      </c>
      <c r="E274" s="34" t="s">
        <v>367</v>
      </c>
      <c r="F274" s="34" t="s">
        <v>411</v>
      </c>
      <c r="G274" s="34" t="s">
        <v>59</v>
      </c>
      <c r="H274">
        <v>3.8967906999270935E-3</v>
      </c>
    </row>
    <row r="275" spans="1:8" x14ac:dyDescent="0.3">
      <c r="A275" s="34" t="s">
        <v>662</v>
      </c>
      <c r="B275">
        <v>-1</v>
      </c>
      <c r="C275">
        <v>2050</v>
      </c>
      <c r="D275" s="34" t="s">
        <v>366</v>
      </c>
      <c r="E275" s="34" t="s">
        <v>367</v>
      </c>
      <c r="F275" s="34" t="s">
        <v>413</v>
      </c>
      <c r="G275" s="34" t="s">
        <v>59</v>
      </c>
      <c r="H275">
        <v>10.658527666495806</v>
      </c>
    </row>
    <row r="276" spans="1:8" x14ac:dyDescent="0.3">
      <c r="A276" s="34" t="s">
        <v>662</v>
      </c>
      <c r="B276">
        <v>-1</v>
      </c>
      <c r="C276">
        <v>2050</v>
      </c>
      <c r="D276" s="34" t="s">
        <v>366</v>
      </c>
      <c r="E276" s="34" t="s">
        <v>367</v>
      </c>
      <c r="F276" s="34" t="s">
        <v>414</v>
      </c>
      <c r="G276" s="34" t="s">
        <v>59</v>
      </c>
      <c r="H276">
        <v>1.5619148764930815E-5</v>
      </c>
    </row>
    <row r="277" spans="1:8" x14ac:dyDescent="0.3">
      <c r="A277" s="34" t="s">
        <v>662</v>
      </c>
      <c r="B277">
        <v>-1</v>
      </c>
      <c r="C277">
        <v>2050</v>
      </c>
      <c r="D277" s="34" t="s">
        <v>368</v>
      </c>
      <c r="E277" s="34" t="s">
        <v>369</v>
      </c>
      <c r="F277" s="34" t="s">
        <v>58</v>
      </c>
      <c r="G277" s="34" t="s">
        <v>59</v>
      </c>
      <c r="H277">
        <v>243.73682356675454</v>
      </c>
    </row>
    <row r="278" spans="1:8" x14ac:dyDescent="0.3">
      <c r="A278" s="34" t="s">
        <v>662</v>
      </c>
      <c r="B278">
        <v>-1</v>
      </c>
      <c r="C278">
        <v>2050</v>
      </c>
      <c r="D278" s="34" t="s">
        <v>368</v>
      </c>
      <c r="E278" s="34" t="s">
        <v>369</v>
      </c>
      <c r="F278" s="34" t="s">
        <v>60</v>
      </c>
      <c r="G278" s="34" t="s">
        <v>59</v>
      </c>
      <c r="H278">
        <v>114.41774393492457</v>
      </c>
    </row>
    <row r="279" spans="1:8" x14ac:dyDescent="0.3">
      <c r="A279" s="34" t="s">
        <v>662</v>
      </c>
      <c r="B279">
        <v>-1</v>
      </c>
      <c r="C279">
        <v>2050</v>
      </c>
      <c r="D279" s="34" t="s">
        <v>368</v>
      </c>
      <c r="E279" s="34" t="s">
        <v>369</v>
      </c>
      <c r="F279" s="34" t="s">
        <v>61</v>
      </c>
      <c r="G279" s="34" t="s">
        <v>59</v>
      </c>
      <c r="H279">
        <v>13.6559327268</v>
      </c>
    </row>
    <row r="280" spans="1:8" x14ac:dyDescent="0.3">
      <c r="A280" s="34" t="s">
        <v>662</v>
      </c>
      <c r="B280">
        <v>-1</v>
      </c>
      <c r="C280">
        <v>2050</v>
      </c>
      <c r="D280" s="34" t="s">
        <v>368</v>
      </c>
      <c r="E280" s="34" t="s">
        <v>369</v>
      </c>
      <c r="F280" s="34" t="s">
        <v>412</v>
      </c>
      <c r="G280" s="34" t="s">
        <v>59</v>
      </c>
      <c r="H280">
        <v>6.9244342839423645</v>
      </c>
    </row>
    <row r="281" spans="1:8" x14ac:dyDescent="0.3">
      <c r="A281" s="34" t="s">
        <v>662</v>
      </c>
      <c r="B281">
        <v>-1</v>
      </c>
      <c r="C281">
        <v>2050</v>
      </c>
      <c r="D281" s="34" t="s">
        <v>368</v>
      </c>
      <c r="E281" s="34" t="s">
        <v>369</v>
      </c>
      <c r="F281" s="34" t="s">
        <v>411</v>
      </c>
      <c r="G281" s="34" t="s">
        <v>59</v>
      </c>
      <c r="H281">
        <v>4.3343403870146912E-4</v>
      </c>
    </row>
    <row r="282" spans="1:8" x14ac:dyDescent="0.3">
      <c r="A282" s="34" t="s">
        <v>662</v>
      </c>
      <c r="B282">
        <v>-1</v>
      </c>
      <c r="C282">
        <v>2050</v>
      </c>
      <c r="D282" s="34" t="s">
        <v>368</v>
      </c>
      <c r="E282" s="34" t="s">
        <v>369</v>
      </c>
      <c r="F282" s="34" t="s">
        <v>413</v>
      </c>
      <c r="G282" s="34" t="s">
        <v>59</v>
      </c>
      <c r="H282">
        <v>16.706875067839317</v>
      </c>
    </row>
    <row r="283" spans="1:8" x14ac:dyDescent="0.3">
      <c r="A283" s="34" t="s">
        <v>662</v>
      </c>
      <c r="B283">
        <v>-1</v>
      </c>
      <c r="C283">
        <v>2050</v>
      </c>
      <c r="D283" s="34" t="s">
        <v>368</v>
      </c>
      <c r="E283" s="34" t="s">
        <v>369</v>
      </c>
      <c r="F283" s="34" t="s">
        <v>414</v>
      </c>
      <c r="G283" s="34" t="s">
        <v>59</v>
      </c>
      <c r="H283">
        <v>6.3502620564843813E-6</v>
      </c>
    </row>
    <row r="284" spans="1:8" x14ac:dyDescent="0.3">
      <c r="A284" s="34" t="s">
        <v>662</v>
      </c>
      <c r="B284">
        <v>-1</v>
      </c>
      <c r="C284">
        <v>2050</v>
      </c>
      <c r="D284" s="34" t="s">
        <v>370</v>
      </c>
      <c r="E284" s="34" t="s">
        <v>408</v>
      </c>
      <c r="F284" s="34" t="s">
        <v>58</v>
      </c>
      <c r="G284" s="34" t="s">
        <v>59</v>
      </c>
      <c r="H284">
        <v>316.40081036735194</v>
      </c>
    </row>
    <row r="285" spans="1:8" x14ac:dyDescent="0.3">
      <c r="A285" s="34" t="s">
        <v>662</v>
      </c>
      <c r="B285">
        <v>-1</v>
      </c>
      <c r="C285">
        <v>2050</v>
      </c>
      <c r="D285" s="34" t="s">
        <v>370</v>
      </c>
      <c r="E285" s="34" t="s">
        <v>408</v>
      </c>
      <c r="F285" s="34" t="s">
        <v>60</v>
      </c>
      <c r="G285" s="34" t="s">
        <v>59</v>
      </c>
      <c r="H285">
        <v>101.75603400245123</v>
      </c>
    </row>
    <row r="286" spans="1:8" x14ac:dyDescent="0.3">
      <c r="A286" s="34" t="s">
        <v>662</v>
      </c>
      <c r="B286">
        <v>-1</v>
      </c>
      <c r="C286">
        <v>2050</v>
      </c>
      <c r="D286" s="34" t="s">
        <v>370</v>
      </c>
      <c r="E286" s="34" t="s">
        <v>408</v>
      </c>
      <c r="F286" s="34" t="s">
        <v>61</v>
      </c>
      <c r="G286" s="34" t="s">
        <v>59</v>
      </c>
      <c r="H286">
        <v>1.3864869986455026E-3</v>
      </c>
    </row>
    <row r="287" spans="1:8" x14ac:dyDescent="0.3">
      <c r="A287" s="34" t="s">
        <v>662</v>
      </c>
      <c r="B287">
        <v>-1</v>
      </c>
      <c r="C287">
        <v>2050</v>
      </c>
      <c r="D287" s="34" t="s">
        <v>370</v>
      </c>
      <c r="E287" s="34" t="s">
        <v>408</v>
      </c>
      <c r="F287" s="34" t="s">
        <v>412</v>
      </c>
      <c r="G287" s="34" t="s">
        <v>59</v>
      </c>
      <c r="H287">
        <v>104.88825460163133</v>
      </c>
    </row>
    <row r="288" spans="1:8" x14ac:dyDescent="0.3">
      <c r="A288" s="34" t="s">
        <v>662</v>
      </c>
      <c r="B288">
        <v>-1</v>
      </c>
      <c r="C288">
        <v>2050</v>
      </c>
      <c r="D288" s="34" t="s">
        <v>370</v>
      </c>
      <c r="E288" s="34" t="s">
        <v>408</v>
      </c>
      <c r="F288" s="34" t="s">
        <v>411</v>
      </c>
      <c r="G288" s="34" t="s">
        <v>59</v>
      </c>
      <c r="H288">
        <v>2.4918779998432542E-3</v>
      </c>
    </row>
    <row r="289" spans="1:8" x14ac:dyDescent="0.3">
      <c r="A289" s="34" t="s">
        <v>662</v>
      </c>
      <c r="B289">
        <v>-1</v>
      </c>
      <c r="C289">
        <v>2050</v>
      </c>
      <c r="D289" s="34" t="s">
        <v>370</v>
      </c>
      <c r="E289" s="34" t="s">
        <v>408</v>
      </c>
      <c r="F289" s="34" t="s">
        <v>413</v>
      </c>
      <c r="G289" s="34" t="s">
        <v>59</v>
      </c>
      <c r="H289">
        <v>92.249682723032436</v>
      </c>
    </row>
    <row r="290" spans="1:8" x14ac:dyDescent="0.3">
      <c r="A290" s="34" t="s">
        <v>662</v>
      </c>
      <c r="B290">
        <v>-1</v>
      </c>
      <c r="C290">
        <v>2050</v>
      </c>
      <c r="D290" s="34" t="s">
        <v>370</v>
      </c>
      <c r="E290" s="34" t="s">
        <v>408</v>
      </c>
      <c r="F290" s="34" t="s">
        <v>414</v>
      </c>
      <c r="G290" s="34" t="s">
        <v>59</v>
      </c>
      <c r="H290">
        <v>5.4621036105094159E-5</v>
      </c>
    </row>
    <row r="291" spans="1:8" x14ac:dyDescent="0.3">
      <c r="A291" s="34" t="s">
        <v>662</v>
      </c>
      <c r="B291">
        <v>-1</v>
      </c>
      <c r="C291">
        <v>2050</v>
      </c>
      <c r="D291" s="34" t="s">
        <v>370</v>
      </c>
      <c r="E291" s="34" t="s">
        <v>409</v>
      </c>
      <c r="F291" s="34" t="s">
        <v>58</v>
      </c>
      <c r="G291" s="34" t="s">
        <v>59</v>
      </c>
      <c r="H291">
        <v>694.79006136643522</v>
      </c>
    </row>
    <row r="292" spans="1:8" x14ac:dyDescent="0.3">
      <c r="A292" s="34" t="s">
        <v>662</v>
      </c>
      <c r="B292">
        <v>-1</v>
      </c>
      <c r="C292">
        <v>2050</v>
      </c>
      <c r="D292" s="34" t="s">
        <v>370</v>
      </c>
      <c r="E292" s="34" t="s">
        <v>409</v>
      </c>
      <c r="F292" s="34" t="s">
        <v>60</v>
      </c>
      <c r="G292" s="34" t="s">
        <v>59</v>
      </c>
      <c r="H292">
        <v>142.0359168234144</v>
      </c>
    </row>
    <row r="293" spans="1:8" x14ac:dyDescent="0.3">
      <c r="A293" s="34" t="s">
        <v>662</v>
      </c>
      <c r="B293">
        <v>-1</v>
      </c>
      <c r="C293">
        <v>2050</v>
      </c>
      <c r="D293" s="34" t="s">
        <v>370</v>
      </c>
      <c r="E293" s="34" t="s">
        <v>409</v>
      </c>
      <c r="F293" s="34" t="s">
        <v>61</v>
      </c>
      <c r="G293" s="34" t="s">
        <v>59</v>
      </c>
      <c r="H293">
        <v>63.239096483493398</v>
      </c>
    </row>
    <row r="294" spans="1:8" x14ac:dyDescent="0.3">
      <c r="A294" s="34" t="s">
        <v>662</v>
      </c>
      <c r="B294">
        <v>-1</v>
      </c>
      <c r="C294">
        <v>2050</v>
      </c>
      <c r="D294" s="34" t="s">
        <v>370</v>
      </c>
      <c r="E294" s="34" t="s">
        <v>409</v>
      </c>
      <c r="F294" s="34" t="s">
        <v>412</v>
      </c>
      <c r="G294" s="34" t="s">
        <v>59</v>
      </c>
      <c r="H294">
        <v>104.88825460163133</v>
      </c>
    </row>
    <row r="295" spans="1:8" x14ac:dyDescent="0.3">
      <c r="A295" s="34" t="s">
        <v>662</v>
      </c>
      <c r="B295">
        <v>-1</v>
      </c>
      <c r="C295">
        <v>2050</v>
      </c>
      <c r="D295" s="34" t="s">
        <v>370</v>
      </c>
      <c r="E295" s="34" t="s">
        <v>409</v>
      </c>
      <c r="F295" s="34" t="s">
        <v>411</v>
      </c>
      <c r="G295" s="34" t="s">
        <v>59</v>
      </c>
      <c r="H295">
        <v>4.7149288913178721E-3</v>
      </c>
    </row>
    <row r="296" spans="1:8" x14ac:dyDescent="0.3">
      <c r="A296" s="34" t="s">
        <v>662</v>
      </c>
      <c r="B296">
        <v>-1</v>
      </c>
      <c r="C296">
        <v>2050</v>
      </c>
      <c r="D296" s="34" t="s">
        <v>373</v>
      </c>
      <c r="E296" s="34" t="s">
        <v>374</v>
      </c>
      <c r="F296" s="34" t="s">
        <v>58</v>
      </c>
      <c r="G296" s="34" t="s">
        <v>59</v>
      </c>
      <c r="H296">
        <v>1037.7745924238825</v>
      </c>
    </row>
    <row r="297" spans="1:8" x14ac:dyDescent="0.3">
      <c r="A297" s="34" t="s">
        <v>662</v>
      </c>
      <c r="B297">
        <v>-1</v>
      </c>
      <c r="C297">
        <v>2050</v>
      </c>
      <c r="D297" s="34" t="s">
        <v>373</v>
      </c>
      <c r="E297" s="34" t="s">
        <v>374</v>
      </c>
      <c r="F297" s="34" t="s">
        <v>60</v>
      </c>
      <c r="G297" s="34" t="s">
        <v>59</v>
      </c>
      <c r="H297">
        <v>212.49800449665935</v>
      </c>
    </row>
    <row r="298" spans="1:8" x14ac:dyDescent="0.3">
      <c r="A298" s="34" t="s">
        <v>662</v>
      </c>
      <c r="B298">
        <v>-1</v>
      </c>
      <c r="C298">
        <v>2050</v>
      </c>
      <c r="D298" s="34" t="s">
        <v>373</v>
      </c>
      <c r="E298" s="34" t="s">
        <v>374</v>
      </c>
      <c r="F298" s="34" t="s">
        <v>61</v>
      </c>
      <c r="G298" s="34" t="s">
        <v>59</v>
      </c>
      <c r="H298">
        <v>78.364300620076719</v>
      </c>
    </row>
    <row r="299" spans="1:8" x14ac:dyDescent="0.3">
      <c r="A299" s="34" t="s">
        <v>662</v>
      </c>
      <c r="B299">
        <v>-1</v>
      </c>
      <c r="C299">
        <v>2050</v>
      </c>
      <c r="D299" s="34" t="s">
        <v>373</v>
      </c>
      <c r="E299" s="34" t="s">
        <v>374</v>
      </c>
      <c r="F299" s="34" t="s">
        <v>412</v>
      </c>
      <c r="G299" s="34" t="s">
        <v>59</v>
      </c>
      <c r="H299">
        <v>34.674571114416651</v>
      </c>
    </row>
    <row r="300" spans="1:8" x14ac:dyDescent="0.3">
      <c r="A300" s="34" t="s">
        <v>662</v>
      </c>
      <c r="B300">
        <v>-1</v>
      </c>
      <c r="C300">
        <v>2050</v>
      </c>
      <c r="D300" s="34" t="s">
        <v>373</v>
      </c>
      <c r="E300" s="34" t="s">
        <v>374</v>
      </c>
      <c r="F300" s="34" t="s">
        <v>411</v>
      </c>
      <c r="G300" s="34" t="s">
        <v>59</v>
      </c>
      <c r="H300">
        <v>1.032489810360168E-3</v>
      </c>
    </row>
    <row r="301" spans="1:8" x14ac:dyDescent="0.3">
      <c r="A301" s="34" t="s">
        <v>662</v>
      </c>
      <c r="B301">
        <v>-1</v>
      </c>
      <c r="C301">
        <v>2050</v>
      </c>
      <c r="D301" s="34" t="s">
        <v>373</v>
      </c>
      <c r="E301" s="34" t="s">
        <v>374</v>
      </c>
      <c r="F301" s="34" t="s">
        <v>413</v>
      </c>
      <c r="G301" s="34" t="s">
        <v>59</v>
      </c>
      <c r="H301">
        <v>4.917809290412281</v>
      </c>
    </row>
    <row r="302" spans="1:8" x14ac:dyDescent="0.3">
      <c r="A302" s="34" t="s">
        <v>662</v>
      </c>
      <c r="B302">
        <v>-1</v>
      </c>
      <c r="C302">
        <v>2050</v>
      </c>
      <c r="D302" s="34" t="s">
        <v>373</v>
      </c>
      <c r="E302" s="34" t="s">
        <v>374</v>
      </c>
      <c r="F302" s="34" t="s">
        <v>414</v>
      </c>
      <c r="G302" s="34" t="s">
        <v>59</v>
      </c>
      <c r="H302">
        <v>2.0833404568408016E-5</v>
      </c>
    </row>
    <row r="303" spans="1:8" x14ac:dyDescent="0.3">
      <c r="A303" s="34" t="s">
        <v>662</v>
      </c>
      <c r="B303">
        <v>-1</v>
      </c>
      <c r="C303">
        <v>2050</v>
      </c>
      <c r="D303" s="34" t="s">
        <v>375</v>
      </c>
      <c r="E303" s="34" t="s">
        <v>376</v>
      </c>
      <c r="F303" s="34" t="s">
        <v>58</v>
      </c>
      <c r="G303" s="34" t="s">
        <v>59</v>
      </c>
      <c r="H303">
        <v>54.831831559948633</v>
      </c>
    </row>
    <row r="304" spans="1:8" x14ac:dyDescent="0.3">
      <c r="A304" s="34" t="s">
        <v>662</v>
      </c>
      <c r="B304">
        <v>-1</v>
      </c>
      <c r="C304">
        <v>2050</v>
      </c>
      <c r="D304" s="34" t="s">
        <v>375</v>
      </c>
      <c r="E304" s="34" t="s">
        <v>376</v>
      </c>
      <c r="F304" s="34" t="s">
        <v>60</v>
      </c>
      <c r="G304" s="34" t="s">
        <v>59</v>
      </c>
      <c r="H304">
        <v>16.522865974927946</v>
      </c>
    </row>
    <row r="305" spans="1:8" x14ac:dyDescent="0.3">
      <c r="A305" s="34" t="s">
        <v>662</v>
      </c>
      <c r="B305">
        <v>-1</v>
      </c>
      <c r="C305">
        <v>2050</v>
      </c>
      <c r="D305" s="34" t="s">
        <v>375</v>
      </c>
      <c r="E305" s="34" t="s">
        <v>376</v>
      </c>
      <c r="F305" s="34" t="s">
        <v>61</v>
      </c>
      <c r="G305" s="34" t="s">
        <v>59</v>
      </c>
      <c r="H305">
        <v>2.4001719467324873</v>
      </c>
    </row>
    <row r="306" spans="1:8" x14ac:dyDescent="0.3">
      <c r="A306" s="34" t="s">
        <v>662</v>
      </c>
      <c r="B306">
        <v>-1</v>
      </c>
      <c r="C306">
        <v>2050</v>
      </c>
      <c r="D306" s="34" t="s">
        <v>375</v>
      </c>
      <c r="E306" s="34" t="s">
        <v>376</v>
      </c>
      <c r="F306" s="34" t="s">
        <v>412</v>
      </c>
      <c r="G306" s="34" t="s">
        <v>59</v>
      </c>
      <c r="H306">
        <v>49.090162498284016</v>
      </c>
    </row>
    <row r="307" spans="1:8" x14ac:dyDescent="0.3">
      <c r="A307" s="34" t="s">
        <v>662</v>
      </c>
      <c r="B307">
        <v>-1</v>
      </c>
      <c r="C307">
        <v>2050</v>
      </c>
      <c r="D307" s="34" t="s">
        <v>375</v>
      </c>
      <c r="E307" s="34" t="s">
        <v>376</v>
      </c>
      <c r="F307" s="34" t="s">
        <v>411</v>
      </c>
      <c r="G307" s="34" t="s">
        <v>59</v>
      </c>
      <c r="H307">
        <v>3.1131994974220186E-3</v>
      </c>
    </row>
    <row r="308" spans="1:8" x14ac:dyDescent="0.3">
      <c r="A308" s="34" t="s">
        <v>662</v>
      </c>
      <c r="B308">
        <v>-1</v>
      </c>
      <c r="C308">
        <v>2050</v>
      </c>
      <c r="D308" s="34" t="s">
        <v>375</v>
      </c>
      <c r="E308" s="34" t="s">
        <v>376</v>
      </c>
      <c r="F308" s="34" t="s">
        <v>413</v>
      </c>
      <c r="G308" s="34" t="s">
        <v>59</v>
      </c>
      <c r="H308">
        <v>0.29772689822878412</v>
      </c>
    </row>
    <row r="309" spans="1:8" x14ac:dyDescent="0.3">
      <c r="A309" s="34" t="s">
        <v>662</v>
      </c>
      <c r="B309">
        <v>-1</v>
      </c>
      <c r="C309">
        <v>2050</v>
      </c>
      <c r="D309" s="34" t="s">
        <v>377</v>
      </c>
      <c r="E309" s="34" t="s">
        <v>378</v>
      </c>
      <c r="F309" s="34" t="s">
        <v>58</v>
      </c>
      <c r="G309" s="34" t="s">
        <v>59</v>
      </c>
      <c r="H309">
        <v>120.56881708249392</v>
      </c>
    </row>
    <row r="310" spans="1:8" x14ac:dyDescent="0.3">
      <c r="A310" s="34" t="s">
        <v>662</v>
      </c>
      <c r="B310">
        <v>-1</v>
      </c>
      <c r="C310">
        <v>2050</v>
      </c>
      <c r="D310" s="34" t="s">
        <v>377</v>
      </c>
      <c r="E310" s="34" t="s">
        <v>378</v>
      </c>
      <c r="F310" s="34" t="s">
        <v>60</v>
      </c>
      <c r="G310" s="34" t="s">
        <v>59</v>
      </c>
      <c r="H310">
        <v>74.335406117241433</v>
      </c>
    </row>
    <row r="311" spans="1:8" x14ac:dyDescent="0.3">
      <c r="A311" s="34" t="s">
        <v>662</v>
      </c>
      <c r="B311">
        <v>-1</v>
      </c>
      <c r="C311">
        <v>2050</v>
      </c>
      <c r="D311" s="34" t="s">
        <v>377</v>
      </c>
      <c r="E311" s="34" t="s">
        <v>378</v>
      </c>
      <c r="F311" s="34" t="s">
        <v>61</v>
      </c>
      <c r="G311" s="34" t="s">
        <v>59</v>
      </c>
      <c r="H311">
        <v>8.2109871480000027</v>
      </c>
    </row>
    <row r="312" spans="1:8" x14ac:dyDescent="0.3">
      <c r="A312" s="34" t="s">
        <v>662</v>
      </c>
      <c r="B312">
        <v>-1</v>
      </c>
      <c r="C312">
        <v>2050</v>
      </c>
      <c r="D312" s="34" t="s">
        <v>377</v>
      </c>
      <c r="E312" s="34" t="s">
        <v>378</v>
      </c>
      <c r="F312" s="34" t="s">
        <v>412</v>
      </c>
      <c r="G312" s="34" t="s">
        <v>59</v>
      </c>
      <c r="H312">
        <v>15.389360677813059</v>
      </c>
    </row>
    <row r="313" spans="1:8" x14ac:dyDescent="0.3">
      <c r="A313" s="34" t="s">
        <v>662</v>
      </c>
      <c r="B313">
        <v>-1</v>
      </c>
      <c r="C313">
        <v>2050</v>
      </c>
      <c r="D313" s="34" t="s">
        <v>377</v>
      </c>
      <c r="E313" s="34" t="s">
        <v>378</v>
      </c>
      <c r="F313" s="34" t="s">
        <v>411</v>
      </c>
      <c r="G313" s="34" t="s">
        <v>59</v>
      </c>
      <c r="H313">
        <v>2.037137010797445E-3</v>
      </c>
    </row>
    <row r="314" spans="1:8" x14ac:dyDescent="0.3">
      <c r="A314" s="34" t="s">
        <v>662</v>
      </c>
      <c r="B314">
        <v>-1</v>
      </c>
      <c r="C314">
        <v>2050</v>
      </c>
      <c r="D314" s="34" t="s">
        <v>377</v>
      </c>
      <c r="E314" s="34" t="s">
        <v>378</v>
      </c>
      <c r="F314" s="34" t="s">
        <v>413</v>
      </c>
      <c r="G314" s="34" t="s">
        <v>59</v>
      </c>
      <c r="H314">
        <v>0.90648620398365753</v>
      </c>
    </row>
    <row r="315" spans="1:8" x14ac:dyDescent="0.3">
      <c r="A315" s="34" t="s">
        <v>662</v>
      </c>
      <c r="B315">
        <v>-1</v>
      </c>
      <c r="C315">
        <v>2050</v>
      </c>
      <c r="D315" s="34" t="s">
        <v>377</v>
      </c>
      <c r="E315" s="34" t="s">
        <v>378</v>
      </c>
      <c r="F315" s="34" t="s">
        <v>414</v>
      </c>
      <c r="G315" s="34" t="s">
        <v>59</v>
      </c>
      <c r="H315">
        <v>-3.4775052881741427E-21</v>
      </c>
    </row>
    <row r="316" spans="1:8" x14ac:dyDescent="0.3">
      <c r="A316" s="34" t="s">
        <v>662</v>
      </c>
      <c r="B316">
        <v>-1</v>
      </c>
      <c r="C316">
        <v>2050</v>
      </c>
      <c r="D316" s="34" t="s">
        <v>379</v>
      </c>
      <c r="E316" s="34" t="s">
        <v>380</v>
      </c>
      <c r="F316" s="34" t="s">
        <v>58</v>
      </c>
      <c r="G316" s="34" t="s">
        <v>59</v>
      </c>
      <c r="H316">
        <v>24.113763416498781</v>
      </c>
    </row>
    <row r="317" spans="1:8" x14ac:dyDescent="0.3">
      <c r="A317" s="34" t="s">
        <v>662</v>
      </c>
      <c r="B317">
        <v>-1</v>
      </c>
      <c r="C317">
        <v>2050</v>
      </c>
      <c r="D317" s="34" t="s">
        <v>379</v>
      </c>
      <c r="E317" s="34" t="s">
        <v>380</v>
      </c>
      <c r="F317" s="34" t="s">
        <v>60</v>
      </c>
      <c r="G317" s="34" t="s">
        <v>59</v>
      </c>
      <c r="H317">
        <v>19.56743543034484</v>
      </c>
    </row>
    <row r="318" spans="1:8" x14ac:dyDescent="0.3">
      <c r="A318" s="34" t="s">
        <v>662</v>
      </c>
      <c r="B318">
        <v>-1</v>
      </c>
      <c r="C318">
        <v>2050</v>
      </c>
      <c r="D318" s="34" t="s">
        <v>379</v>
      </c>
      <c r="E318" s="34" t="s">
        <v>380</v>
      </c>
      <c r="F318" s="34" t="s">
        <v>61</v>
      </c>
      <c r="G318" s="34" t="s">
        <v>59</v>
      </c>
      <c r="H318">
        <v>1.3274467751999999</v>
      </c>
    </row>
    <row r="319" spans="1:8" x14ac:dyDescent="0.3">
      <c r="A319" s="34" t="s">
        <v>662</v>
      </c>
      <c r="B319">
        <v>-1</v>
      </c>
      <c r="C319">
        <v>2050</v>
      </c>
      <c r="D319" s="34" t="s">
        <v>379</v>
      </c>
      <c r="E319" s="34" t="s">
        <v>380</v>
      </c>
      <c r="F319" s="34" t="s">
        <v>412</v>
      </c>
      <c r="G319" s="34" t="s">
        <v>59</v>
      </c>
      <c r="H319">
        <v>17.819915819798823</v>
      </c>
    </row>
    <row r="320" spans="1:8" x14ac:dyDescent="0.3">
      <c r="A320" s="34" t="s">
        <v>662</v>
      </c>
      <c r="B320">
        <v>-1</v>
      </c>
      <c r="C320">
        <v>2050</v>
      </c>
      <c r="D320" s="34" t="s">
        <v>379</v>
      </c>
      <c r="E320" s="34" t="s">
        <v>380</v>
      </c>
      <c r="F320" s="34" t="s">
        <v>411</v>
      </c>
      <c r="G320" s="34" t="s">
        <v>59</v>
      </c>
      <c r="H320">
        <v>1.172658361937058E-3</v>
      </c>
    </row>
    <row r="321" spans="1:8" x14ac:dyDescent="0.3">
      <c r="A321" s="34" t="s">
        <v>662</v>
      </c>
      <c r="B321">
        <v>-1</v>
      </c>
      <c r="C321">
        <v>2050</v>
      </c>
      <c r="D321" s="34" t="s">
        <v>379</v>
      </c>
      <c r="E321" s="34" t="s">
        <v>380</v>
      </c>
      <c r="F321" s="34" t="s">
        <v>413</v>
      </c>
      <c r="G321" s="34" t="s">
        <v>59</v>
      </c>
      <c r="H321">
        <v>0.27974887350565647</v>
      </c>
    </row>
    <row r="322" spans="1:8" x14ac:dyDescent="0.3">
      <c r="A322" s="34" t="s">
        <v>662</v>
      </c>
      <c r="B322">
        <v>-1</v>
      </c>
      <c r="C322">
        <v>2050</v>
      </c>
      <c r="D322" s="34" t="s">
        <v>381</v>
      </c>
      <c r="E322" s="34" t="s">
        <v>382</v>
      </c>
      <c r="F322" s="34" t="s">
        <v>58</v>
      </c>
      <c r="G322" s="34" t="s">
        <v>59</v>
      </c>
      <c r="H322">
        <v>3.8617260099612012</v>
      </c>
    </row>
    <row r="323" spans="1:8" x14ac:dyDescent="0.3">
      <c r="A323" s="34" t="s">
        <v>662</v>
      </c>
      <c r="B323">
        <v>-1</v>
      </c>
      <c r="C323">
        <v>2050</v>
      </c>
      <c r="D323" s="34" t="s">
        <v>381</v>
      </c>
      <c r="E323" s="34" t="s">
        <v>382</v>
      </c>
      <c r="F323" s="34" t="s">
        <v>60</v>
      </c>
      <c r="G323" s="34" t="s">
        <v>59</v>
      </c>
      <c r="H323">
        <v>13.362959985845016</v>
      </c>
    </row>
    <row r="324" spans="1:8" x14ac:dyDescent="0.3">
      <c r="A324" s="34" t="s">
        <v>662</v>
      </c>
      <c r="B324">
        <v>-1</v>
      </c>
      <c r="C324">
        <v>2050</v>
      </c>
      <c r="D324" s="34" t="s">
        <v>381</v>
      </c>
      <c r="E324" s="34" t="s">
        <v>382</v>
      </c>
      <c r="F324" s="34" t="s">
        <v>412</v>
      </c>
      <c r="G324" s="34" t="s">
        <v>59</v>
      </c>
      <c r="H324">
        <v>0.79297513058983027</v>
      </c>
    </row>
    <row r="325" spans="1:8" x14ac:dyDescent="0.3">
      <c r="A325" s="34" t="s">
        <v>662</v>
      </c>
      <c r="B325">
        <v>-1</v>
      </c>
      <c r="C325">
        <v>2050</v>
      </c>
      <c r="D325" s="34" t="s">
        <v>381</v>
      </c>
      <c r="E325" s="34" t="s">
        <v>382</v>
      </c>
      <c r="F325" s="34" t="s">
        <v>411</v>
      </c>
      <c r="G325" s="34" t="s">
        <v>59</v>
      </c>
      <c r="H325">
        <v>3.7406022425391807E-4</v>
      </c>
    </row>
    <row r="326" spans="1:8" x14ac:dyDescent="0.3">
      <c r="A326" s="34" t="s">
        <v>662</v>
      </c>
      <c r="B326">
        <v>-1</v>
      </c>
      <c r="C326">
        <v>2050</v>
      </c>
      <c r="D326" s="34" t="s">
        <v>381</v>
      </c>
      <c r="E326" s="34" t="s">
        <v>382</v>
      </c>
      <c r="F326" s="34" t="s">
        <v>413</v>
      </c>
      <c r="G326" s="34" t="s">
        <v>59</v>
      </c>
      <c r="H326">
        <v>0.89743347697759979</v>
      </c>
    </row>
    <row r="327" spans="1:8" x14ac:dyDescent="0.3">
      <c r="A327" s="34" t="s">
        <v>662</v>
      </c>
      <c r="B327">
        <v>-1</v>
      </c>
      <c r="C327">
        <v>2050</v>
      </c>
      <c r="D327" s="34" t="s">
        <v>381</v>
      </c>
      <c r="E327" s="34" t="s">
        <v>382</v>
      </c>
      <c r="F327" s="34" t="s">
        <v>414</v>
      </c>
      <c r="G327" s="34" t="s">
        <v>59</v>
      </c>
      <c r="H327">
        <v>6.7853761720471085E-22</v>
      </c>
    </row>
    <row r="328" spans="1:8" x14ac:dyDescent="0.3">
      <c r="A328" s="34" t="s">
        <v>662</v>
      </c>
      <c r="B328">
        <v>-1</v>
      </c>
      <c r="C328">
        <v>2050</v>
      </c>
      <c r="D328" s="34" t="s">
        <v>383</v>
      </c>
      <c r="E328" s="34" t="s">
        <v>384</v>
      </c>
      <c r="F328" s="34" t="s">
        <v>60</v>
      </c>
      <c r="G328" s="34" t="s">
        <v>59</v>
      </c>
      <c r="H328">
        <v>40.435479337931071</v>
      </c>
    </row>
    <row r="329" spans="1:8" x14ac:dyDescent="0.3">
      <c r="A329" s="34" t="s">
        <v>662</v>
      </c>
      <c r="B329">
        <v>-1</v>
      </c>
      <c r="C329">
        <v>2050</v>
      </c>
      <c r="D329" s="34" t="s">
        <v>383</v>
      </c>
      <c r="E329" s="34" t="s">
        <v>384</v>
      </c>
      <c r="F329" s="34" t="s">
        <v>61</v>
      </c>
      <c r="G329" s="34" t="s">
        <v>59</v>
      </c>
      <c r="H329">
        <v>1.8109519383999999E-2</v>
      </c>
    </row>
    <row r="330" spans="1:8" x14ac:dyDescent="0.3">
      <c r="A330" s="34" t="s">
        <v>662</v>
      </c>
      <c r="B330">
        <v>-1</v>
      </c>
      <c r="C330">
        <v>2050</v>
      </c>
      <c r="D330" s="34" t="s">
        <v>383</v>
      </c>
      <c r="E330" s="34" t="s">
        <v>384</v>
      </c>
      <c r="F330" s="34" t="s">
        <v>412</v>
      </c>
      <c r="G330" s="34" t="s">
        <v>59</v>
      </c>
      <c r="H330">
        <v>10.250353514498286</v>
      </c>
    </row>
    <row r="331" spans="1:8" x14ac:dyDescent="0.3">
      <c r="A331" s="34" t="s">
        <v>662</v>
      </c>
      <c r="B331">
        <v>-1</v>
      </c>
      <c r="C331">
        <v>2050</v>
      </c>
      <c r="D331" s="34" t="s">
        <v>383</v>
      </c>
      <c r="E331" s="34" t="s">
        <v>384</v>
      </c>
      <c r="F331" s="34" t="s">
        <v>411</v>
      </c>
      <c r="G331" s="34" t="s">
        <v>59</v>
      </c>
      <c r="H331">
        <v>4.6325863077750312E-4</v>
      </c>
    </row>
    <row r="332" spans="1:8" x14ac:dyDescent="0.3">
      <c r="A332" s="34" t="s">
        <v>662</v>
      </c>
      <c r="B332">
        <v>-1</v>
      </c>
      <c r="C332">
        <v>2050</v>
      </c>
      <c r="D332" s="34" t="s">
        <v>383</v>
      </c>
      <c r="E332" s="34" t="s">
        <v>384</v>
      </c>
      <c r="F332" s="34" t="s">
        <v>413</v>
      </c>
      <c r="G332" s="34" t="s">
        <v>59</v>
      </c>
      <c r="H332">
        <v>1.0554689228987404</v>
      </c>
    </row>
    <row r="333" spans="1:8" x14ac:dyDescent="0.3">
      <c r="A333" s="34" t="s">
        <v>662</v>
      </c>
      <c r="B333">
        <v>-1</v>
      </c>
      <c r="C333">
        <v>2050</v>
      </c>
      <c r="D333" s="34" t="s">
        <v>383</v>
      </c>
      <c r="E333" s="34" t="s">
        <v>384</v>
      </c>
      <c r="F333" s="34" t="s">
        <v>414</v>
      </c>
      <c r="G333" s="34" t="s">
        <v>59</v>
      </c>
      <c r="H333">
        <v>2.6018731469420643E-21</v>
      </c>
    </row>
    <row r="334" spans="1:8" x14ac:dyDescent="0.3">
      <c r="A334" s="34" t="s">
        <v>662</v>
      </c>
      <c r="B334">
        <v>-1</v>
      </c>
      <c r="C334">
        <v>2050</v>
      </c>
      <c r="D334" s="34" t="s">
        <v>385</v>
      </c>
      <c r="E334" s="34" t="s">
        <v>386</v>
      </c>
      <c r="F334" s="34" t="s">
        <v>58</v>
      </c>
      <c r="G334" s="34" t="s">
        <v>59</v>
      </c>
      <c r="H334">
        <v>24.113763416498784</v>
      </c>
    </row>
    <row r="335" spans="1:8" x14ac:dyDescent="0.3">
      <c r="A335" s="34" t="s">
        <v>662</v>
      </c>
      <c r="B335">
        <v>-1</v>
      </c>
      <c r="C335">
        <v>2050</v>
      </c>
      <c r="D335" s="34" t="s">
        <v>385</v>
      </c>
      <c r="E335" s="34" t="s">
        <v>386</v>
      </c>
      <c r="F335" s="34" t="s">
        <v>60</v>
      </c>
      <c r="G335" s="34" t="s">
        <v>59</v>
      </c>
      <c r="H335">
        <v>60.797029913103501</v>
      </c>
    </row>
    <row r="336" spans="1:8" x14ac:dyDescent="0.3">
      <c r="A336" s="34" t="s">
        <v>662</v>
      </c>
      <c r="B336">
        <v>-1</v>
      </c>
      <c r="C336">
        <v>2050</v>
      </c>
      <c r="D336" s="34" t="s">
        <v>385</v>
      </c>
      <c r="E336" s="34" t="s">
        <v>386</v>
      </c>
      <c r="F336" s="34" t="s">
        <v>61</v>
      </c>
      <c r="G336" s="34" t="s">
        <v>59</v>
      </c>
      <c r="H336">
        <v>1.4957325655999991</v>
      </c>
    </row>
    <row r="337" spans="1:8" x14ac:dyDescent="0.3">
      <c r="A337" s="34" t="s">
        <v>662</v>
      </c>
      <c r="B337">
        <v>-1</v>
      </c>
      <c r="C337">
        <v>2050</v>
      </c>
      <c r="D337" s="34" t="s">
        <v>385</v>
      </c>
      <c r="E337" s="34" t="s">
        <v>386</v>
      </c>
      <c r="F337" s="34" t="s">
        <v>412</v>
      </c>
      <c r="G337" s="34" t="s">
        <v>59</v>
      </c>
      <c r="H337">
        <v>16.366760085968373</v>
      </c>
    </row>
    <row r="338" spans="1:8" x14ac:dyDescent="0.3">
      <c r="A338" s="34" t="s">
        <v>662</v>
      </c>
      <c r="B338">
        <v>-1</v>
      </c>
      <c r="C338">
        <v>2050</v>
      </c>
      <c r="D338" s="34" t="s">
        <v>385</v>
      </c>
      <c r="E338" s="34" t="s">
        <v>386</v>
      </c>
      <c r="F338" s="34" t="s">
        <v>411</v>
      </c>
      <c r="G338" s="34" t="s">
        <v>59</v>
      </c>
      <c r="H338">
        <v>5.7437256156479713E-4</v>
      </c>
    </row>
    <row r="339" spans="1:8" x14ac:dyDescent="0.3">
      <c r="A339" s="34" t="s">
        <v>662</v>
      </c>
      <c r="B339">
        <v>-1</v>
      </c>
      <c r="C339">
        <v>2050</v>
      </c>
      <c r="D339" s="34" t="s">
        <v>385</v>
      </c>
      <c r="E339" s="34" t="s">
        <v>386</v>
      </c>
      <c r="F339" s="34" t="s">
        <v>413</v>
      </c>
      <c r="G339" s="34" t="s">
        <v>59</v>
      </c>
      <c r="H339">
        <v>6.6848962557261453</v>
      </c>
    </row>
    <row r="340" spans="1:8" x14ac:dyDescent="0.3">
      <c r="A340" s="34" t="s">
        <v>662</v>
      </c>
      <c r="B340">
        <v>-1</v>
      </c>
      <c r="C340">
        <v>2050</v>
      </c>
      <c r="D340" s="34" t="s">
        <v>385</v>
      </c>
      <c r="E340" s="34" t="s">
        <v>386</v>
      </c>
      <c r="F340" s="34" t="s">
        <v>414</v>
      </c>
      <c r="G340" s="34" t="s">
        <v>59</v>
      </c>
      <c r="H340">
        <v>8.2436944849327784E-6</v>
      </c>
    </row>
    <row r="341" spans="1:8" x14ac:dyDescent="0.3">
      <c r="A341" s="34" t="s">
        <v>662</v>
      </c>
      <c r="B341">
        <v>-1</v>
      </c>
      <c r="C341">
        <v>2050</v>
      </c>
      <c r="D341" s="34" t="s">
        <v>55</v>
      </c>
      <c r="E341" s="34" t="s">
        <v>56</v>
      </c>
      <c r="F341" s="34" t="s">
        <v>58</v>
      </c>
      <c r="G341" s="34" t="s">
        <v>59</v>
      </c>
      <c r="H341">
        <v>5812.268504703854</v>
      </c>
    </row>
    <row r="342" spans="1:8" x14ac:dyDescent="0.3">
      <c r="A342" s="34" t="s">
        <v>662</v>
      </c>
      <c r="B342">
        <v>-1</v>
      </c>
      <c r="C342">
        <v>2050</v>
      </c>
      <c r="D342" s="34" t="s">
        <v>55</v>
      </c>
      <c r="E342" s="34" t="s">
        <v>56</v>
      </c>
      <c r="F342" s="34" t="s">
        <v>60</v>
      </c>
      <c r="G342" s="34" t="s">
        <v>59</v>
      </c>
      <c r="H342">
        <v>2372.0733816281677</v>
      </c>
    </row>
    <row r="343" spans="1:8" x14ac:dyDescent="0.3">
      <c r="A343" s="34" t="s">
        <v>662</v>
      </c>
      <c r="B343">
        <v>-1</v>
      </c>
      <c r="C343">
        <v>2050</v>
      </c>
      <c r="D343" s="34" t="s">
        <v>55</v>
      </c>
      <c r="E343" s="34" t="s">
        <v>56</v>
      </c>
      <c r="F343" s="34" t="s">
        <v>61</v>
      </c>
      <c r="G343" s="34" t="s">
        <v>59</v>
      </c>
      <c r="H343">
        <v>172.94517767094931</v>
      </c>
    </row>
    <row r="344" spans="1:8" x14ac:dyDescent="0.3">
      <c r="A344" s="34" t="s">
        <v>662</v>
      </c>
      <c r="B344">
        <v>-1</v>
      </c>
      <c r="C344">
        <v>2050</v>
      </c>
      <c r="D344" s="34" t="s">
        <v>55</v>
      </c>
      <c r="E344" s="34" t="s">
        <v>56</v>
      </c>
      <c r="F344" s="34" t="s">
        <v>412</v>
      </c>
      <c r="G344" s="34" t="s">
        <v>59</v>
      </c>
      <c r="H344">
        <v>6.0183859635219354</v>
      </c>
    </row>
    <row r="345" spans="1:8" x14ac:dyDescent="0.3">
      <c r="A345" s="34" t="s">
        <v>662</v>
      </c>
      <c r="B345">
        <v>-1</v>
      </c>
      <c r="C345">
        <v>2050</v>
      </c>
      <c r="D345" s="34" t="s">
        <v>55</v>
      </c>
      <c r="E345" s="34" t="s">
        <v>56</v>
      </c>
      <c r="F345" s="34" t="s">
        <v>411</v>
      </c>
      <c r="G345" s="34" t="s">
        <v>59</v>
      </c>
      <c r="H345">
        <v>5.5426980138983885E-4</v>
      </c>
    </row>
    <row r="346" spans="1:8" x14ac:dyDescent="0.3">
      <c r="A346" s="34" t="s">
        <v>662</v>
      </c>
      <c r="B346">
        <v>-1</v>
      </c>
      <c r="C346">
        <v>2050</v>
      </c>
      <c r="D346" s="34" t="s">
        <v>55</v>
      </c>
      <c r="E346" s="34" t="s">
        <v>56</v>
      </c>
      <c r="F346" s="34" t="s">
        <v>413</v>
      </c>
      <c r="G346" s="34" t="s">
        <v>59</v>
      </c>
      <c r="H346">
        <v>78.839336520249788</v>
      </c>
    </row>
    <row r="347" spans="1:8" x14ac:dyDescent="0.3">
      <c r="A347" s="34" t="s">
        <v>662</v>
      </c>
      <c r="B347">
        <v>-1</v>
      </c>
      <c r="C347">
        <v>2050</v>
      </c>
      <c r="D347" s="34" t="s">
        <v>55</v>
      </c>
      <c r="E347" s="34" t="s">
        <v>56</v>
      </c>
      <c r="F347" s="34" t="s">
        <v>414</v>
      </c>
      <c r="G347" s="34" t="s">
        <v>59</v>
      </c>
      <c r="H347">
        <v>4.8612487045822972E-5</v>
      </c>
    </row>
    <row r="348" spans="1:8" x14ac:dyDescent="0.3">
      <c r="A348" s="34" t="s">
        <v>662</v>
      </c>
      <c r="B348">
        <v>-1</v>
      </c>
      <c r="C348">
        <v>2050</v>
      </c>
      <c r="D348" s="34" t="s">
        <v>387</v>
      </c>
      <c r="E348" s="34" t="s">
        <v>388</v>
      </c>
      <c r="F348" s="34" t="s">
        <v>58</v>
      </c>
      <c r="G348" s="34" t="s">
        <v>59</v>
      </c>
      <c r="H348">
        <v>24.55321229198897</v>
      </c>
    </row>
    <row r="349" spans="1:8" x14ac:dyDescent="0.3">
      <c r="A349" s="34" t="s">
        <v>662</v>
      </c>
      <c r="B349">
        <v>-1</v>
      </c>
      <c r="C349">
        <v>2050</v>
      </c>
      <c r="D349" s="34" t="s">
        <v>387</v>
      </c>
      <c r="E349" s="34" t="s">
        <v>388</v>
      </c>
      <c r="F349" s="34" t="s">
        <v>60</v>
      </c>
      <c r="G349" s="34" t="s">
        <v>59</v>
      </c>
      <c r="H349">
        <v>7.762259655070225</v>
      </c>
    </row>
    <row r="350" spans="1:8" x14ac:dyDescent="0.3">
      <c r="A350" s="34" t="s">
        <v>662</v>
      </c>
      <c r="B350">
        <v>-1</v>
      </c>
      <c r="C350">
        <v>2050</v>
      </c>
      <c r="D350" s="34" t="s">
        <v>387</v>
      </c>
      <c r="E350" s="34" t="s">
        <v>388</v>
      </c>
      <c r="F350" s="34" t="s">
        <v>61</v>
      </c>
      <c r="G350" s="34" t="s">
        <v>59</v>
      </c>
      <c r="H350">
        <v>1.6940559447035131</v>
      </c>
    </row>
    <row r="351" spans="1:8" x14ac:dyDescent="0.3">
      <c r="A351" s="34" t="s">
        <v>662</v>
      </c>
      <c r="B351">
        <v>-1</v>
      </c>
      <c r="C351">
        <v>2050</v>
      </c>
      <c r="D351" s="34" t="s">
        <v>387</v>
      </c>
      <c r="E351" s="34" t="s">
        <v>388</v>
      </c>
      <c r="F351" s="34" t="s">
        <v>62</v>
      </c>
      <c r="G351" s="34" t="s">
        <v>59</v>
      </c>
      <c r="H351">
        <v>-1.1194863267561495</v>
      </c>
    </row>
    <row r="352" spans="1:8" x14ac:dyDescent="0.3">
      <c r="A352" s="34" t="s">
        <v>662</v>
      </c>
      <c r="B352">
        <v>-1</v>
      </c>
      <c r="C352">
        <v>2050</v>
      </c>
      <c r="D352" s="34" t="s">
        <v>387</v>
      </c>
      <c r="E352" s="34" t="s">
        <v>388</v>
      </c>
      <c r="F352" s="34" t="s">
        <v>411</v>
      </c>
      <c r="G352" s="34" t="s">
        <v>59</v>
      </c>
      <c r="H352">
        <v>1.1914512777501124E-5</v>
      </c>
    </row>
    <row r="353" spans="1:8" x14ac:dyDescent="0.3">
      <c r="A353" s="34" t="s">
        <v>662</v>
      </c>
      <c r="B353">
        <v>-1</v>
      </c>
      <c r="C353">
        <v>2050</v>
      </c>
      <c r="D353" s="34" t="s">
        <v>387</v>
      </c>
      <c r="E353" s="34" t="s">
        <v>388</v>
      </c>
      <c r="F353" s="34" t="s">
        <v>63</v>
      </c>
      <c r="G353" s="34" t="s">
        <v>59</v>
      </c>
      <c r="H353">
        <v>4.6785593543634043</v>
      </c>
    </row>
    <row r="354" spans="1:8" x14ac:dyDescent="0.3">
      <c r="A354" s="34" t="s">
        <v>662</v>
      </c>
      <c r="B354">
        <v>-1</v>
      </c>
      <c r="C354">
        <v>2050</v>
      </c>
      <c r="D354" s="34" t="s">
        <v>389</v>
      </c>
      <c r="E354" s="34" t="s">
        <v>390</v>
      </c>
      <c r="F354" s="34" t="s">
        <v>58</v>
      </c>
      <c r="G354" s="34" t="s">
        <v>59</v>
      </c>
      <c r="H354">
        <v>22.034629070855697</v>
      </c>
    </row>
    <row r="355" spans="1:8" x14ac:dyDescent="0.3">
      <c r="A355" s="34" t="s">
        <v>662</v>
      </c>
      <c r="B355">
        <v>-1</v>
      </c>
      <c r="C355">
        <v>2050</v>
      </c>
      <c r="D355" s="34" t="s">
        <v>389</v>
      </c>
      <c r="E355" s="34" t="s">
        <v>390</v>
      </c>
      <c r="F355" s="34" t="s">
        <v>60</v>
      </c>
      <c r="G355" s="34" t="s">
        <v>59</v>
      </c>
      <c r="H355">
        <v>11.12874340683164</v>
      </c>
    </row>
    <row r="356" spans="1:8" x14ac:dyDescent="0.3">
      <c r="A356" s="34" t="s">
        <v>662</v>
      </c>
      <c r="B356">
        <v>-1</v>
      </c>
      <c r="C356">
        <v>2050</v>
      </c>
      <c r="D356" s="34" t="s">
        <v>389</v>
      </c>
      <c r="E356" s="34" t="s">
        <v>390</v>
      </c>
      <c r="F356" s="34" t="s">
        <v>412</v>
      </c>
      <c r="G356" s="34" t="s">
        <v>59</v>
      </c>
      <c r="H356">
        <v>6.0183859635219354</v>
      </c>
    </row>
    <row r="357" spans="1:8" x14ac:dyDescent="0.3">
      <c r="A357" s="34" t="s">
        <v>662</v>
      </c>
      <c r="B357">
        <v>-1</v>
      </c>
      <c r="C357">
        <v>2050</v>
      </c>
      <c r="D357" s="34" t="s">
        <v>389</v>
      </c>
      <c r="E357" s="34" t="s">
        <v>390</v>
      </c>
      <c r="F357" s="34" t="s">
        <v>411</v>
      </c>
      <c r="G357" s="34" t="s">
        <v>59</v>
      </c>
      <c r="H357">
        <v>1.7408981645753338E-4</v>
      </c>
    </row>
  </sheetData>
  <pageMargins left="0.7" right="0.7" top="0.75" bottom="0.75" header="0.3" footer="0.3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A5CEC-DE51-4203-9BD9-DBE2406409EB}">
  <sheetPr codeName="Sheet8">
    <tabColor theme="4" tint="0.59999389629810485"/>
  </sheetPr>
  <dimension ref="A1:L619"/>
  <sheetViews>
    <sheetView workbookViewId="0">
      <selection activeCell="K6" sqref="K6"/>
    </sheetView>
  </sheetViews>
  <sheetFormatPr defaultRowHeight="14.4" x14ac:dyDescent="0.3"/>
  <cols>
    <col min="1" max="1" width="14.33203125" bestFit="1" customWidth="1"/>
    <col min="2" max="2" width="10.6640625" bestFit="1" customWidth="1"/>
    <col min="3" max="3" width="5" bestFit="1" customWidth="1"/>
    <col min="4" max="4" width="26.21875" bestFit="1" customWidth="1"/>
    <col min="5" max="5" width="6.6640625" bestFit="1" customWidth="1"/>
    <col min="6" max="6" width="9" bestFit="1" customWidth="1"/>
    <col min="7" max="7" width="15.44140625" bestFit="1" customWidth="1"/>
    <col min="8" max="8" width="12" bestFit="1" customWidth="1"/>
    <col min="9" max="9" width="9.33203125" bestFit="1" customWidth="1"/>
    <col min="10" max="10" width="15.44140625" bestFit="1" customWidth="1"/>
    <col min="11" max="11" width="16.6640625" bestFit="1" customWidth="1"/>
    <col min="12" max="12" width="15.5546875" bestFit="1" customWidth="1"/>
    <col min="13" max="13" width="12" bestFit="1" customWidth="1"/>
  </cols>
  <sheetData>
    <row r="1" spans="1:12" x14ac:dyDescent="0.3">
      <c r="A1" t="s">
        <v>1</v>
      </c>
      <c r="B1" t="s">
        <v>37</v>
      </c>
      <c r="C1" t="s">
        <v>2</v>
      </c>
      <c r="D1" t="s">
        <v>3</v>
      </c>
      <c r="E1" t="s">
        <v>4</v>
      </c>
      <c r="F1" t="s">
        <v>128</v>
      </c>
      <c r="G1" t="s">
        <v>10</v>
      </c>
      <c r="H1" t="s">
        <v>0</v>
      </c>
    </row>
    <row r="2" spans="1:12" x14ac:dyDescent="0.3">
      <c r="A2" t="s">
        <v>166</v>
      </c>
      <c r="B2">
        <v>0</v>
      </c>
      <c r="C2">
        <v>2020</v>
      </c>
      <c r="D2" t="s">
        <v>167</v>
      </c>
      <c r="E2" t="s">
        <v>168</v>
      </c>
      <c r="F2" t="s">
        <v>126</v>
      </c>
      <c r="G2" t="s">
        <v>127</v>
      </c>
      <c r="H2">
        <v>19.15197712434901</v>
      </c>
    </row>
    <row r="3" spans="1:12" x14ac:dyDescent="0.3">
      <c r="A3" t="s">
        <v>166</v>
      </c>
      <c r="B3">
        <v>0</v>
      </c>
      <c r="C3">
        <v>2020</v>
      </c>
      <c r="D3" t="s">
        <v>167</v>
      </c>
      <c r="E3" t="s">
        <v>183</v>
      </c>
      <c r="F3" t="s">
        <v>126</v>
      </c>
      <c r="G3" t="s">
        <v>127</v>
      </c>
      <c r="H3">
        <v>18.912430498031526</v>
      </c>
    </row>
    <row r="4" spans="1:12" x14ac:dyDescent="0.3">
      <c r="A4" t="s">
        <v>166</v>
      </c>
      <c r="B4">
        <v>0</v>
      </c>
      <c r="C4">
        <v>2020</v>
      </c>
      <c r="D4" t="s">
        <v>167</v>
      </c>
      <c r="E4" t="s">
        <v>187</v>
      </c>
      <c r="F4" t="s">
        <v>126</v>
      </c>
      <c r="G4" t="s">
        <v>127</v>
      </c>
      <c r="H4">
        <v>18.790645661671967</v>
      </c>
    </row>
    <row r="5" spans="1:12" x14ac:dyDescent="0.3">
      <c r="A5" t="s">
        <v>166</v>
      </c>
      <c r="B5">
        <v>0</v>
      </c>
      <c r="C5">
        <v>2020</v>
      </c>
      <c r="D5" t="s">
        <v>167</v>
      </c>
      <c r="E5" t="s">
        <v>191</v>
      </c>
      <c r="F5" t="s">
        <v>126</v>
      </c>
      <c r="G5" t="s">
        <v>127</v>
      </c>
      <c r="H5">
        <v>16.335295414468895</v>
      </c>
    </row>
    <row r="6" spans="1:12" x14ac:dyDescent="0.3">
      <c r="A6" t="s">
        <v>166</v>
      </c>
      <c r="B6">
        <v>0</v>
      </c>
      <c r="C6">
        <v>2020</v>
      </c>
      <c r="D6" t="s">
        <v>167</v>
      </c>
      <c r="E6" t="s">
        <v>194</v>
      </c>
      <c r="F6" t="s">
        <v>126</v>
      </c>
      <c r="G6" t="s">
        <v>127</v>
      </c>
      <c r="H6">
        <v>18.798027922164916</v>
      </c>
      <c r="K6" s="1" t="s">
        <v>33</v>
      </c>
      <c r="L6" t="s">
        <v>138</v>
      </c>
    </row>
    <row r="7" spans="1:12" x14ac:dyDescent="0.3">
      <c r="A7" t="s">
        <v>166</v>
      </c>
      <c r="B7">
        <v>0</v>
      </c>
      <c r="C7">
        <v>2020</v>
      </c>
      <c r="D7" t="s">
        <v>197</v>
      </c>
      <c r="E7" t="s">
        <v>198</v>
      </c>
      <c r="F7" t="s">
        <v>126</v>
      </c>
      <c r="G7" t="s">
        <v>127</v>
      </c>
      <c r="H7">
        <v>46.625640776042893</v>
      </c>
      <c r="K7" s="2" t="s">
        <v>166</v>
      </c>
      <c r="L7" s="34">
        <v>39.131818518661326</v>
      </c>
    </row>
    <row r="8" spans="1:12" x14ac:dyDescent="0.3">
      <c r="A8" t="s">
        <v>166</v>
      </c>
      <c r="B8">
        <v>0</v>
      </c>
      <c r="C8">
        <v>2020</v>
      </c>
      <c r="D8" t="s">
        <v>197</v>
      </c>
      <c r="E8" t="s">
        <v>231</v>
      </c>
      <c r="F8" t="s">
        <v>126</v>
      </c>
      <c r="G8" t="s">
        <v>127</v>
      </c>
      <c r="H8">
        <v>46.88215245588097</v>
      </c>
      <c r="K8" s="3">
        <v>2020</v>
      </c>
      <c r="L8" s="34">
        <v>46.867075325637572</v>
      </c>
    </row>
    <row r="9" spans="1:12" x14ac:dyDescent="0.3">
      <c r="A9" t="s">
        <v>166</v>
      </c>
      <c r="B9">
        <v>0</v>
      </c>
      <c r="C9">
        <v>2020</v>
      </c>
      <c r="D9" t="s">
        <v>250</v>
      </c>
      <c r="E9" t="s">
        <v>251</v>
      </c>
      <c r="F9" t="s">
        <v>126</v>
      </c>
      <c r="G9" t="s">
        <v>127</v>
      </c>
      <c r="H9">
        <v>45.861738818076489</v>
      </c>
      <c r="K9" s="4" t="s">
        <v>56</v>
      </c>
      <c r="L9" s="34">
        <v>42.921344083279692</v>
      </c>
    </row>
    <row r="10" spans="1:12" x14ac:dyDescent="0.3">
      <c r="A10" t="s">
        <v>166</v>
      </c>
      <c r="B10">
        <v>0</v>
      </c>
      <c r="C10">
        <v>2020</v>
      </c>
      <c r="D10" t="s">
        <v>255</v>
      </c>
      <c r="E10" t="s">
        <v>256</v>
      </c>
      <c r="F10" t="s">
        <v>126</v>
      </c>
      <c r="G10" t="s">
        <v>127</v>
      </c>
      <c r="H10">
        <v>55.338971004168336</v>
      </c>
      <c r="K10" s="4" t="s">
        <v>198</v>
      </c>
      <c r="L10" s="34">
        <v>46.625640776042893</v>
      </c>
    </row>
    <row r="11" spans="1:12" x14ac:dyDescent="0.3">
      <c r="A11" t="s">
        <v>166</v>
      </c>
      <c r="B11">
        <v>0</v>
      </c>
      <c r="C11">
        <v>2020</v>
      </c>
      <c r="D11" t="s">
        <v>255</v>
      </c>
      <c r="E11" t="s">
        <v>273</v>
      </c>
      <c r="F11" t="s">
        <v>126</v>
      </c>
      <c r="G11" t="s">
        <v>127</v>
      </c>
      <c r="H11">
        <v>54.885609838284921</v>
      </c>
      <c r="K11" s="4" t="s">
        <v>231</v>
      </c>
      <c r="L11" s="34">
        <v>46.88215245588097</v>
      </c>
    </row>
    <row r="12" spans="1:12" x14ac:dyDescent="0.3">
      <c r="A12" t="s">
        <v>166</v>
      </c>
      <c r="B12">
        <v>0</v>
      </c>
      <c r="C12">
        <v>2020</v>
      </c>
      <c r="D12" t="s">
        <v>255</v>
      </c>
      <c r="E12" t="s">
        <v>277</v>
      </c>
      <c r="F12" t="s">
        <v>126</v>
      </c>
      <c r="G12" t="s">
        <v>127</v>
      </c>
      <c r="H12">
        <v>55.216496546734049</v>
      </c>
      <c r="K12" s="4" t="s">
        <v>168</v>
      </c>
      <c r="L12" s="34">
        <v>19.15197712434901</v>
      </c>
    </row>
    <row r="13" spans="1:12" x14ac:dyDescent="0.3">
      <c r="A13" t="s">
        <v>166</v>
      </c>
      <c r="B13">
        <v>0</v>
      </c>
      <c r="C13">
        <v>2020</v>
      </c>
      <c r="D13" t="s">
        <v>255</v>
      </c>
      <c r="E13" t="s">
        <v>289</v>
      </c>
      <c r="F13" t="s">
        <v>126</v>
      </c>
      <c r="G13" t="s">
        <v>127</v>
      </c>
      <c r="H13">
        <v>55.75373145129489</v>
      </c>
      <c r="K13" s="4" t="s">
        <v>183</v>
      </c>
      <c r="L13" s="34">
        <v>18.912430498031526</v>
      </c>
    </row>
    <row r="14" spans="1:12" x14ac:dyDescent="0.3">
      <c r="A14" t="s">
        <v>166</v>
      </c>
      <c r="B14">
        <v>0</v>
      </c>
      <c r="C14">
        <v>2020</v>
      </c>
      <c r="D14" t="s">
        <v>305</v>
      </c>
      <c r="E14" t="s">
        <v>306</v>
      </c>
      <c r="F14" t="s">
        <v>126</v>
      </c>
      <c r="G14" t="s">
        <v>127</v>
      </c>
      <c r="H14">
        <v>54.377010444752777</v>
      </c>
      <c r="K14" s="4" t="s">
        <v>187</v>
      </c>
      <c r="L14" s="34">
        <v>18.790645661671967</v>
      </c>
    </row>
    <row r="15" spans="1:12" x14ac:dyDescent="0.3">
      <c r="A15" t="s">
        <v>166</v>
      </c>
      <c r="B15">
        <v>0</v>
      </c>
      <c r="C15">
        <v>2020</v>
      </c>
      <c r="D15" t="s">
        <v>309</v>
      </c>
      <c r="E15" t="s">
        <v>310</v>
      </c>
      <c r="F15" t="s">
        <v>126</v>
      </c>
      <c r="G15" t="s">
        <v>127</v>
      </c>
      <c r="H15">
        <v>19.439672260055211</v>
      </c>
      <c r="K15" s="4" t="s">
        <v>191</v>
      </c>
      <c r="L15" s="34">
        <v>16.335295414468895</v>
      </c>
    </row>
    <row r="16" spans="1:12" x14ac:dyDescent="0.3">
      <c r="A16" t="s">
        <v>166</v>
      </c>
      <c r="B16">
        <v>0</v>
      </c>
      <c r="C16">
        <v>2020</v>
      </c>
      <c r="D16" t="s">
        <v>309</v>
      </c>
      <c r="E16" t="s">
        <v>311</v>
      </c>
      <c r="F16" t="s">
        <v>126</v>
      </c>
      <c r="G16" t="s">
        <v>127</v>
      </c>
      <c r="H16">
        <v>19.850617463531396</v>
      </c>
      <c r="K16" s="4" t="s">
        <v>194</v>
      </c>
      <c r="L16" s="34">
        <v>18.798027922164916</v>
      </c>
    </row>
    <row r="17" spans="1:12" x14ac:dyDescent="0.3">
      <c r="A17" t="s">
        <v>166</v>
      </c>
      <c r="B17">
        <v>0</v>
      </c>
      <c r="C17">
        <v>2020</v>
      </c>
      <c r="D17" t="s">
        <v>309</v>
      </c>
      <c r="E17" t="s">
        <v>312</v>
      </c>
      <c r="F17" t="s">
        <v>126</v>
      </c>
      <c r="G17" t="s">
        <v>127</v>
      </c>
      <c r="H17">
        <v>27.845415547626974</v>
      </c>
      <c r="K17" s="4" t="s">
        <v>251</v>
      </c>
      <c r="L17" s="34">
        <v>45.861738818076489</v>
      </c>
    </row>
    <row r="18" spans="1:12" x14ac:dyDescent="0.3">
      <c r="A18" t="s">
        <v>166</v>
      </c>
      <c r="B18">
        <v>0</v>
      </c>
      <c r="C18">
        <v>2020</v>
      </c>
      <c r="D18" t="s">
        <v>309</v>
      </c>
      <c r="E18" t="s">
        <v>313</v>
      </c>
      <c r="F18" t="s">
        <v>126</v>
      </c>
      <c r="G18" t="s">
        <v>127</v>
      </c>
      <c r="H18">
        <v>28.355236551226362</v>
      </c>
      <c r="K18" s="4" t="s">
        <v>256</v>
      </c>
      <c r="L18" s="34">
        <v>55.338971004168336</v>
      </c>
    </row>
    <row r="19" spans="1:12" x14ac:dyDescent="0.3">
      <c r="A19" t="s">
        <v>166</v>
      </c>
      <c r="B19">
        <v>0</v>
      </c>
      <c r="C19">
        <v>2020</v>
      </c>
      <c r="D19" t="s">
        <v>314</v>
      </c>
      <c r="E19" t="s">
        <v>315</v>
      </c>
      <c r="F19" t="s">
        <v>126</v>
      </c>
      <c r="G19" t="s">
        <v>127</v>
      </c>
      <c r="H19">
        <v>41.831448751378041</v>
      </c>
      <c r="K19" s="4" t="s">
        <v>273</v>
      </c>
      <c r="L19" s="34">
        <v>54.885609838284921</v>
      </c>
    </row>
    <row r="20" spans="1:12" x14ac:dyDescent="0.3">
      <c r="A20" t="s">
        <v>166</v>
      </c>
      <c r="B20">
        <v>0</v>
      </c>
      <c r="C20">
        <v>2020</v>
      </c>
      <c r="D20" t="s">
        <v>328</v>
      </c>
      <c r="E20" t="s">
        <v>329</v>
      </c>
      <c r="F20" t="s">
        <v>126</v>
      </c>
      <c r="G20" t="s">
        <v>127</v>
      </c>
      <c r="H20">
        <v>45.613352805839163</v>
      </c>
      <c r="K20" s="4" t="s">
        <v>277</v>
      </c>
      <c r="L20" s="34">
        <v>55.216496546734049</v>
      </c>
    </row>
    <row r="21" spans="1:12" x14ac:dyDescent="0.3">
      <c r="A21" t="s">
        <v>166</v>
      </c>
      <c r="B21">
        <v>0</v>
      </c>
      <c r="C21">
        <v>2020</v>
      </c>
      <c r="D21" t="s">
        <v>330</v>
      </c>
      <c r="E21" t="s">
        <v>331</v>
      </c>
      <c r="F21" t="s">
        <v>126</v>
      </c>
      <c r="G21" t="s">
        <v>127</v>
      </c>
      <c r="H21">
        <v>41.00783220166818</v>
      </c>
      <c r="K21" s="4" t="s">
        <v>289</v>
      </c>
      <c r="L21" s="34">
        <v>55.75373145129489</v>
      </c>
    </row>
    <row r="22" spans="1:12" x14ac:dyDescent="0.3">
      <c r="A22" t="s">
        <v>166</v>
      </c>
      <c r="B22">
        <v>0</v>
      </c>
      <c r="C22">
        <v>2020</v>
      </c>
      <c r="D22" t="s">
        <v>332</v>
      </c>
      <c r="E22" t="s">
        <v>333</v>
      </c>
      <c r="F22" t="s">
        <v>126</v>
      </c>
      <c r="G22" t="s">
        <v>127</v>
      </c>
      <c r="H22">
        <v>40.94082598670871</v>
      </c>
      <c r="K22" s="4" t="s">
        <v>306</v>
      </c>
      <c r="L22" s="34">
        <v>54.377010444752777</v>
      </c>
    </row>
    <row r="23" spans="1:12" x14ac:dyDescent="0.3">
      <c r="A23" t="s">
        <v>166</v>
      </c>
      <c r="B23">
        <v>0</v>
      </c>
      <c r="C23">
        <v>2020</v>
      </c>
      <c r="D23" t="s">
        <v>336</v>
      </c>
      <c r="E23" t="s">
        <v>337</v>
      </c>
      <c r="F23" t="s">
        <v>126</v>
      </c>
      <c r="G23" t="s">
        <v>127</v>
      </c>
      <c r="H23">
        <v>60.203028491545339</v>
      </c>
      <c r="K23" s="4" t="s">
        <v>310</v>
      </c>
      <c r="L23" s="34">
        <v>19.439672260055211</v>
      </c>
    </row>
    <row r="24" spans="1:12" x14ac:dyDescent="0.3">
      <c r="A24" t="s">
        <v>166</v>
      </c>
      <c r="B24">
        <v>0</v>
      </c>
      <c r="C24">
        <v>2020</v>
      </c>
      <c r="D24" t="s">
        <v>338</v>
      </c>
      <c r="E24" t="s">
        <v>339</v>
      </c>
      <c r="F24" t="s">
        <v>126</v>
      </c>
      <c r="G24" t="s">
        <v>127</v>
      </c>
      <c r="H24">
        <v>47.133334765320477</v>
      </c>
      <c r="K24" s="4" t="s">
        <v>311</v>
      </c>
      <c r="L24" s="34">
        <v>19.850617463531396</v>
      </c>
    </row>
    <row r="25" spans="1:12" x14ac:dyDescent="0.3">
      <c r="A25" t="s">
        <v>166</v>
      </c>
      <c r="B25">
        <v>0</v>
      </c>
      <c r="C25">
        <v>2020</v>
      </c>
      <c r="D25" t="s">
        <v>340</v>
      </c>
      <c r="E25" t="s">
        <v>341</v>
      </c>
      <c r="F25" t="s">
        <v>126</v>
      </c>
      <c r="G25" t="s">
        <v>127</v>
      </c>
      <c r="H25">
        <v>28.242890633839025</v>
      </c>
      <c r="K25" s="4" t="s">
        <v>312</v>
      </c>
      <c r="L25" s="34">
        <v>27.845415547626974</v>
      </c>
    </row>
    <row r="26" spans="1:12" x14ac:dyDescent="0.3">
      <c r="A26" t="s">
        <v>166</v>
      </c>
      <c r="B26">
        <v>0</v>
      </c>
      <c r="C26">
        <v>2020</v>
      </c>
      <c r="D26" t="s">
        <v>346</v>
      </c>
      <c r="E26" t="s">
        <v>347</v>
      </c>
      <c r="F26" t="s">
        <v>126</v>
      </c>
      <c r="G26" t="s">
        <v>127</v>
      </c>
      <c r="H26">
        <v>61.189437077857946</v>
      </c>
      <c r="K26" s="4" t="s">
        <v>313</v>
      </c>
      <c r="L26" s="34">
        <v>28.355236551226362</v>
      </c>
    </row>
    <row r="27" spans="1:12" x14ac:dyDescent="0.3">
      <c r="A27" t="s">
        <v>166</v>
      </c>
      <c r="B27">
        <v>0</v>
      </c>
      <c r="C27">
        <v>2020</v>
      </c>
      <c r="D27" t="s">
        <v>348</v>
      </c>
      <c r="E27" t="s">
        <v>349</v>
      </c>
      <c r="F27" t="s">
        <v>126</v>
      </c>
      <c r="G27" t="s">
        <v>127</v>
      </c>
      <c r="H27">
        <v>28.662824648460838</v>
      </c>
      <c r="K27" s="4" t="s">
        <v>315</v>
      </c>
      <c r="L27" s="34">
        <v>41.831448751378041</v>
      </c>
    </row>
    <row r="28" spans="1:12" x14ac:dyDescent="0.3">
      <c r="A28" t="s">
        <v>166</v>
      </c>
      <c r="B28">
        <v>0</v>
      </c>
      <c r="C28">
        <v>2020</v>
      </c>
      <c r="D28" t="s">
        <v>350</v>
      </c>
      <c r="E28" t="s">
        <v>351</v>
      </c>
      <c r="F28" t="s">
        <v>126</v>
      </c>
      <c r="G28" t="s">
        <v>127</v>
      </c>
      <c r="H28">
        <v>50.048084517341202</v>
      </c>
      <c r="K28" s="4" t="s">
        <v>329</v>
      </c>
      <c r="L28" s="34">
        <v>45.613352805839163</v>
      </c>
    </row>
    <row r="29" spans="1:12" x14ac:dyDescent="0.3">
      <c r="A29" t="s">
        <v>166</v>
      </c>
      <c r="B29">
        <v>0</v>
      </c>
      <c r="C29">
        <v>2020</v>
      </c>
      <c r="D29" t="s">
        <v>352</v>
      </c>
      <c r="E29" t="s">
        <v>353</v>
      </c>
      <c r="F29" t="s">
        <v>126</v>
      </c>
      <c r="G29" t="s">
        <v>127</v>
      </c>
      <c r="H29">
        <v>54.366108642660564</v>
      </c>
      <c r="K29" s="4" t="s">
        <v>331</v>
      </c>
      <c r="L29" s="34">
        <v>41.00783220166818</v>
      </c>
    </row>
    <row r="30" spans="1:12" x14ac:dyDescent="0.3">
      <c r="A30" t="s">
        <v>166</v>
      </c>
      <c r="B30">
        <v>0</v>
      </c>
      <c r="C30">
        <v>2020</v>
      </c>
      <c r="D30" t="s">
        <v>354</v>
      </c>
      <c r="E30" t="s">
        <v>355</v>
      </c>
      <c r="F30" t="s">
        <v>126</v>
      </c>
      <c r="G30" t="s">
        <v>127</v>
      </c>
      <c r="H30">
        <v>45.700849738945202</v>
      </c>
      <c r="K30" s="4" t="s">
        <v>333</v>
      </c>
      <c r="L30" s="34">
        <v>40.94082598670871</v>
      </c>
    </row>
    <row r="31" spans="1:12" x14ac:dyDescent="0.3">
      <c r="A31" t="s">
        <v>166</v>
      </c>
      <c r="B31">
        <v>0</v>
      </c>
      <c r="C31">
        <v>2020</v>
      </c>
      <c r="D31" t="s">
        <v>356</v>
      </c>
      <c r="E31" t="s">
        <v>357</v>
      </c>
      <c r="F31" t="s">
        <v>126</v>
      </c>
      <c r="G31" t="s">
        <v>127</v>
      </c>
      <c r="H31">
        <v>46.815523633451306</v>
      </c>
      <c r="K31" s="4" t="s">
        <v>337</v>
      </c>
      <c r="L31" s="34">
        <v>60.203028491545339</v>
      </c>
    </row>
    <row r="32" spans="1:12" x14ac:dyDescent="0.3">
      <c r="A32" t="s">
        <v>166</v>
      </c>
      <c r="B32">
        <v>0</v>
      </c>
      <c r="C32">
        <v>2020</v>
      </c>
      <c r="D32" t="s">
        <v>358</v>
      </c>
      <c r="E32" t="s">
        <v>359</v>
      </c>
      <c r="F32" t="s">
        <v>126</v>
      </c>
      <c r="G32" t="s">
        <v>127</v>
      </c>
      <c r="H32">
        <v>55.483835457123405</v>
      </c>
      <c r="K32" s="4" t="s">
        <v>339</v>
      </c>
      <c r="L32" s="34">
        <v>47.133334765320477</v>
      </c>
    </row>
    <row r="33" spans="1:12" x14ac:dyDescent="0.3">
      <c r="A33" t="s">
        <v>166</v>
      </c>
      <c r="B33">
        <v>0</v>
      </c>
      <c r="C33">
        <v>2020</v>
      </c>
      <c r="D33" t="s">
        <v>360</v>
      </c>
      <c r="E33" t="s">
        <v>361</v>
      </c>
      <c r="F33" t="s">
        <v>126</v>
      </c>
      <c r="G33" t="s">
        <v>127</v>
      </c>
      <c r="H33">
        <v>60.103548459083029</v>
      </c>
      <c r="K33" s="4" t="s">
        <v>341</v>
      </c>
      <c r="L33" s="34">
        <v>28.242890633839025</v>
      </c>
    </row>
    <row r="34" spans="1:12" x14ac:dyDescent="0.3">
      <c r="A34" t="s">
        <v>166</v>
      </c>
      <c r="B34">
        <v>0</v>
      </c>
      <c r="C34">
        <v>2020</v>
      </c>
      <c r="D34" t="s">
        <v>362</v>
      </c>
      <c r="E34" t="s">
        <v>363</v>
      </c>
      <c r="F34" t="s">
        <v>126</v>
      </c>
      <c r="G34" t="s">
        <v>127</v>
      </c>
      <c r="H34">
        <v>60.224175880246555</v>
      </c>
      <c r="K34" s="4" t="s">
        <v>347</v>
      </c>
      <c r="L34" s="34">
        <v>61.189437077857946</v>
      </c>
    </row>
    <row r="35" spans="1:12" x14ac:dyDescent="0.3">
      <c r="A35" t="s">
        <v>166</v>
      </c>
      <c r="B35">
        <v>0</v>
      </c>
      <c r="C35">
        <v>2020</v>
      </c>
      <c r="D35" t="s">
        <v>364</v>
      </c>
      <c r="E35" t="s">
        <v>365</v>
      </c>
      <c r="F35" t="s">
        <v>126</v>
      </c>
      <c r="G35" t="s">
        <v>127</v>
      </c>
      <c r="H35">
        <v>60.341039909746833</v>
      </c>
      <c r="K35" s="4" t="s">
        <v>349</v>
      </c>
      <c r="L35" s="34">
        <v>28.662824648460838</v>
      </c>
    </row>
    <row r="36" spans="1:12" x14ac:dyDescent="0.3">
      <c r="A36" t="s">
        <v>166</v>
      </c>
      <c r="B36">
        <v>0</v>
      </c>
      <c r="C36">
        <v>2020</v>
      </c>
      <c r="D36" t="s">
        <v>366</v>
      </c>
      <c r="E36" t="s">
        <v>367</v>
      </c>
      <c r="F36" t="s">
        <v>126</v>
      </c>
      <c r="G36" t="s">
        <v>127</v>
      </c>
      <c r="H36">
        <v>58.215276567026379</v>
      </c>
      <c r="K36" s="4" t="s">
        <v>351</v>
      </c>
      <c r="L36" s="34">
        <v>50.048084517341202</v>
      </c>
    </row>
    <row r="37" spans="1:12" x14ac:dyDescent="0.3">
      <c r="A37" t="s">
        <v>166</v>
      </c>
      <c r="B37">
        <v>0</v>
      </c>
      <c r="C37">
        <v>2020</v>
      </c>
      <c r="D37" t="s">
        <v>368</v>
      </c>
      <c r="E37" t="s">
        <v>369</v>
      </c>
      <c r="F37" t="s">
        <v>126</v>
      </c>
      <c r="G37" t="s">
        <v>127</v>
      </c>
      <c r="H37">
        <v>60.639506046071652</v>
      </c>
      <c r="K37" s="4" t="s">
        <v>353</v>
      </c>
      <c r="L37" s="34">
        <v>54.366108642660564</v>
      </c>
    </row>
    <row r="38" spans="1:12" x14ac:dyDescent="0.3">
      <c r="A38" t="s">
        <v>166</v>
      </c>
      <c r="B38">
        <v>0</v>
      </c>
      <c r="C38">
        <v>2020</v>
      </c>
      <c r="D38" t="s">
        <v>370</v>
      </c>
      <c r="E38" t="s">
        <v>371</v>
      </c>
      <c r="F38" t="s">
        <v>126</v>
      </c>
      <c r="G38" t="s">
        <v>127</v>
      </c>
      <c r="H38">
        <v>58.80997381754058</v>
      </c>
      <c r="K38" s="4" t="s">
        <v>355</v>
      </c>
      <c r="L38" s="34">
        <v>45.700849738945202</v>
      </c>
    </row>
    <row r="39" spans="1:12" x14ac:dyDescent="0.3">
      <c r="A39" t="s">
        <v>166</v>
      </c>
      <c r="B39">
        <v>0</v>
      </c>
      <c r="C39">
        <v>2020</v>
      </c>
      <c r="D39" t="s">
        <v>373</v>
      </c>
      <c r="E39" t="s">
        <v>374</v>
      </c>
      <c r="F39" t="s">
        <v>126</v>
      </c>
      <c r="G39" t="s">
        <v>127</v>
      </c>
      <c r="H39">
        <v>46.980186773792369</v>
      </c>
      <c r="K39" s="4" t="s">
        <v>357</v>
      </c>
      <c r="L39" s="34">
        <v>46.815523633451306</v>
      </c>
    </row>
    <row r="40" spans="1:12" x14ac:dyDescent="0.3">
      <c r="A40" t="s">
        <v>166</v>
      </c>
      <c r="B40">
        <v>0</v>
      </c>
      <c r="C40">
        <v>2020</v>
      </c>
      <c r="D40" t="s">
        <v>375</v>
      </c>
      <c r="E40" t="s">
        <v>376</v>
      </c>
      <c r="F40" t="s">
        <v>126</v>
      </c>
      <c r="G40" t="s">
        <v>127</v>
      </c>
      <c r="H40">
        <v>55.384584479574421</v>
      </c>
      <c r="K40" s="4" t="s">
        <v>359</v>
      </c>
      <c r="L40" s="34">
        <v>55.483835457123405</v>
      </c>
    </row>
    <row r="41" spans="1:12" x14ac:dyDescent="0.3">
      <c r="A41" t="s">
        <v>166</v>
      </c>
      <c r="B41">
        <v>0</v>
      </c>
      <c r="C41">
        <v>2020</v>
      </c>
      <c r="D41" t="s">
        <v>377</v>
      </c>
      <c r="E41" t="s">
        <v>378</v>
      </c>
      <c r="F41" t="s">
        <v>126</v>
      </c>
      <c r="G41" t="s">
        <v>127</v>
      </c>
      <c r="H41">
        <v>61.292901812063441</v>
      </c>
      <c r="K41" s="4" t="s">
        <v>361</v>
      </c>
      <c r="L41" s="34">
        <v>60.103548459083029</v>
      </c>
    </row>
    <row r="42" spans="1:12" x14ac:dyDescent="0.3">
      <c r="A42" t="s">
        <v>166</v>
      </c>
      <c r="B42">
        <v>0</v>
      </c>
      <c r="C42">
        <v>2020</v>
      </c>
      <c r="D42" t="s">
        <v>379</v>
      </c>
      <c r="E42" t="s">
        <v>380</v>
      </c>
      <c r="F42" t="s">
        <v>126</v>
      </c>
      <c r="G42" t="s">
        <v>127</v>
      </c>
      <c r="H42">
        <v>63.076797133992535</v>
      </c>
      <c r="K42" s="4" t="s">
        <v>363</v>
      </c>
      <c r="L42" s="34">
        <v>60.224175880246555</v>
      </c>
    </row>
    <row r="43" spans="1:12" x14ac:dyDescent="0.3">
      <c r="A43" t="s">
        <v>166</v>
      </c>
      <c r="B43">
        <v>0</v>
      </c>
      <c r="C43">
        <v>2020</v>
      </c>
      <c r="D43" t="s">
        <v>381</v>
      </c>
      <c r="E43" t="s">
        <v>382</v>
      </c>
      <c r="F43" t="s">
        <v>126</v>
      </c>
      <c r="G43" t="s">
        <v>127</v>
      </c>
      <c r="H43">
        <v>61.501615144704878</v>
      </c>
      <c r="K43" s="4" t="s">
        <v>365</v>
      </c>
      <c r="L43" s="34">
        <v>60.341039909746833</v>
      </c>
    </row>
    <row r="44" spans="1:12" x14ac:dyDescent="0.3">
      <c r="A44" t="s">
        <v>166</v>
      </c>
      <c r="B44">
        <v>0</v>
      </c>
      <c r="C44">
        <v>2020</v>
      </c>
      <c r="D44" t="s">
        <v>383</v>
      </c>
      <c r="E44" t="s">
        <v>384</v>
      </c>
      <c r="F44" t="s">
        <v>126</v>
      </c>
      <c r="G44" t="s">
        <v>127</v>
      </c>
      <c r="H44">
        <v>63.484875337801867</v>
      </c>
      <c r="K44" s="4" t="s">
        <v>367</v>
      </c>
      <c r="L44" s="34">
        <v>58.215276567026379</v>
      </c>
    </row>
    <row r="45" spans="1:12" x14ac:dyDescent="0.3">
      <c r="A45" t="s">
        <v>166</v>
      </c>
      <c r="B45">
        <v>0</v>
      </c>
      <c r="C45">
        <v>2020</v>
      </c>
      <c r="D45" t="s">
        <v>385</v>
      </c>
      <c r="E45" t="s">
        <v>386</v>
      </c>
      <c r="F45" t="s">
        <v>126</v>
      </c>
      <c r="G45" t="s">
        <v>127</v>
      </c>
      <c r="H45">
        <v>65.114104003008705</v>
      </c>
      <c r="K45" s="4" t="s">
        <v>369</v>
      </c>
      <c r="L45" s="34">
        <v>60.639506046071652</v>
      </c>
    </row>
    <row r="46" spans="1:12" x14ac:dyDescent="0.3">
      <c r="A46" t="s">
        <v>166</v>
      </c>
      <c r="B46">
        <v>0</v>
      </c>
      <c r="C46">
        <v>2020</v>
      </c>
      <c r="D46" t="s">
        <v>55</v>
      </c>
      <c r="E46" t="s">
        <v>56</v>
      </c>
      <c r="F46" t="s">
        <v>126</v>
      </c>
      <c r="G46" t="s">
        <v>127</v>
      </c>
      <c r="H46">
        <v>42.921344083279692</v>
      </c>
      <c r="K46" s="4" t="s">
        <v>371</v>
      </c>
      <c r="L46" s="34">
        <v>58.80997381754058</v>
      </c>
    </row>
    <row r="47" spans="1:12" x14ac:dyDescent="0.3">
      <c r="A47" t="s">
        <v>166</v>
      </c>
      <c r="B47">
        <v>0</v>
      </c>
      <c r="C47">
        <v>2020</v>
      </c>
      <c r="D47" t="s">
        <v>387</v>
      </c>
      <c r="E47" t="s">
        <v>388</v>
      </c>
      <c r="F47" t="s">
        <v>126</v>
      </c>
      <c r="G47" t="s">
        <v>127</v>
      </c>
      <c r="H47">
        <v>65.095109430751648</v>
      </c>
      <c r="K47" s="4" t="s">
        <v>374</v>
      </c>
      <c r="L47" s="34">
        <v>46.980186773792369</v>
      </c>
    </row>
    <row r="48" spans="1:12" x14ac:dyDescent="0.3">
      <c r="A48" t="s">
        <v>166</v>
      </c>
      <c r="B48">
        <v>0</v>
      </c>
      <c r="C48">
        <v>2020</v>
      </c>
      <c r="D48" t="s">
        <v>389</v>
      </c>
      <c r="E48" t="s">
        <v>390</v>
      </c>
      <c r="F48" t="s">
        <v>126</v>
      </c>
      <c r="G48" t="s">
        <v>127</v>
      </c>
      <c r="H48">
        <v>69.907454295780724</v>
      </c>
      <c r="K48" s="4" t="s">
        <v>376</v>
      </c>
      <c r="L48" s="34">
        <v>55.384584479574421</v>
      </c>
    </row>
    <row r="49" spans="1:12" x14ac:dyDescent="0.3">
      <c r="A49" t="s">
        <v>166</v>
      </c>
      <c r="B49">
        <v>0</v>
      </c>
      <c r="C49">
        <v>2030</v>
      </c>
      <c r="D49" t="s">
        <v>167</v>
      </c>
      <c r="E49" t="s">
        <v>168</v>
      </c>
      <c r="F49" t="s">
        <v>126</v>
      </c>
      <c r="G49" t="s">
        <v>127</v>
      </c>
      <c r="H49">
        <v>36.805643128934456</v>
      </c>
      <c r="K49" s="4" t="s">
        <v>378</v>
      </c>
      <c r="L49" s="34">
        <v>61.292901812063441</v>
      </c>
    </row>
    <row r="50" spans="1:12" x14ac:dyDescent="0.3">
      <c r="A50" t="s">
        <v>166</v>
      </c>
      <c r="B50">
        <v>0</v>
      </c>
      <c r="C50">
        <v>2030</v>
      </c>
      <c r="D50" t="s">
        <v>167</v>
      </c>
      <c r="E50" t="s">
        <v>183</v>
      </c>
      <c r="F50" t="s">
        <v>126</v>
      </c>
      <c r="G50" t="s">
        <v>127</v>
      </c>
      <c r="H50">
        <v>37.511912641452803</v>
      </c>
      <c r="K50" s="4" t="s">
        <v>380</v>
      </c>
      <c r="L50" s="34">
        <v>63.076797133992535</v>
      </c>
    </row>
    <row r="51" spans="1:12" x14ac:dyDescent="0.3">
      <c r="A51" t="s">
        <v>166</v>
      </c>
      <c r="B51">
        <v>0</v>
      </c>
      <c r="C51">
        <v>2030</v>
      </c>
      <c r="D51" t="s">
        <v>167</v>
      </c>
      <c r="E51" t="s">
        <v>187</v>
      </c>
      <c r="F51" t="s">
        <v>126</v>
      </c>
      <c r="G51" t="s">
        <v>127</v>
      </c>
      <c r="H51">
        <v>33.958312623261861</v>
      </c>
      <c r="K51" s="4" t="s">
        <v>382</v>
      </c>
      <c r="L51" s="34">
        <v>61.501615144704878</v>
      </c>
    </row>
    <row r="52" spans="1:12" x14ac:dyDescent="0.3">
      <c r="A52" t="s">
        <v>166</v>
      </c>
      <c r="B52">
        <v>0</v>
      </c>
      <c r="C52">
        <v>2030</v>
      </c>
      <c r="D52" t="s">
        <v>167</v>
      </c>
      <c r="E52" t="s">
        <v>191</v>
      </c>
      <c r="F52" t="s">
        <v>126</v>
      </c>
      <c r="G52" t="s">
        <v>127</v>
      </c>
      <c r="H52">
        <v>31.920068585936821</v>
      </c>
      <c r="K52" s="4" t="s">
        <v>384</v>
      </c>
      <c r="L52" s="34">
        <v>63.484875337801867</v>
      </c>
    </row>
    <row r="53" spans="1:12" x14ac:dyDescent="0.3">
      <c r="A53" t="s">
        <v>166</v>
      </c>
      <c r="B53">
        <v>0</v>
      </c>
      <c r="C53">
        <v>2030</v>
      </c>
      <c r="D53" t="s">
        <v>167</v>
      </c>
      <c r="E53" t="s">
        <v>194</v>
      </c>
      <c r="F53" t="s">
        <v>126</v>
      </c>
      <c r="G53" t="s">
        <v>127</v>
      </c>
      <c r="H53">
        <v>34.574195644455386</v>
      </c>
      <c r="K53" s="4" t="s">
        <v>386</v>
      </c>
      <c r="L53" s="34">
        <v>65.114104003008705</v>
      </c>
    </row>
    <row r="54" spans="1:12" x14ac:dyDescent="0.3">
      <c r="A54" t="s">
        <v>166</v>
      </c>
      <c r="B54">
        <v>0</v>
      </c>
      <c r="C54">
        <v>2030</v>
      </c>
      <c r="D54" t="s">
        <v>197</v>
      </c>
      <c r="E54" t="s">
        <v>198</v>
      </c>
      <c r="F54" t="s">
        <v>126</v>
      </c>
      <c r="G54" t="s">
        <v>127</v>
      </c>
      <c r="H54">
        <v>38.460936044837716</v>
      </c>
      <c r="K54" s="4" t="s">
        <v>388</v>
      </c>
      <c r="L54" s="34">
        <v>65.095109430751648</v>
      </c>
    </row>
    <row r="55" spans="1:12" x14ac:dyDescent="0.3">
      <c r="A55" t="s">
        <v>166</v>
      </c>
      <c r="B55">
        <v>0</v>
      </c>
      <c r="C55">
        <v>2030</v>
      </c>
      <c r="D55" t="s">
        <v>197</v>
      </c>
      <c r="E55" t="s">
        <v>231</v>
      </c>
      <c r="F55" t="s">
        <v>126</v>
      </c>
      <c r="G55" t="s">
        <v>127</v>
      </c>
      <c r="H55">
        <v>38.15490010234506</v>
      </c>
      <c r="K55" s="4" t="s">
        <v>390</v>
      </c>
      <c r="L55" s="34">
        <v>69.907454295780724</v>
      </c>
    </row>
    <row r="56" spans="1:12" x14ac:dyDescent="0.3">
      <c r="A56" t="s">
        <v>166</v>
      </c>
      <c r="B56">
        <v>0</v>
      </c>
      <c r="C56">
        <v>2030</v>
      </c>
      <c r="D56" t="s">
        <v>250</v>
      </c>
      <c r="E56" t="s">
        <v>251</v>
      </c>
      <c r="F56" t="s">
        <v>126</v>
      </c>
      <c r="G56" t="s">
        <v>127</v>
      </c>
      <c r="H56">
        <v>36.287604027706699</v>
      </c>
      <c r="K56" s="3">
        <v>2030</v>
      </c>
      <c r="L56" s="34">
        <v>37.617998230695491</v>
      </c>
    </row>
    <row r="57" spans="1:12" x14ac:dyDescent="0.3">
      <c r="A57" t="s">
        <v>166</v>
      </c>
      <c r="B57">
        <v>0</v>
      </c>
      <c r="C57">
        <v>2030</v>
      </c>
      <c r="D57" t="s">
        <v>255</v>
      </c>
      <c r="E57" t="s">
        <v>256</v>
      </c>
      <c r="F57" t="s">
        <v>126</v>
      </c>
      <c r="G57" t="s">
        <v>127</v>
      </c>
      <c r="H57">
        <v>38.424379638723103</v>
      </c>
      <c r="K57" s="4" t="s">
        <v>56</v>
      </c>
      <c r="L57" s="34">
        <v>37.451256284309565</v>
      </c>
    </row>
    <row r="58" spans="1:12" x14ac:dyDescent="0.3">
      <c r="A58" t="s">
        <v>166</v>
      </c>
      <c r="B58">
        <v>0</v>
      </c>
      <c r="C58">
        <v>2030</v>
      </c>
      <c r="D58" t="s">
        <v>255</v>
      </c>
      <c r="E58" t="s">
        <v>273</v>
      </c>
      <c r="F58" t="s">
        <v>126</v>
      </c>
      <c r="G58" t="s">
        <v>127</v>
      </c>
      <c r="H58">
        <v>37.992998356183712</v>
      </c>
      <c r="K58" s="4" t="s">
        <v>198</v>
      </c>
      <c r="L58" s="34">
        <v>38.460936044837716</v>
      </c>
    </row>
    <row r="59" spans="1:12" x14ac:dyDescent="0.3">
      <c r="A59" t="s">
        <v>166</v>
      </c>
      <c r="B59">
        <v>0</v>
      </c>
      <c r="C59">
        <v>2030</v>
      </c>
      <c r="D59" t="s">
        <v>255</v>
      </c>
      <c r="E59" t="s">
        <v>277</v>
      </c>
      <c r="F59" t="s">
        <v>126</v>
      </c>
      <c r="G59" t="s">
        <v>127</v>
      </c>
      <c r="H59">
        <v>38.071655900468883</v>
      </c>
      <c r="K59" s="4" t="s">
        <v>231</v>
      </c>
      <c r="L59" s="34">
        <v>38.15490010234506</v>
      </c>
    </row>
    <row r="60" spans="1:12" x14ac:dyDescent="0.3">
      <c r="A60" t="s">
        <v>166</v>
      </c>
      <c r="B60">
        <v>0</v>
      </c>
      <c r="C60">
        <v>2030</v>
      </c>
      <c r="D60" t="s">
        <v>255</v>
      </c>
      <c r="E60" t="s">
        <v>289</v>
      </c>
      <c r="F60" t="s">
        <v>126</v>
      </c>
      <c r="G60" t="s">
        <v>127</v>
      </c>
      <c r="H60">
        <v>37.928210689883791</v>
      </c>
      <c r="K60" s="4" t="s">
        <v>168</v>
      </c>
      <c r="L60" s="34">
        <v>36.805643128934456</v>
      </c>
    </row>
    <row r="61" spans="1:12" x14ac:dyDescent="0.3">
      <c r="A61" t="s">
        <v>166</v>
      </c>
      <c r="B61">
        <v>0</v>
      </c>
      <c r="C61">
        <v>2030</v>
      </c>
      <c r="D61" t="s">
        <v>305</v>
      </c>
      <c r="E61" t="s">
        <v>306</v>
      </c>
      <c r="F61" t="s">
        <v>126</v>
      </c>
      <c r="G61" t="s">
        <v>127</v>
      </c>
      <c r="H61">
        <v>39.426226548378999</v>
      </c>
      <c r="K61" s="4" t="s">
        <v>183</v>
      </c>
      <c r="L61" s="34">
        <v>37.511912641452803</v>
      </c>
    </row>
    <row r="62" spans="1:12" x14ac:dyDescent="0.3">
      <c r="A62" t="s">
        <v>166</v>
      </c>
      <c r="B62">
        <v>0</v>
      </c>
      <c r="C62">
        <v>2030</v>
      </c>
      <c r="D62" t="s">
        <v>309</v>
      </c>
      <c r="E62" t="s">
        <v>310</v>
      </c>
      <c r="F62" t="s">
        <v>126</v>
      </c>
      <c r="G62" t="s">
        <v>127</v>
      </c>
      <c r="H62">
        <v>33.160092373306441</v>
      </c>
      <c r="K62" s="4" t="s">
        <v>187</v>
      </c>
      <c r="L62" s="34">
        <v>33.958312623261861</v>
      </c>
    </row>
    <row r="63" spans="1:12" x14ac:dyDescent="0.3">
      <c r="A63" t="s">
        <v>166</v>
      </c>
      <c r="B63">
        <v>0</v>
      </c>
      <c r="C63">
        <v>2030</v>
      </c>
      <c r="D63" t="s">
        <v>309</v>
      </c>
      <c r="E63" t="s">
        <v>311</v>
      </c>
      <c r="F63" t="s">
        <v>126</v>
      </c>
      <c r="G63" t="s">
        <v>127</v>
      </c>
      <c r="H63">
        <v>33.951724653929432</v>
      </c>
      <c r="K63" s="4" t="s">
        <v>191</v>
      </c>
      <c r="L63" s="34">
        <v>31.920068585936821</v>
      </c>
    </row>
    <row r="64" spans="1:12" x14ac:dyDescent="0.3">
      <c r="A64" t="s">
        <v>166</v>
      </c>
      <c r="B64">
        <v>0</v>
      </c>
      <c r="C64">
        <v>2030</v>
      </c>
      <c r="D64" t="s">
        <v>309</v>
      </c>
      <c r="E64" t="s">
        <v>312</v>
      </c>
      <c r="F64" t="s">
        <v>126</v>
      </c>
      <c r="G64" t="s">
        <v>127</v>
      </c>
      <c r="H64">
        <v>37.932287284086527</v>
      </c>
      <c r="K64" s="4" t="s">
        <v>194</v>
      </c>
      <c r="L64" s="34">
        <v>34.574195644455386</v>
      </c>
    </row>
    <row r="65" spans="1:12" x14ac:dyDescent="0.3">
      <c r="A65" t="s">
        <v>166</v>
      </c>
      <c r="B65">
        <v>0</v>
      </c>
      <c r="C65">
        <v>2030</v>
      </c>
      <c r="D65" t="s">
        <v>309</v>
      </c>
      <c r="E65" t="s">
        <v>313</v>
      </c>
      <c r="F65" t="s">
        <v>126</v>
      </c>
      <c r="G65" t="s">
        <v>127</v>
      </c>
      <c r="H65">
        <v>38.396125251905616</v>
      </c>
      <c r="K65" s="4" t="s">
        <v>251</v>
      </c>
      <c r="L65" s="34">
        <v>36.287604027706699</v>
      </c>
    </row>
    <row r="66" spans="1:12" x14ac:dyDescent="0.3">
      <c r="A66" t="s">
        <v>166</v>
      </c>
      <c r="B66">
        <v>0</v>
      </c>
      <c r="C66">
        <v>2030</v>
      </c>
      <c r="D66" t="s">
        <v>314</v>
      </c>
      <c r="E66" t="s">
        <v>315</v>
      </c>
      <c r="F66" t="s">
        <v>126</v>
      </c>
      <c r="G66" t="s">
        <v>127</v>
      </c>
      <c r="H66">
        <v>35.712567967975581</v>
      </c>
      <c r="K66" s="4" t="s">
        <v>256</v>
      </c>
      <c r="L66" s="34">
        <v>38.424379638723103</v>
      </c>
    </row>
    <row r="67" spans="1:12" x14ac:dyDescent="0.3">
      <c r="A67" t="s">
        <v>166</v>
      </c>
      <c r="B67">
        <v>0</v>
      </c>
      <c r="C67">
        <v>2030</v>
      </c>
      <c r="D67" t="s">
        <v>328</v>
      </c>
      <c r="E67" t="s">
        <v>329</v>
      </c>
      <c r="F67" t="s">
        <v>126</v>
      </c>
      <c r="G67" t="s">
        <v>127</v>
      </c>
      <c r="H67">
        <v>37.118967143896789</v>
      </c>
      <c r="K67" s="4" t="s">
        <v>273</v>
      </c>
      <c r="L67" s="34">
        <v>37.992998356183712</v>
      </c>
    </row>
    <row r="68" spans="1:12" x14ac:dyDescent="0.3">
      <c r="A68" t="s">
        <v>166</v>
      </c>
      <c r="B68">
        <v>0</v>
      </c>
      <c r="C68">
        <v>2030</v>
      </c>
      <c r="D68" t="s">
        <v>330</v>
      </c>
      <c r="E68" t="s">
        <v>331</v>
      </c>
      <c r="F68" t="s">
        <v>126</v>
      </c>
      <c r="G68" t="s">
        <v>127</v>
      </c>
      <c r="H68">
        <v>37.342737284726496</v>
      </c>
      <c r="K68" s="4" t="s">
        <v>277</v>
      </c>
      <c r="L68" s="34">
        <v>38.071655900468883</v>
      </c>
    </row>
    <row r="69" spans="1:12" x14ac:dyDescent="0.3">
      <c r="A69" t="s">
        <v>166</v>
      </c>
      <c r="B69">
        <v>0</v>
      </c>
      <c r="C69">
        <v>2030</v>
      </c>
      <c r="D69" t="s">
        <v>332</v>
      </c>
      <c r="E69" t="s">
        <v>333</v>
      </c>
      <c r="F69" t="s">
        <v>126</v>
      </c>
      <c r="G69" t="s">
        <v>127</v>
      </c>
      <c r="H69">
        <v>37.432480279802085</v>
      </c>
      <c r="K69" s="4" t="s">
        <v>289</v>
      </c>
      <c r="L69" s="34">
        <v>37.928210689883791</v>
      </c>
    </row>
    <row r="70" spans="1:12" x14ac:dyDescent="0.3">
      <c r="A70" t="s">
        <v>166</v>
      </c>
      <c r="B70">
        <v>0</v>
      </c>
      <c r="C70">
        <v>2030</v>
      </c>
      <c r="D70" t="s">
        <v>336</v>
      </c>
      <c r="E70" t="s">
        <v>337</v>
      </c>
      <c r="F70" t="s">
        <v>126</v>
      </c>
      <c r="G70" t="s">
        <v>127</v>
      </c>
      <c r="H70">
        <v>38.971848367490736</v>
      </c>
      <c r="K70" s="4" t="s">
        <v>306</v>
      </c>
      <c r="L70" s="34">
        <v>39.426226548378999</v>
      </c>
    </row>
    <row r="71" spans="1:12" x14ac:dyDescent="0.3">
      <c r="A71" t="s">
        <v>166</v>
      </c>
      <c r="B71">
        <v>0</v>
      </c>
      <c r="C71">
        <v>2030</v>
      </c>
      <c r="D71" t="s">
        <v>338</v>
      </c>
      <c r="E71" t="s">
        <v>339</v>
      </c>
      <c r="F71" t="s">
        <v>126</v>
      </c>
      <c r="G71" t="s">
        <v>127</v>
      </c>
      <c r="H71">
        <v>38.364522604674626</v>
      </c>
      <c r="K71" s="4" t="s">
        <v>310</v>
      </c>
      <c r="L71" s="34">
        <v>33.160092373306441</v>
      </c>
    </row>
    <row r="72" spans="1:12" x14ac:dyDescent="0.3">
      <c r="A72" t="s">
        <v>166</v>
      </c>
      <c r="B72">
        <v>0</v>
      </c>
      <c r="C72">
        <v>2030</v>
      </c>
      <c r="D72" t="s">
        <v>340</v>
      </c>
      <c r="E72" t="s">
        <v>341</v>
      </c>
      <c r="F72" t="s">
        <v>126</v>
      </c>
      <c r="G72" t="s">
        <v>127</v>
      </c>
      <c r="H72">
        <v>34.158118498053447</v>
      </c>
      <c r="K72" s="4" t="s">
        <v>311</v>
      </c>
      <c r="L72" s="34">
        <v>33.951724653929432</v>
      </c>
    </row>
    <row r="73" spans="1:12" x14ac:dyDescent="0.3">
      <c r="A73" t="s">
        <v>166</v>
      </c>
      <c r="B73">
        <v>0</v>
      </c>
      <c r="C73">
        <v>2030</v>
      </c>
      <c r="D73" t="s">
        <v>346</v>
      </c>
      <c r="E73" t="s">
        <v>347</v>
      </c>
      <c r="F73" t="s">
        <v>126</v>
      </c>
      <c r="G73" t="s">
        <v>127</v>
      </c>
      <c r="H73">
        <v>37.842148868668446</v>
      </c>
      <c r="K73" s="4" t="s">
        <v>312</v>
      </c>
      <c r="L73" s="34">
        <v>37.932287284086527</v>
      </c>
    </row>
    <row r="74" spans="1:12" x14ac:dyDescent="0.3">
      <c r="A74" t="s">
        <v>166</v>
      </c>
      <c r="B74">
        <v>0</v>
      </c>
      <c r="C74">
        <v>2030</v>
      </c>
      <c r="D74" t="s">
        <v>348</v>
      </c>
      <c r="E74" t="s">
        <v>349</v>
      </c>
      <c r="F74" t="s">
        <v>126</v>
      </c>
      <c r="G74" t="s">
        <v>127</v>
      </c>
      <c r="H74">
        <v>36.685495651635165</v>
      </c>
      <c r="K74" s="4" t="s">
        <v>313</v>
      </c>
      <c r="L74" s="34">
        <v>38.396125251905616</v>
      </c>
    </row>
    <row r="75" spans="1:12" x14ac:dyDescent="0.3">
      <c r="A75" t="s">
        <v>166</v>
      </c>
      <c r="B75">
        <v>0</v>
      </c>
      <c r="C75">
        <v>2030</v>
      </c>
      <c r="D75" t="s">
        <v>350</v>
      </c>
      <c r="E75" t="s">
        <v>351</v>
      </c>
      <c r="F75" t="s">
        <v>126</v>
      </c>
      <c r="G75" t="s">
        <v>127</v>
      </c>
      <c r="H75">
        <v>38.109511660247087</v>
      </c>
      <c r="K75" s="4" t="s">
        <v>315</v>
      </c>
      <c r="L75" s="34">
        <v>35.712567967975581</v>
      </c>
    </row>
    <row r="76" spans="1:12" x14ac:dyDescent="0.3">
      <c r="A76" t="s">
        <v>166</v>
      </c>
      <c r="B76">
        <v>0</v>
      </c>
      <c r="C76">
        <v>2030</v>
      </c>
      <c r="D76" t="s">
        <v>352</v>
      </c>
      <c r="E76" t="s">
        <v>353</v>
      </c>
      <c r="F76" t="s">
        <v>126</v>
      </c>
      <c r="G76" t="s">
        <v>127</v>
      </c>
      <c r="H76">
        <v>39.742502022589939</v>
      </c>
      <c r="K76" s="4" t="s">
        <v>329</v>
      </c>
      <c r="L76" s="34">
        <v>37.118967143896789</v>
      </c>
    </row>
    <row r="77" spans="1:12" x14ac:dyDescent="0.3">
      <c r="A77" t="s">
        <v>166</v>
      </c>
      <c r="B77">
        <v>0</v>
      </c>
      <c r="C77">
        <v>2030</v>
      </c>
      <c r="D77" t="s">
        <v>354</v>
      </c>
      <c r="E77" t="s">
        <v>355</v>
      </c>
      <c r="F77" t="s">
        <v>126</v>
      </c>
      <c r="G77" t="s">
        <v>127</v>
      </c>
      <c r="H77">
        <v>31.263291155712405</v>
      </c>
      <c r="K77" s="4" t="s">
        <v>331</v>
      </c>
      <c r="L77" s="34">
        <v>37.342737284726496</v>
      </c>
    </row>
    <row r="78" spans="1:12" x14ac:dyDescent="0.3">
      <c r="A78" t="s">
        <v>166</v>
      </c>
      <c r="B78">
        <v>0</v>
      </c>
      <c r="C78">
        <v>2030</v>
      </c>
      <c r="D78" t="s">
        <v>356</v>
      </c>
      <c r="E78" t="s">
        <v>357</v>
      </c>
      <c r="F78" t="s">
        <v>126</v>
      </c>
      <c r="G78" t="s">
        <v>127</v>
      </c>
      <c r="H78">
        <v>32.858720254629262</v>
      </c>
      <c r="K78" s="4" t="s">
        <v>333</v>
      </c>
      <c r="L78" s="34">
        <v>37.432480279802085</v>
      </c>
    </row>
    <row r="79" spans="1:12" x14ac:dyDescent="0.3">
      <c r="A79" t="s">
        <v>166</v>
      </c>
      <c r="B79">
        <v>0</v>
      </c>
      <c r="C79">
        <v>2030</v>
      </c>
      <c r="D79" t="s">
        <v>358</v>
      </c>
      <c r="E79" t="s">
        <v>359</v>
      </c>
      <c r="F79" t="s">
        <v>126</v>
      </c>
      <c r="G79" t="s">
        <v>127</v>
      </c>
      <c r="H79">
        <v>38.69489471410661</v>
      </c>
      <c r="K79" s="4" t="s">
        <v>337</v>
      </c>
      <c r="L79" s="34">
        <v>38.971848367490736</v>
      </c>
    </row>
    <row r="80" spans="1:12" x14ac:dyDescent="0.3">
      <c r="A80" t="s">
        <v>166</v>
      </c>
      <c r="B80">
        <v>0</v>
      </c>
      <c r="C80">
        <v>2030</v>
      </c>
      <c r="D80" t="s">
        <v>360</v>
      </c>
      <c r="E80" t="s">
        <v>361</v>
      </c>
      <c r="F80" t="s">
        <v>126</v>
      </c>
      <c r="G80" t="s">
        <v>127</v>
      </c>
      <c r="H80">
        <v>39.3244769447506</v>
      </c>
      <c r="K80" s="4" t="s">
        <v>339</v>
      </c>
      <c r="L80" s="34">
        <v>38.364522604674626</v>
      </c>
    </row>
    <row r="81" spans="1:12" x14ac:dyDescent="0.3">
      <c r="A81" t="s">
        <v>166</v>
      </c>
      <c r="B81">
        <v>0</v>
      </c>
      <c r="C81">
        <v>2030</v>
      </c>
      <c r="D81" t="s">
        <v>362</v>
      </c>
      <c r="E81" t="s">
        <v>363</v>
      </c>
      <c r="F81" t="s">
        <v>126</v>
      </c>
      <c r="G81" t="s">
        <v>127</v>
      </c>
      <c r="H81">
        <v>39.080431505007638</v>
      </c>
      <c r="K81" s="4" t="s">
        <v>341</v>
      </c>
      <c r="L81" s="34">
        <v>34.158118498053447</v>
      </c>
    </row>
    <row r="82" spans="1:12" x14ac:dyDescent="0.3">
      <c r="A82" t="s">
        <v>166</v>
      </c>
      <c r="B82">
        <v>0</v>
      </c>
      <c r="C82">
        <v>2030</v>
      </c>
      <c r="D82" t="s">
        <v>364</v>
      </c>
      <c r="E82" t="s">
        <v>365</v>
      </c>
      <c r="F82" t="s">
        <v>126</v>
      </c>
      <c r="G82" t="s">
        <v>127</v>
      </c>
      <c r="H82">
        <v>39.090193063288893</v>
      </c>
      <c r="K82" s="4" t="s">
        <v>347</v>
      </c>
      <c r="L82" s="34">
        <v>37.842148868668446</v>
      </c>
    </row>
    <row r="83" spans="1:12" x14ac:dyDescent="0.3">
      <c r="A83" t="s">
        <v>166</v>
      </c>
      <c r="B83">
        <v>0</v>
      </c>
      <c r="C83">
        <v>2030</v>
      </c>
      <c r="D83" t="s">
        <v>366</v>
      </c>
      <c r="E83" t="s">
        <v>367</v>
      </c>
      <c r="F83" t="s">
        <v>126</v>
      </c>
      <c r="G83" t="s">
        <v>127</v>
      </c>
      <c r="H83">
        <v>39.849151551874115</v>
      </c>
      <c r="K83" s="4" t="s">
        <v>349</v>
      </c>
      <c r="L83" s="34">
        <v>36.685495651635165</v>
      </c>
    </row>
    <row r="84" spans="1:12" x14ac:dyDescent="0.3">
      <c r="A84" t="s">
        <v>166</v>
      </c>
      <c r="B84">
        <v>0</v>
      </c>
      <c r="C84">
        <v>2030</v>
      </c>
      <c r="D84" t="s">
        <v>368</v>
      </c>
      <c r="E84" t="s">
        <v>369</v>
      </c>
      <c r="F84" t="s">
        <v>126</v>
      </c>
      <c r="G84" t="s">
        <v>127</v>
      </c>
      <c r="H84">
        <v>40.152210553995424</v>
      </c>
      <c r="K84" s="4" t="s">
        <v>351</v>
      </c>
      <c r="L84" s="34">
        <v>38.109511660247087</v>
      </c>
    </row>
    <row r="85" spans="1:12" x14ac:dyDescent="0.3">
      <c r="A85" t="s">
        <v>166</v>
      </c>
      <c r="B85">
        <v>0</v>
      </c>
      <c r="C85">
        <v>2030</v>
      </c>
      <c r="D85" t="s">
        <v>370</v>
      </c>
      <c r="E85" t="s">
        <v>371</v>
      </c>
      <c r="F85" t="s">
        <v>126</v>
      </c>
      <c r="G85" t="s">
        <v>127</v>
      </c>
      <c r="H85">
        <v>40.696656743180689</v>
      </c>
      <c r="K85" s="4" t="s">
        <v>353</v>
      </c>
      <c r="L85" s="34">
        <v>39.742502022589939</v>
      </c>
    </row>
    <row r="86" spans="1:12" x14ac:dyDescent="0.3">
      <c r="A86" t="s">
        <v>166</v>
      </c>
      <c r="B86">
        <v>0</v>
      </c>
      <c r="C86">
        <v>2030</v>
      </c>
      <c r="D86" t="s">
        <v>373</v>
      </c>
      <c r="E86" t="s">
        <v>374</v>
      </c>
      <c r="F86" t="s">
        <v>126</v>
      </c>
      <c r="G86" t="s">
        <v>127</v>
      </c>
      <c r="H86">
        <v>32.503490206209818</v>
      </c>
      <c r="K86" s="4" t="s">
        <v>355</v>
      </c>
      <c r="L86" s="34">
        <v>31.263291155712405</v>
      </c>
    </row>
    <row r="87" spans="1:12" x14ac:dyDescent="0.3">
      <c r="A87" t="s">
        <v>166</v>
      </c>
      <c r="B87">
        <v>0</v>
      </c>
      <c r="C87">
        <v>2030</v>
      </c>
      <c r="D87" t="s">
        <v>375</v>
      </c>
      <c r="E87" t="s">
        <v>376</v>
      </c>
      <c r="F87" t="s">
        <v>126</v>
      </c>
      <c r="G87" t="s">
        <v>127</v>
      </c>
      <c r="H87">
        <v>37.86303273525612</v>
      </c>
      <c r="K87" s="4" t="s">
        <v>357</v>
      </c>
      <c r="L87" s="34">
        <v>32.858720254629262</v>
      </c>
    </row>
    <row r="88" spans="1:12" x14ac:dyDescent="0.3">
      <c r="A88" t="s">
        <v>166</v>
      </c>
      <c r="B88">
        <v>0</v>
      </c>
      <c r="C88">
        <v>2030</v>
      </c>
      <c r="D88" t="s">
        <v>377</v>
      </c>
      <c r="E88" t="s">
        <v>378</v>
      </c>
      <c r="F88" t="s">
        <v>126</v>
      </c>
      <c r="G88" t="s">
        <v>127</v>
      </c>
      <c r="H88">
        <v>38.817072820435499</v>
      </c>
      <c r="K88" s="4" t="s">
        <v>359</v>
      </c>
      <c r="L88" s="34">
        <v>38.69489471410661</v>
      </c>
    </row>
    <row r="89" spans="1:12" x14ac:dyDescent="0.3">
      <c r="A89" t="s">
        <v>166</v>
      </c>
      <c r="B89">
        <v>0</v>
      </c>
      <c r="C89">
        <v>2030</v>
      </c>
      <c r="D89" t="s">
        <v>379</v>
      </c>
      <c r="E89" t="s">
        <v>380</v>
      </c>
      <c r="F89" t="s">
        <v>126</v>
      </c>
      <c r="G89" t="s">
        <v>127</v>
      </c>
      <c r="H89">
        <v>39.371942519446819</v>
      </c>
      <c r="K89" s="4" t="s">
        <v>361</v>
      </c>
      <c r="L89" s="34">
        <v>39.3244769447506</v>
      </c>
    </row>
    <row r="90" spans="1:12" x14ac:dyDescent="0.3">
      <c r="A90" t="s">
        <v>166</v>
      </c>
      <c r="B90">
        <v>0</v>
      </c>
      <c r="C90">
        <v>2030</v>
      </c>
      <c r="D90" t="s">
        <v>381</v>
      </c>
      <c r="E90" t="s">
        <v>382</v>
      </c>
      <c r="F90" t="s">
        <v>126</v>
      </c>
      <c r="G90" t="s">
        <v>127</v>
      </c>
      <c r="H90">
        <v>39.778493674362032</v>
      </c>
      <c r="K90" s="4" t="s">
        <v>363</v>
      </c>
      <c r="L90" s="34">
        <v>39.080431505007638</v>
      </c>
    </row>
    <row r="91" spans="1:12" x14ac:dyDescent="0.3">
      <c r="A91" t="s">
        <v>166</v>
      </c>
      <c r="B91">
        <v>0</v>
      </c>
      <c r="C91">
        <v>2030</v>
      </c>
      <c r="D91" t="s">
        <v>383</v>
      </c>
      <c r="E91" t="s">
        <v>384</v>
      </c>
      <c r="F91" t="s">
        <v>126</v>
      </c>
      <c r="G91" t="s">
        <v>127</v>
      </c>
      <c r="H91">
        <v>40.144513703040722</v>
      </c>
      <c r="K91" s="4" t="s">
        <v>365</v>
      </c>
      <c r="L91" s="34">
        <v>39.090193063288893</v>
      </c>
    </row>
    <row r="92" spans="1:12" x14ac:dyDescent="0.3">
      <c r="A92" t="s">
        <v>166</v>
      </c>
      <c r="B92">
        <v>0</v>
      </c>
      <c r="C92">
        <v>2030</v>
      </c>
      <c r="D92" t="s">
        <v>385</v>
      </c>
      <c r="E92" t="s">
        <v>386</v>
      </c>
      <c r="F92" t="s">
        <v>126</v>
      </c>
      <c r="G92" t="s">
        <v>127</v>
      </c>
      <c r="H92">
        <v>40.654725927624682</v>
      </c>
      <c r="K92" s="4" t="s">
        <v>367</v>
      </c>
      <c r="L92" s="34">
        <v>39.849151551874115</v>
      </c>
    </row>
    <row r="93" spans="1:12" x14ac:dyDescent="0.3">
      <c r="A93" t="s">
        <v>166</v>
      </c>
      <c r="B93">
        <v>0</v>
      </c>
      <c r="C93">
        <v>2030</v>
      </c>
      <c r="D93" t="s">
        <v>55</v>
      </c>
      <c r="E93" t="s">
        <v>56</v>
      </c>
      <c r="F93" t="s">
        <v>126</v>
      </c>
      <c r="G93" t="s">
        <v>127</v>
      </c>
      <c r="H93">
        <v>37.451256284309565</v>
      </c>
      <c r="K93" s="4" t="s">
        <v>369</v>
      </c>
      <c r="L93" s="34">
        <v>40.152210553995424</v>
      </c>
    </row>
    <row r="94" spans="1:12" x14ac:dyDescent="0.3">
      <c r="A94" t="s">
        <v>166</v>
      </c>
      <c r="B94">
        <v>0</v>
      </c>
      <c r="C94">
        <v>2030</v>
      </c>
      <c r="D94" t="s">
        <v>387</v>
      </c>
      <c r="E94" t="s">
        <v>388</v>
      </c>
      <c r="F94" t="s">
        <v>126</v>
      </c>
      <c r="G94" t="s">
        <v>127</v>
      </c>
      <c r="H94">
        <v>45.789853141095399</v>
      </c>
      <c r="K94" s="4" t="s">
        <v>371</v>
      </c>
      <c r="L94" s="34">
        <v>40.696656743180689</v>
      </c>
    </row>
    <row r="95" spans="1:12" x14ac:dyDescent="0.3">
      <c r="A95" t="s">
        <v>166</v>
      </c>
      <c r="B95">
        <v>0</v>
      </c>
      <c r="C95">
        <v>2030</v>
      </c>
      <c r="D95" t="s">
        <v>389</v>
      </c>
      <c r="E95" t="s">
        <v>390</v>
      </c>
      <c r="F95" t="s">
        <v>126</v>
      </c>
      <c r="G95" t="s">
        <v>127</v>
      </c>
      <c r="H95">
        <v>40.223335498804396</v>
      </c>
      <c r="K95" s="4" t="s">
        <v>374</v>
      </c>
      <c r="L95" s="34">
        <v>32.503490206209818</v>
      </c>
    </row>
    <row r="96" spans="1:12" x14ac:dyDescent="0.3">
      <c r="A96" t="s">
        <v>166</v>
      </c>
      <c r="B96">
        <v>0</v>
      </c>
      <c r="C96">
        <v>2040</v>
      </c>
      <c r="D96" t="s">
        <v>167</v>
      </c>
      <c r="E96" t="s">
        <v>168</v>
      </c>
      <c r="F96" t="s">
        <v>126</v>
      </c>
      <c r="G96" t="s">
        <v>127</v>
      </c>
      <c r="H96">
        <v>35.515908999456556</v>
      </c>
      <c r="K96" s="4" t="s">
        <v>376</v>
      </c>
      <c r="L96" s="34">
        <v>37.86303273525612</v>
      </c>
    </row>
    <row r="97" spans="1:12" x14ac:dyDescent="0.3">
      <c r="A97" t="s">
        <v>166</v>
      </c>
      <c r="B97">
        <v>0</v>
      </c>
      <c r="C97">
        <v>2040</v>
      </c>
      <c r="D97" t="s">
        <v>167</v>
      </c>
      <c r="E97" t="s">
        <v>183</v>
      </c>
      <c r="F97" t="s">
        <v>126</v>
      </c>
      <c r="G97" t="s">
        <v>127</v>
      </c>
      <c r="H97">
        <v>35.986364947180064</v>
      </c>
      <c r="K97" s="4" t="s">
        <v>378</v>
      </c>
      <c r="L97" s="34">
        <v>38.817072820435499</v>
      </c>
    </row>
    <row r="98" spans="1:12" x14ac:dyDescent="0.3">
      <c r="A98" t="s">
        <v>166</v>
      </c>
      <c r="B98">
        <v>0</v>
      </c>
      <c r="C98">
        <v>2040</v>
      </c>
      <c r="D98" t="s">
        <v>167</v>
      </c>
      <c r="E98" t="s">
        <v>187</v>
      </c>
      <c r="F98" t="s">
        <v>126</v>
      </c>
      <c r="G98" t="s">
        <v>127</v>
      </c>
      <c r="H98">
        <v>32.717185858901559</v>
      </c>
      <c r="K98" s="4" t="s">
        <v>380</v>
      </c>
      <c r="L98" s="34">
        <v>39.371942519446819</v>
      </c>
    </row>
    <row r="99" spans="1:12" x14ac:dyDescent="0.3">
      <c r="A99" t="s">
        <v>166</v>
      </c>
      <c r="B99">
        <v>0</v>
      </c>
      <c r="C99">
        <v>2040</v>
      </c>
      <c r="D99" t="s">
        <v>167</v>
      </c>
      <c r="E99" t="s">
        <v>191</v>
      </c>
      <c r="F99" t="s">
        <v>126</v>
      </c>
      <c r="G99" t="s">
        <v>127</v>
      </c>
      <c r="H99">
        <v>33.784190270095472</v>
      </c>
      <c r="K99" s="4" t="s">
        <v>382</v>
      </c>
      <c r="L99" s="34">
        <v>39.778493674362032</v>
      </c>
    </row>
    <row r="100" spans="1:12" x14ac:dyDescent="0.3">
      <c r="A100" t="s">
        <v>166</v>
      </c>
      <c r="B100">
        <v>0</v>
      </c>
      <c r="C100">
        <v>2040</v>
      </c>
      <c r="D100" t="s">
        <v>167</v>
      </c>
      <c r="E100" t="s">
        <v>194</v>
      </c>
      <c r="F100" t="s">
        <v>126</v>
      </c>
      <c r="G100" t="s">
        <v>127</v>
      </c>
      <c r="H100">
        <v>33.083861117686048</v>
      </c>
      <c r="K100" s="4" t="s">
        <v>384</v>
      </c>
      <c r="L100" s="34">
        <v>40.144513703040722</v>
      </c>
    </row>
    <row r="101" spans="1:12" x14ac:dyDescent="0.3">
      <c r="A101" t="s">
        <v>166</v>
      </c>
      <c r="B101">
        <v>0</v>
      </c>
      <c r="C101">
        <v>2040</v>
      </c>
      <c r="D101" t="s">
        <v>197</v>
      </c>
      <c r="E101" t="s">
        <v>198</v>
      </c>
      <c r="F101" t="s">
        <v>126</v>
      </c>
      <c r="G101" t="s">
        <v>127</v>
      </c>
      <c r="H101">
        <v>35.515253590408065</v>
      </c>
      <c r="K101" s="4" t="s">
        <v>386</v>
      </c>
      <c r="L101" s="34">
        <v>40.654725927624682</v>
      </c>
    </row>
    <row r="102" spans="1:12" x14ac:dyDescent="0.3">
      <c r="A102" t="s">
        <v>166</v>
      </c>
      <c r="B102">
        <v>0</v>
      </c>
      <c r="C102">
        <v>2040</v>
      </c>
      <c r="D102" t="s">
        <v>197</v>
      </c>
      <c r="E102" t="s">
        <v>231</v>
      </c>
      <c r="F102" t="s">
        <v>126</v>
      </c>
      <c r="G102" t="s">
        <v>127</v>
      </c>
      <c r="H102">
        <v>35.573926768043158</v>
      </c>
      <c r="K102" s="4" t="s">
        <v>388</v>
      </c>
      <c r="L102" s="34">
        <v>45.789853141095399</v>
      </c>
    </row>
    <row r="103" spans="1:12" x14ac:dyDescent="0.3">
      <c r="A103" t="s">
        <v>166</v>
      </c>
      <c r="B103">
        <v>0</v>
      </c>
      <c r="C103">
        <v>2040</v>
      </c>
      <c r="D103" t="s">
        <v>250</v>
      </c>
      <c r="E103" t="s">
        <v>251</v>
      </c>
      <c r="F103" t="s">
        <v>126</v>
      </c>
      <c r="G103" t="s">
        <v>127</v>
      </c>
      <c r="H103">
        <v>38.12955717535764</v>
      </c>
      <c r="K103" s="4" t="s">
        <v>390</v>
      </c>
      <c r="L103" s="34">
        <v>40.223335498804396</v>
      </c>
    </row>
    <row r="104" spans="1:12" x14ac:dyDescent="0.3">
      <c r="A104" t="s">
        <v>166</v>
      </c>
      <c r="B104">
        <v>0</v>
      </c>
      <c r="C104">
        <v>2040</v>
      </c>
      <c r="D104" t="s">
        <v>255</v>
      </c>
      <c r="E104" t="s">
        <v>256</v>
      </c>
      <c r="F104" t="s">
        <v>126</v>
      </c>
      <c r="G104" t="s">
        <v>127</v>
      </c>
      <c r="H104">
        <v>36.741406104881378</v>
      </c>
      <c r="K104" s="3">
        <v>2040</v>
      </c>
      <c r="L104" s="34">
        <v>37.007559420047173</v>
      </c>
    </row>
    <row r="105" spans="1:12" x14ac:dyDescent="0.3">
      <c r="A105" t="s">
        <v>166</v>
      </c>
      <c r="B105">
        <v>0</v>
      </c>
      <c r="C105">
        <v>2040</v>
      </c>
      <c r="D105" t="s">
        <v>255</v>
      </c>
      <c r="E105" t="s">
        <v>273</v>
      </c>
      <c r="F105" t="s">
        <v>126</v>
      </c>
      <c r="G105" t="s">
        <v>127</v>
      </c>
      <c r="H105">
        <v>37.138702127114058</v>
      </c>
      <c r="K105" s="4" t="s">
        <v>56</v>
      </c>
      <c r="L105" s="34">
        <v>35.924420368985359</v>
      </c>
    </row>
    <row r="106" spans="1:12" x14ac:dyDescent="0.3">
      <c r="A106" t="s">
        <v>166</v>
      </c>
      <c r="B106">
        <v>0</v>
      </c>
      <c r="C106">
        <v>2040</v>
      </c>
      <c r="D106" t="s">
        <v>255</v>
      </c>
      <c r="E106" t="s">
        <v>277</v>
      </c>
      <c r="F106" t="s">
        <v>126</v>
      </c>
      <c r="G106" t="s">
        <v>127</v>
      </c>
      <c r="H106">
        <v>38.015122441299866</v>
      </c>
      <c r="K106" s="4" t="s">
        <v>198</v>
      </c>
      <c r="L106" s="34">
        <v>35.515253590408065</v>
      </c>
    </row>
    <row r="107" spans="1:12" x14ac:dyDescent="0.3">
      <c r="A107" t="s">
        <v>166</v>
      </c>
      <c r="B107">
        <v>0</v>
      </c>
      <c r="C107">
        <v>2040</v>
      </c>
      <c r="D107" t="s">
        <v>255</v>
      </c>
      <c r="E107" t="s">
        <v>289</v>
      </c>
      <c r="F107" t="s">
        <v>126</v>
      </c>
      <c r="G107" t="s">
        <v>127</v>
      </c>
      <c r="H107">
        <v>37.179567742369528</v>
      </c>
      <c r="K107" s="4" t="s">
        <v>231</v>
      </c>
      <c r="L107" s="34">
        <v>35.573926768043158</v>
      </c>
    </row>
    <row r="108" spans="1:12" x14ac:dyDescent="0.3">
      <c r="A108" t="s">
        <v>166</v>
      </c>
      <c r="B108">
        <v>0</v>
      </c>
      <c r="C108">
        <v>2040</v>
      </c>
      <c r="D108" t="s">
        <v>305</v>
      </c>
      <c r="E108" t="s">
        <v>306</v>
      </c>
      <c r="F108" t="s">
        <v>126</v>
      </c>
      <c r="G108" t="s">
        <v>127</v>
      </c>
      <c r="H108">
        <v>37.807093057928384</v>
      </c>
      <c r="K108" s="4" t="s">
        <v>168</v>
      </c>
      <c r="L108" s="34">
        <v>35.515908999456556</v>
      </c>
    </row>
    <row r="109" spans="1:12" x14ac:dyDescent="0.3">
      <c r="A109" t="s">
        <v>166</v>
      </c>
      <c r="B109">
        <v>0</v>
      </c>
      <c r="C109">
        <v>2040</v>
      </c>
      <c r="D109" t="s">
        <v>309</v>
      </c>
      <c r="E109" t="s">
        <v>310</v>
      </c>
      <c r="F109" t="s">
        <v>126</v>
      </c>
      <c r="G109" t="s">
        <v>127</v>
      </c>
      <c r="H109">
        <v>34.135506540757135</v>
      </c>
      <c r="K109" s="4" t="s">
        <v>183</v>
      </c>
      <c r="L109" s="34">
        <v>35.986364947180064</v>
      </c>
    </row>
    <row r="110" spans="1:12" x14ac:dyDescent="0.3">
      <c r="A110" t="s">
        <v>166</v>
      </c>
      <c r="B110">
        <v>0</v>
      </c>
      <c r="C110">
        <v>2040</v>
      </c>
      <c r="D110" t="s">
        <v>309</v>
      </c>
      <c r="E110" t="s">
        <v>311</v>
      </c>
      <c r="F110" t="s">
        <v>126</v>
      </c>
      <c r="G110" t="s">
        <v>127</v>
      </c>
      <c r="H110">
        <v>34.612821194364997</v>
      </c>
      <c r="K110" s="4" t="s">
        <v>187</v>
      </c>
      <c r="L110" s="34">
        <v>32.717185858901559</v>
      </c>
    </row>
    <row r="111" spans="1:12" x14ac:dyDescent="0.3">
      <c r="A111" t="s">
        <v>166</v>
      </c>
      <c r="B111">
        <v>0</v>
      </c>
      <c r="C111">
        <v>2040</v>
      </c>
      <c r="D111" t="s">
        <v>309</v>
      </c>
      <c r="E111" t="s">
        <v>312</v>
      </c>
      <c r="F111" t="s">
        <v>126</v>
      </c>
      <c r="G111" t="s">
        <v>127</v>
      </c>
      <c r="H111">
        <v>37.633799398959219</v>
      </c>
      <c r="K111" s="4" t="s">
        <v>191</v>
      </c>
      <c r="L111" s="34">
        <v>33.784190270095472</v>
      </c>
    </row>
    <row r="112" spans="1:12" x14ac:dyDescent="0.3">
      <c r="A112" t="s">
        <v>166</v>
      </c>
      <c r="B112">
        <v>0</v>
      </c>
      <c r="C112">
        <v>2040</v>
      </c>
      <c r="D112" t="s">
        <v>309</v>
      </c>
      <c r="E112" t="s">
        <v>313</v>
      </c>
      <c r="F112" t="s">
        <v>126</v>
      </c>
      <c r="G112" t="s">
        <v>127</v>
      </c>
      <c r="H112">
        <v>37.495698802150265</v>
      </c>
      <c r="K112" s="4" t="s">
        <v>194</v>
      </c>
      <c r="L112" s="34">
        <v>33.083861117686048</v>
      </c>
    </row>
    <row r="113" spans="1:12" x14ac:dyDescent="0.3">
      <c r="A113" t="s">
        <v>166</v>
      </c>
      <c r="B113">
        <v>0</v>
      </c>
      <c r="C113">
        <v>2040</v>
      </c>
      <c r="D113" t="s">
        <v>314</v>
      </c>
      <c r="E113" t="s">
        <v>315</v>
      </c>
      <c r="F113" t="s">
        <v>126</v>
      </c>
      <c r="G113" t="s">
        <v>127</v>
      </c>
      <c r="H113">
        <v>35.15879020802457</v>
      </c>
      <c r="K113" s="4" t="s">
        <v>251</v>
      </c>
      <c r="L113" s="34">
        <v>38.12955717535764</v>
      </c>
    </row>
    <row r="114" spans="1:12" x14ac:dyDescent="0.3">
      <c r="A114" t="s">
        <v>166</v>
      </c>
      <c r="B114">
        <v>0</v>
      </c>
      <c r="C114">
        <v>2040</v>
      </c>
      <c r="D114" t="s">
        <v>328</v>
      </c>
      <c r="E114" t="s">
        <v>329</v>
      </c>
      <c r="F114" t="s">
        <v>126</v>
      </c>
      <c r="G114" t="s">
        <v>127</v>
      </c>
      <c r="H114">
        <v>37.216466239764195</v>
      </c>
      <c r="K114" s="4" t="s">
        <v>256</v>
      </c>
      <c r="L114" s="34">
        <v>36.741406104881378</v>
      </c>
    </row>
    <row r="115" spans="1:12" x14ac:dyDescent="0.3">
      <c r="A115" t="s">
        <v>166</v>
      </c>
      <c r="B115">
        <v>0</v>
      </c>
      <c r="C115">
        <v>2040</v>
      </c>
      <c r="D115" t="s">
        <v>330</v>
      </c>
      <c r="E115" t="s">
        <v>331</v>
      </c>
      <c r="F115" t="s">
        <v>126</v>
      </c>
      <c r="G115" t="s">
        <v>127</v>
      </c>
      <c r="H115">
        <v>36.421565211235439</v>
      </c>
      <c r="K115" s="4" t="s">
        <v>273</v>
      </c>
      <c r="L115" s="34">
        <v>37.138702127114058</v>
      </c>
    </row>
    <row r="116" spans="1:12" x14ac:dyDescent="0.3">
      <c r="A116" t="s">
        <v>166</v>
      </c>
      <c r="B116">
        <v>0</v>
      </c>
      <c r="C116">
        <v>2040</v>
      </c>
      <c r="D116" t="s">
        <v>332</v>
      </c>
      <c r="E116" t="s">
        <v>333</v>
      </c>
      <c r="F116" t="s">
        <v>126</v>
      </c>
      <c r="G116" t="s">
        <v>127</v>
      </c>
      <c r="H116">
        <v>35.440547725867788</v>
      </c>
      <c r="K116" s="4" t="s">
        <v>277</v>
      </c>
      <c r="L116" s="34">
        <v>38.015122441299866</v>
      </c>
    </row>
    <row r="117" spans="1:12" x14ac:dyDescent="0.3">
      <c r="A117" t="s">
        <v>166</v>
      </c>
      <c r="B117">
        <v>0</v>
      </c>
      <c r="C117">
        <v>2040</v>
      </c>
      <c r="D117" t="s">
        <v>336</v>
      </c>
      <c r="E117" t="s">
        <v>337</v>
      </c>
      <c r="F117" t="s">
        <v>126</v>
      </c>
      <c r="G117" t="s">
        <v>127</v>
      </c>
      <c r="H117">
        <v>36.901116817537407</v>
      </c>
      <c r="K117" s="4" t="s">
        <v>289</v>
      </c>
      <c r="L117" s="34">
        <v>37.179567742369528</v>
      </c>
    </row>
    <row r="118" spans="1:12" x14ac:dyDescent="0.3">
      <c r="A118" t="s">
        <v>166</v>
      </c>
      <c r="B118">
        <v>0</v>
      </c>
      <c r="C118">
        <v>2040</v>
      </c>
      <c r="D118" t="s">
        <v>338</v>
      </c>
      <c r="E118" t="s">
        <v>339</v>
      </c>
      <c r="F118" t="s">
        <v>126</v>
      </c>
      <c r="G118" t="s">
        <v>127</v>
      </c>
      <c r="H118">
        <v>37.744881157432722</v>
      </c>
      <c r="K118" s="4" t="s">
        <v>306</v>
      </c>
      <c r="L118" s="34">
        <v>37.807093057928384</v>
      </c>
    </row>
    <row r="119" spans="1:12" x14ac:dyDescent="0.3">
      <c r="A119" t="s">
        <v>166</v>
      </c>
      <c r="B119">
        <v>0</v>
      </c>
      <c r="C119">
        <v>2040</v>
      </c>
      <c r="D119" t="s">
        <v>340</v>
      </c>
      <c r="E119" t="s">
        <v>341</v>
      </c>
      <c r="F119" t="s">
        <v>126</v>
      </c>
      <c r="G119" t="s">
        <v>127</v>
      </c>
      <c r="H119">
        <v>35.621675994410225</v>
      </c>
      <c r="K119" s="4" t="s">
        <v>310</v>
      </c>
      <c r="L119" s="34">
        <v>34.135506540757135</v>
      </c>
    </row>
    <row r="120" spans="1:12" x14ac:dyDescent="0.3">
      <c r="A120" t="s">
        <v>166</v>
      </c>
      <c r="B120">
        <v>0</v>
      </c>
      <c r="C120">
        <v>2040</v>
      </c>
      <c r="D120" t="s">
        <v>346</v>
      </c>
      <c r="E120" t="s">
        <v>347</v>
      </c>
      <c r="F120" t="s">
        <v>126</v>
      </c>
      <c r="G120" t="s">
        <v>127</v>
      </c>
      <c r="H120">
        <v>39.278395334553132</v>
      </c>
      <c r="K120" s="4" t="s">
        <v>311</v>
      </c>
      <c r="L120" s="34">
        <v>34.612821194364997</v>
      </c>
    </row>
    <row r="121" spans="1:12" x14ac:dyDescent="0.3">
      <c r="A121" t="s">
        <v>166</v>
      </c>
      <c r="B121">
        <v>0</v>
      </c>
      <c r="C121">
        <v>2040</v>
      </c>
      <c r="D121" t="s">
        <v>348</v>
      </c>
      <c r="E121" t="s">
        <v>349</v>
      </c>
      <c r="F121" t="s">
        <v>126</v>
      </c>
      <c r="G121" t="s">
        <v>127</v>
      </c>
      <c r="H121">
        <v>36.965950858542627</v>
      </c>
      <c r="K121" s="4" t="s">
        <v>312</v>
      </c>
      <c r="L121" s="34">
        <v>37.633799398959219</v>
      </c>
    </row>
    <row r="122" spans="1:12" x14ac:dyDescent="0.3">
      <c r="A122" t="s">
        <v>166</v>
      </c>
      <c r="B122">
        <v>0</v>
      </c>
      <c r="C122">
        <v>2040</v>
      </c>
      <c r="D122" t="s">
        <v>350</v>
      </c>
      <c r="E122" t="s">
        <v>351</v>
      </c>
      <c r="F122" t="s">
        <v>126</v>
      </c>
      <c r="G122" t="s">
        <v>127</v>
      </c>
      <c r="H122">
        <v>37.722845972665539</v>
      </c>
      <c r="K122" s="4" t="s">
        <v>313</v>
      </c>
      <c r="L122" s="34">
        <v>37.495698802150265</v>
      </c>
    </row>
    <row r="123" spans="1:12" x14ac:dyDescent="0.3">
      <c r="A123" t="s">
        <v>166</v>
      </c>
      <c r="B123">
        <v>0</v>
      </c>
      <c r="C123">
        <v>2040</v>
      </c>
      <c r="D123" t="s">
        <v>352</v>
      </c>
      <c r="E123" t="s">
        <v>353</v>
      </c>
      <c r="F123" t="s">
        <v>126</v>
      </c>
      <c r="G123" t="s">
        <v>127</v>
      </c>
      <c r="H123">
        <v>38.095942789777276</v>
      </c>
      <c r="K123" s="4" t="s">
        <v>315</v>
      </c>
      <c r="L123" s="34">
        <v>35.15879020802457</v>
      </c>
    </row>
    <row r="124" spans="1:12" x14ac:dyDescent="0.3">
      <c r="A124" t="s">
        <v>166</v>
      </c>
      <c r="B124">
        <v>0</v>
      </c>
      <c r="C124">
        <v>2040</v>
      </c>
      <c r="D124" t="s">
        <v>354</v>
      </c>
      <c r="E124" t="s">
        <v>355</v>
      </c>
      <c r="F124" t="s">
        <v>126</v>
      </c>
      <c r="G124" t="s">
        <v>127</v>
      </c>
      <c r="H124">
        <v>35.552248122536511</v>
      </c>
      <c r="K124" s="4" t="s">
        <v>329</v>
      </c>
      <c r="L124" s="34">
        <v>37.216466239764195</v>
      </c>
    </row>
    <row r="125" spans="1:12" x14ac:dyDescent="0.3">
      <c r="A125" t="s">
        <v>166</v>
      </c>
      <c r="B125">
        <v>0</v>
      </c>
      <c r="C125">
        <v>2040</v>
      </c>
      <c r="D125" t="s">
        <v>356</v>
      </c>
      <c r="E125" t="s">
        <v>357</v>
      </c>
      <c r="F125" t="s">
        <v>126</v>
      </c>
      <c r="G125" t="s">
        <v>127</v>
      </c>
      <c r="H125">
        <v>35.73149834758101</v>
      </c>
      <c r="K125" s="4" t="s">
        <v>331</v>
      </c>
      <c r="L125" s="34">
        <v>36.421565211235439</v>
      </c>
    </row>
    <row r="126" spans="1:12" x14ac:dyDescent="0.3">
      <c r="A126" t="s">
        <v>166</v>
      </c>
      <c r="B126">
        <v>0</v>
      </c>
      <c r="C126">
        <v>2040</v>
      </c>
      <c r="D126" t="s">
        <v>358</v>
      </c>
      <c r="E126" t="s">
        <v>359</v>
      </c>
      <c r="F126" t="s">
        <v>126</v>
      </c>
      <c r="G126" t="s">
        <v>127</v>
      </c>
      <c r="H126">
        <v>37.530957667688654</v>
      </c>
      <c r="K126" s="4" t="s">
        <v>333</v>
      </c>
      <c r="L126" s="34">
        <v>35.440547725867788</v>
      </c>
    </row>
    <row r="127" spans="1:12" x14ac:dyDescent="0.3">
      <c r="A127" t="s">
        <v>166</v>
      </c>
      <c r="B127">
        <v>0</v>
      </c>
      <c r="C127">
        <v>2040</v>
      </c>
      <c r="D127" t="s">
        <v>360</v>
      </c>
      <c r="E127" t="s">
        <v>361</v>
      </c>
      <c r="F127" t="s">
        <v>126</v>
      </c>
      <c r="G127" t="s">
        <v>127</v>
      </c>
      <c r="H127">
        <v>38.519429288582359</v>
      </c>
      <c r="K127" s="4" t="s">
        <v>337</v>
      </c>
      <c r="L127" s="34">
        <v>36.901116817537407</v>
      </c>
    </row>
    <row r="128" spans="1:12" x14ac:dyDescent="0.3">
      <c r="A128" t="s">
        <v>166</v>
      </c>
      <c r="B128">
        <v>0</v>
      </c>
      <c r="C128">
        <v>2040</v>
      </c>
      <c r="D128" t="s">
        <v>362</v>
      </c>
      <c r="E128" t="s">
        <v>363</v>
      </c>
      <c r="F128" t="s">
        <v>126</v>
      </c>
      <c r="G128" t="s">
        <v>127</v>
      </c>
      <c r="H128">
        <v>38.981348613562389</v>
      </c>
      <c r="K128" s="4" t="s">
        <v>339</v>
      </c>
      <c r="L128" s="34">
        <v>37.744881157432722</v>
      </c>
    </row>
    <row r="129" spans="1:12" x14ac:dyDescent="0.3">
      <c r="A129" t="s">
        <v>166</v>
      </c>
      <c r="B129">
        <v>0</v>
      </c>
      <c r="C129">
        <v>2040</v>
      </c>
      <c r="D129" t="s">
        <v>364</v>
      </c>
      <c r="E129" t="s">
        <v>365</v>
      </c>
      <c r="F129" t="s">
        <v>126</v>
      </c>
      <c r="G129" t="s">
        <v>127</v>
      </c>
      <c r="H129">
        <v>38.376134089363958</v>
      </c>
      <c r="K129" s="4" t="s">
        <v>341</v>
      </c>
      <c r="L129" s="34">
        <v>35.621675994410225</v>
      </c>
    </row>
    <row r="130" spans="1:12" x14ac:dyDescent="0.3">
      <c r="A130" t="s">
        <v>166</v>
      </c>
      <c r="B130">
        <v>0</v>
      </c>
      <c r="C130">
        <v>2040</v>
      </c>
      <c r="D130" t="s">
        <v>366</v>
      </c>
      <c r="E130" t="s">
        <v>367</v>
      </c>
      <c r="F130" t="s">
        <v>126</v>
      </c>
      <c r="G130" t="s">
        <v>127</v>
      </c>
      <c r="H130">
        <v>38.198796484312787</v>
      </c>
      <c r="K130" s="4" t="s">
        <v>347</v>
      </c>
      <c r="L130" s="34">
        <v>39.278395334553132</v>
      </c>
    </row>
    <row r="131" spans="1:12" x14ac:dyDescent="0.3">
      <c r="A131" t="s">
        <v>166</v>
      </c>
      <c r="B131">
        <v>0</v>
      </c>
      <c r="C131">
        <v>2040</v>
      </c>
      <c r="D131" t="s">
        <v>368</v>
      </c>
      <c r="E131" t="s">
        <v>369</v>
      </c>
      <c r="F131" t="s">
        <v>126</v>
      </c>
      <c r="G131" t="s">
        <v>127</v>
      </c>
      <c r="H131">
        <v>37.86748009010126</v>
      </c>
      <c r="K131" s="4" t="s">
        <v>349</v>
      </c>
      <c r="L131" s="34">
        <v>36.965950858542627</v>
      </c>
    </row>
    <row r="132" spans="1:12" x14ac:dyDescent="0.3">
      <c r="A132" t="s">
        <v>166</v>
      </c>
      <c r="B132">
        <v>0</v>
      </c>
      <c r="C132">
        <v>2040</v>
      </c>
      <c r="D132" t="s">
        <v>370</v>
      </c>
      <c r="E132" t="s">
        <v>371</v>
      </c>
      <c r="F132" t="s">
        <v>126</v>
      </c>
      <c r="G132" t="s">
        <v>127</v>
      </c>
      <c r="H132">
        <v>36.75287399637282</v>
      </c>
      <c r="K132" s="4" t="s">
        <v>351</v>
      </c>
      <c r="L132" s="34">
        <v>37.722845972665539</v>
      </c>
    </row>
    <row r="133" spans="1:12" x14ac:dyDescent="0.3">
      <c r="A133" t="s">
        <v>166</v>
      </c>
      <c r="B133">
        <v>0</v>
      </c>
      <c r="C133">
        <v>2040</v>
      </c>
      <c r="D133" t="s">
        <v>373</v>
      </c>
      <c r="E133" t="s">
        <v>374</v>
      </c>
      <c r="F133" t="s">
        <v>126</v>
      </c>
      <c r="G133" t="s">
        <v>127</v>
      </c>
      <c r="H133">
        <v>34.141491765733001</v>
      </c>
      <c r="K133" s="4" t="s">
        <v>353</v>
      </c>
      <c r="L133" s="34">
        <v>38.095942789777276</v>
      </c>
    </row>
    <row r="134" spans="1:12" x14ac:dyDescent="0.3">
      <c r="A134" t="s">
        <v>166</v>
      </c>
      <c r="B134">
        <v>0</v>
      </c>
      <c r="C134">
        <v>2040</v>
      </c>
      <c r="D134" t="s">
        <v>375</v>
      </c>
      <c r="E134" t="s">
        <v>376</v>
      </c>
      <c r="F134" t="s">
        <v>126</v>
      </c>
      <c r="G134" t="s">
        <v>127</v>
      </c>
      <c r="H134">
        <v>37.796987730256888</v>
      </c>
      <c r="K134" s="4" t="s">
        <v>355</v>
      </c>
      <c r="L134" s="34">
        <v>35.552248122536511</v>
      </c>
    </row>
    <row r="135" spans="1:12" x14ac:dyDescent="0.3">
      <c r="A135" t="s">
        <v>166</v>
      </c>
      <c r="B135">
        <v>0</v>
      </c>
      <c r="C135">
        <v>2040</v>
      </c>
      <c r="D135" t="s">
        <v>377</v>
      </c>
      <c r="E135" t="s">
        <v>378</v>
      </c>
      <c r="F135" t="s">
        <v>126</v>
      </c>
      <c r="G135" t="s">
        <v>127</v>
      </c>
      <c r="H135">
        <v>38.078787200146621</v>
      </c>
      <c r="K135" s="4" t="s">
        <v>357</v>
      </c>
      <c r="L135" s="34">
        <v>35.73149834758101</v>
      </c>
    </row>
    <row r="136" spans="1:12" x14ac:dyDescent="0.3">
      <c r="A136" t="s">
        <v>166</v>
      </c>
      <c r="B136">
        <v>0</v>
      </c>
      <c r="C136">
        <v>2040</v>
      </c>
      <c r="D136" t="s">
        <v>379</v>
      </c>
      <c r="E136" t="s">
        <v>380</v>
      </c>
      <c r="F136" t="s">
        <v>126</v>
      </c>
      <c r="G136" t="s">
        <v>127</v>
      </c>
      <c r="H136">
        <v>39.302648678212641</v>
      </c>
      <c r="K136" s="4" t="s">
        <v>359</v>
      </c>
      <c r="L136" s="34">
        <v>37.530957667688654</v>
      </c>
    </row>
    <row r="137" spans="1:12" x14ac:dyDescent="0.3">
      <c r="A137" t="s">
        <v>166</v>
      </c>
      <c r="B137">
        <v>0</v>
      </c>
      <c r="C137">
        <v>2040</v>
      </c>
      <c r="D137" t="s">
        <v>381</v>
      </c>
      <c r="E137" t="s">
        <v>382</v>
      </c>
      <c r="F137" t="s">
        <v>126</v>
      </c>
      <c r="G137" t="s">
        <v>127</v>
      </c>
      <c r="H137">
        <v>38.273023945295343</v>
      </c>
      <c r="K137" s="4" t="s">
        <v>361</v>
      </c>
      <c r="L137" s="34">
        <v>38.519429288582359</v>
      </c>
    </row>
    <row r="138" spans="1:12" x14ac:dyDescent="0.3">
      <c r="A138" t="s">
        <v>166</v>
      </c>
      <c r="B138">
        <v>0</v>
      </c>
      <c r="C138">
        <v>2040</v>
      </c>
      <c r="D138" t="s">
        <v>383</v>
      </c>
      <c r="E138" t="s">
        <v>384</v>
      </c>
      <c r="F138" t="s">
        <v>126</v>
      </c>
      <c r="G138" t="s">
        <v>127</v>
      </c>
      <c r="H138">
        <v>39.302638745940932</v>
      </c>
      <c r="K138" s="4" t="s">
        <v>363</v>
      </c>
      <c r="L138" s="34">
        <v>38.981348613562389</v>
      </c>
    </row>
    <row r="139" spans="1:12" x14ac:dyDescent="0.3">
      <c r="A139" t="s">
        <v>166</v>
      </c>
      <c r="B139">
        <v>0</v>
      </c>
      <c r="C139">
        <v>2040</v>
      </c>
      <c r="D139" t="s">
        <v>385</v>
      </c>
      <c r="E139" t="s">
        <v>386</v>
      </c>
      <c r="F139" t="s">
        <v>126</v>
      </c>
      <c r="G139" t="s">
        <v>127</v>
      </c>
      <c r="H139">
        <v>39.566272273257091</v>
      </c>
      <c r="K139" s="4" t="s">
        <v>365</v>
      </c>
      <c r="L139" s="34">
        <v>38.376134089363958</v>
      </c>
    </row>
    <row r="140" spans="1:12" x14ac:dyDescent="0.3">
      <c r="A140" t="s">
        <v>166</v>
      </c>
      <c r="B140">
        <v>0</v>
      </c>
      <c r="C140">
        <v>2040</v>
      </c>
      <c r="D140" t="s">
        <v>55</v>
      </c>
      <c r="E140" t="s">
        <v>56</v>
      </c>
      <c r="F140" t="s">
        <v>126</v>
      </c>
      <c r="G140" t="s">
        <v>127</v>
      </c>
      <c r="H140">
        <v>35.924420368985359</v>
      </c>
      <c r="K140" s="4" t="s">
        <v>367</v>
      </c>
      <c r="L140" s="34">
        <v>38.198796484312787</v>
      </c>
    </row>
    <row r="141" spans="1:12" x14ac:dyDescent="0.3">
      <c r="A141" t="s">
        <v>166</v>
      </c>
      <c r="B141">
        <v>0</v>
      </c>
      <c r="C141">
        <v>2040</v>
      </c>
      <c r="D141" t="s">
        <v>387</v>
      </c>
      <c r="E141" t="s">
        <v>388</v>
      </c>
      <c r="F141" t="s">
        <v>126</v>
      </c>
      <c r="G141" t="s">
        <v>127</v>
      </c>
      <c r="H141">
        <v>45.993004350986872</v>
      </c>
      <c r="K141" s="4" t="s">
        <v>369</v>
      </c>
      <c r="L141" s="34">
        <v>37.86748009010126</v>
      </c>
    </row>
    <row r="142" spans="1:12" x14ac:dyDescent="0.3">
      <c r="A142" t="s">
        <v>166</v>
      </c>
      <c r="B142">
        <v>0</v>
      </c>
      <c r="C142">
        <v>2040</v>
      </c>
      <c r="D142" t="s">
        <v>389</v>
      </c>
      <c r="E142" t="s">
        <v>390</v>
      </c>
      <c r="F142" t="s">
        <v>126</v>
      </c>
      <c r="G142" t="s">
        <v>127</v>
      </c>
      <c r="H142">
        <v>35.831106536536225</v>
      </c>
      <c r="K142" s="4" t="s">
        <v>371</v>
      </c>
      <c r="L142" s="34">
        <v>36.75287399637282</v>
      </c>
    </row>
    <row r="143" spans="1:12" x14ac:dyDescent="0.3">
      <c r="A143" t="s">
        <v>166</v>
      </c>
      <c r="B143">
        <v>0</v>
      </c>
      <c r="C143">
        <v>2050</v>
      </c>
      <c r="D143" t="s">
        <v>167</v>
      </c>
      <c r="E143" t="s">
        <v>168</v>
      </c>
      <c r="F143" t="s">
        <v>126</v>
      </c>
      <c r="G143" t="s">
        <v>127</v>
      </c>
      <c r="H143">
        <v>34.673754464866839</v>
      </c>
      <c r="K143" s="4" t="s">
        <v>374</v>
      </c>
      <c r="L143" s="34">
        <v>34.141491765733001</v>
      </c>
    </row>
    <row r="144" spans="1:12" x14ac:dyDescent="0.3">
      <c r="A144" t="s">
        <v>166</v>
      </c>
      <c r="B144">
        <v>0</v>
      </c>
      <c r="C144">
        <v>2050</v>
      </c>
      <c r="D144" t="s">
        <v>167</v>
      </c>
      <c r="E144" t="s">
        <v>183</v>
      </c>
      <c r="F144" t="s">
        <v>126</v>
      </c>
      <c r="G144" t="s">
        <v>127</v>
      </c>
      <c r="H144">
        <v>34.267649406659494</v>
      </c>
      <c r="K144" s="4" t="s">
        <v>376</v>
      </c>
      <c r="L144" s="34">
        <v>37.796987730256888</v>
      </c>
    </row>
    <row r="145" spans="1:12" x14ac:dyDescent="0.3">
      <c r="A145" t="s">
        <v>166</v>
      </c>
      <c r="B145">
        <v>0</v>
      </c>
      <c r="C145">
        <v>2050</v>
      </c>
      <c r="D145" t="s">
        <v>167</v>
      </c>
      <c r="E145" t="s">
        <v>187</v>
      </c>
      <c r="F145" t="s">
        <v>126</v>
      </c>
      <c r="G145" t="s">
        <v>127</v>
      </c>
      <c r="H145">
        <v>31.725297950138142</v>
      </c>
      <c r="K145" s="4" t="s">
        <v>378</v>
      </c>
      <c r="L145" s="34">
        <v>38.078787200146621</v>
      </c>
    </row>
    <row r="146" spans="1:12" x14ac:dyDescent="0.3">
      <c r="A146" t="s">
        <v>166</v>
      </c>
      <c r="B146">
        <v>0</v>
      </c>
      <c r="C146">
        <v>2050</v>
      </c>
      <c r="D146" t="s">
        <v>167</v>
      </c>
      <c r="E146" t="s">
        <v>191</v>
      </c>
      <c r="F146" t="s">
        <v>126</v>
      </c>
      <c r="G146" t="s">
        <v>127</v>
      </c>
      <c r="H146">
        <v>34.114183966057951</v>
      </c>
      <c r="K146" s="4" t="s">
        <v>380</v>
      </c>
      <c r="L146" s="34">
        <v>39.302648678212641</v>
      </c>
    </row>
    <row r="147" spans="1:12" x14ac:dyDescent="0.3">
      <c r="A147" t="s">
        <v>166</v>
      </c>
      <c r="B147">
        <v>0</v>
      </c>
      <c r="C147">
        <v>2050</v>
      </c>
      <c r="D147" t="s">
        <v>167</v>
      </c>
      <c r="E147" t="s">
        <v>194</v>
      </c>
      <c r="F147" t="s">
        <v>126</v>
      </c>
      <c r="G147" t="s">
        <v>127</v>
      </c>
      <c r="H147">
        <v>31.629344915807664</v>
      </c>
      <c r="K147" s="4" t="s">
        <v>382</v>
      </c>
      <c r="L147" s="34">
        <v>38.273023945295343</v>
      </c>
    </row>
    <row r="148" spans="1:12" x14ac:dyDescent="0.3">
      <c r="A148" t="s">
        <v>166</v>
      </c>
      <c r="B148">
        <v>0</v>
      </c>
      <c r="C148">
        <v>2050</v>
      </c>
      <c r="D148" t="s">
        <v>197</v>
      </c>
      <c r="E148" t="s">
        <v>198</v>
      </c>
      <c r="F148" t="s">
        <v>126</v>
      </c>
      <c r="G148" t="s">
        <v>127</v>
      </c>
      <c r="H148">
        <v>33.556229748949157</v>
      </c>
      <c r="K148" s="4" t="s">
        <v>384</v>
      </c>
      <c r="L148" s="34">
        <v>39.302638745940932</v>
      </c>
    </row>
    <row r="149" spans="1:12" x14ac:dyDescent="0.3">
      <c r="A149" t="s">
        <v>166</v>
      </c>
      <c r="B149">
        <v>0</v>
      </c>
      <c r="C149">
        <v>2050</v>
      </c>
      <c r="D149" t="s">
        <v>197</v>
      </c>
      <c r="E149" t="s">
        <v>231</v>
      </c>
      <c r="F149" t="s">
        <v>126</v>
      </c>
      <c r="G149" t="s">
        <v>127</v>
      </c>
      <c r="H149">
        <v>34.569578714425013</v>
      </c>
      <c r="K149" s="4" t="s">
        <v>386</v>
      </c>
      <c r="L149" s="34">
        <v>39.566272273257091</v>
      </c>
    </row>
    <row r="150" spans="1:12" x14ac:dyDescent="0.3">
      <c r="A150" t="s">
        <v>166</v>
      </c>
      <c r="B150">
        <v>0</v>
      </c>
      <c r="C150">
        <v>2050</v>
      </c>
      <c r="D150" t="s">
        <v>250</v>
      </c>
      <c r="E150" t="s">
        <v>251</v>
      </c>
      <c r="F150" t="s">
        <v>126</v>
      </c>
      <c r="G150" t="s">
        <v>127</v>
      </c>
      <c r="H150">
        <v>38.324268884702747</v>
      </c>
      <c r="K150" s="4" t="s">
        <v>388</v>
      </c>
      <c r="L150" s="34">
        <v>45.993004350986872</v>
      </c>
    </row>
    <row r="151" spans="1:12" x14ac:dyDescent="0.3">
      <c r="A151" t="s">
        <v>166</v>
      </c>
      <c r="B151">
        <v>0</v>
      </c>
      <c r="C151">
        <v>2050</v>
      </c>
      <c r="D151" t="s">
        <v>255</v>
      </c>
      <c r="E151" t="s">
        <v>256</v>
      </c>
      <c r="F151" t="s">
        <v>126</v>
      </c>
      <c r="G151" t="s">
        <v>127</v>
      </c>
      <c r="H151">
        <v>34.847371577052719</v>
      </c>
      <c r="K151" s="4" t="s">
        <v>390</v>
      </c>
      <c r="L151" s="34">
        <v>35.831106536536225</v>
      </c>
    </row>
    <row r="152" spans="1:12" x14ac:dyDescent="0.3">
      <c r="A152" t="s">
        <v>166</v>
      </c>
      <c r="B152">
        <v>0</v>
      </c>
      <c r="C152">
        <v>2050</v>
      </c>
      <c r="D152" t="s">
        <v>255</v>
      </c>
      <c r="E152" t="s">
        <v>273</v>
      </c>
      <c r="F152" t="s">
        <v>126</v>
      </c>
      <c r="G152" t="s">
        <v>127</v>
      </c>
      <c r="H152">
        <v>34.546469861521231</v>
      </c>
      <c r="K152" s="3">
        <v>2050</v>
      </c>
      <c r="L152" s="34">
        <v>35.034641098265084</v>
      </c>
    </row>
    <row r="153" spans="1:12" x14ac:dyDescent="0.3">
      <c r="A153" t="s">
        <v>166</v>
      </c>
      <c r="B153">
        <v>0</v>
      </c>
      <c r="C153">
        <v>2050</v>
      </c>
      <c r="D153" t="s">
        <v>255</v>
      </c>
      <c r="E153" t="s">
        <v>277</v>
      </c>
      <c r="F153" t="s">
        <v>126</v>
      </c>
      <c r="G153" t="s">
        <v>127</v>
      </c>
      <c r="H153">
        <v>35.212687012671417</v>
      </c>
      <c r="K153" s="4" t="s">
        <v>56</v>
      </c>
      <c r="L153" s="34">
        <v>33.066177153481007</v>
      </c>
    </row>
    <row r="154" spans="1:12" x14ac:dyDescent="0.3">
      <c r="A154" t="s">
        <v>166</v>
      </c>
      <c r="B154">
        <v>0</v>
      </c>
      <c r="C154">
        <v>2050</v>
      </c>
      <c r="D154" t="s">
        <v>255</v>
      </c>
      <c r="E154" t="s">
        <v>289</v>
      </c>
      <c r="F154" t="s">
        <v>126</v>
      </c>
      <c r="G154" t="s">
        <v>127</v>
      </c>
      <c r="H154">
        <v>34.379203629540363</v>
      </c>
      <c r="K154" s="4" t="s">
        <v>198</v>
      </c>
      <c r="L154" s="34">
        <v>33.556229748949157</v>
      </c>
    </row>
    <row r="155" spans="1:12" x14ac:dyDescent="0.3">
      <c r="A155" t="s">
        <v>166</v>
      </c>
      <c r="B155">
        <v>0</v>
      </c>
      <c r="C155">
        <v>2050</v>
      </c>
      <c r="D155" t="s">
        <v>305</v>
      </c>
      <c r="E155" t="s">
        <v>306</v>
      </c>
      <c r="F155" t="s">
        <v>126</v>
      </c>
      <c r="G155" t="s">
        <v>127</v>
      </c>
      <c r="H155">
        <v>34.811773650323005</v>
      </c>
      <c r="K155" s="4" t="s">
        <v>231</v>
      </c>
      <c r="L155" s="34">
        <v>34.569578714425013</v>
      </c>
    </row>
    <row r="156" spans="1:12" x14ac:dyDescent="0.3">
      <c r="A156" t="s">
        <v>166</v>
      </c>
      <c r="B156">
        <v>0</v>
      </c>
      <c r="C156">
        <v>2050</v>
      </c>
      <c r="D156" t="s">
        <v>309</v>
      </c>
      <c r="E156" t="s">
        <v>310</v>
      </c>
      <c r="F156" t="s">
        <v>126</v>
      </c>
      <c r="G156" t="s">
        <v>127</v>
      </c>
      <c r="H156">
        <v>34.520769076247795</v>
      </c>
      <c r="K156" s="4" t="s">
        <v>168</v>
      </c>
      <c r="L156" s="34">
        <v>34.673754464866839</v>
      </c>
    </row>
    <row r="157" spans="1:12" x14ac:dyDescent="0.3">
      <c r="A157" t="s">
        <v>166</v>
      </c>
      <c r="B157">
        <v>0</v>
      </c>
      <c r="C157">
        <v>2050</v>
      </c>
      <c r="D157" t="s">
        <v>309</v>
      </c>
      <c r="E157" t="s">
        <v>311</v>
      </c>
      <c r="F157" t="s">
        <v>126</v>
      </c>
      <c r="G157" t="s">
        <v>127</v>
      </c>
      <c r="H157">
        <v>34.943518246492822</v>
      </c>
      <c r="K157" s="4" t="s">
        <v>183</v>
      </c>
      <c r="L157" s="34">
        <v>34.267649406659494</v>
      </c>
    </row>
    <row r="158" spans="1:12" x14ac:dyDescent="0.3">
      <c r="A158" t="s">
        <v>166</v>
      </c>
      <c r="B158">
        <v>0</v>
      </c>
      <c r="C158">
        <v>2050</v>
      </c>
      <c r="D158" t="s">
        <v>309</v>
      </c>
      <c r="E158" t="s">
        <v>312</v>
      </c>
      <c r="F158" t="s">
        <v>126</v>
      </c>
      <c r="G158" t="s">
        <v>127</v>
      </c>
      <c r="H158">
        <v>37.508645245982159</v>
      </c>
      <c r="K158" s="4" t="s">
        <v>187</v>
      </c>
      <c r="L158" s="34">
        <v>31.725297950138142</v>
      </c>
    </row>
    <row r="159" spans="1:12" x14ac:dyDescent="0.3">
      <c r="A159" t="s">
        <v>166</v>
      </c>
      <c r="B159">
        <v>0</v>
      </c>
      <c r="C159">
        <v>2050</v>
      </c>
      <c r="D159" t="s">
        <v>309</v>
      </c>
      <c r="E159" t="s">
        <v>313</v>
      </c>
      <c r="F159" t="s">
        <v>126</v>
      </c>
      <c r="G159" t="s">
        <v>127</v>
      </c>
      <c r="H159">
        <v>36.806582010954486</v>
      </c>
      <c r="K159" s="4" t="s">
        <v>191</v>
      </c>
      <c r="L159" s="34">
        <v>34.114183966057951</v>
      </c>
    </row>
    <row r="160" spans="1:12" x14ac:dyDescent="0.3">
      <c r="A160" t="s">
        <v>166</v>
      </c>
      <c r="B160">
        <v>0</v>
      </c>
      <c r="C160">
        <v>2050</v>
      </c>
      <c r="D160" t="s">
        <v>314</v>
      </c>
      <c r="E160" t="s">
        <v>315</v>
      </c>
      <c r="F160" t="s">
        <v>126</v>
      </c>
      <c r="G160" t="s">
        <v>127</v>
      </c>
      <c r="H160">
        <v>32.693438640001183</v>
      </c>
      <c r="K160" s="4" t="s">
        <v>194</v>
      </c>
      <c r="L160" s="34">
        <v>31.629344915807664</v>
      </c>
    </row>
    <row r="161" spans="1:12" x14ac:dyDescent="0.3">
      <c r="A161" t="s">
        <v>166</v>
      </c>
      <c r="B161">
        <v>0</v>
      </c>
      <c r="C161">
        <v>2050</v>
      </c>
      <c r="D161" t="s">
        <v>328</v>
      </c>
      <c r="E161" t="s">
        <v>329</v>
      </c>
      <c r="F161" t="s">
        <v>126</v>
      </c>
      <c r="G161" t="s">
        <v>127</v>
      </c>
      <c r="H161">
        <v>36.067496244602523</v>
      </c>
      <c r="K161" s="4" t="s">
        <v>251</v>
      </c>
      <c r="L161" s="34">
        <v>38.324268884702747</v>
      </c>
    </row>
    <row r="162" spans="1:12" x14ac:dyDescent="0.3">
      <c r="A162" t="s">
        <v>166</v>
      </c>
      <c r="B162">
        <v>0</v>
      </c>
      <c r="C162">
        <v>2050</v>
      </c>
      <c r="D162" t="s">
        <v>330</v>
      </c>
      <c r="E162" t="s">
        <v>331</v>
      </c>
      <c r="F162" t="s">
        <v>126</v>
      </c>
      <c r="G162" t="s">
        <v>127</v>
      </c>
      <c r="H162">
        <v>34.925475273902379</v>
      </c>
      <c r="K162" s="4" t="s">
        <v>256</v>
      </c>
      <c r="L162" s="34">
        <v>34.847371577052719</v>
      </c>
    </row>
    <row r="163" spans="1:12" x14ac:dyDescent="0.3">
      <c r="A163" t="s">
        <v>166</v>
      </c>
      <c r="B163">
        <v>0</v>
      </c>
      <c r="C163">
        <v>2050</v>
      </c>
      <c r="D163" t="s">
        <v>332</v>
      </c>
      <c r="E163" t="s">
        <v>333</v>
      </c>
      <c r="F163" t="s">
        <v>126</v>
      </c>
      <c r="G163" t="s">
        <v>127</v>
      </c>
      <c r="H163">
        <v>34.383132778059931</v>
      </c>
      <c r="K163" s="4" t="s">
        <v>273</v>
      </c>
      <c r="L163" s="34">
        <v>34.546469861521231</v>
      </c>
    </row>
    <row r="164" spans="1:12" x14ac:dyDescent="0.3">
      <c r="A164" t="s">
        <v>166</v>
      </c>
      <c r="B164">
        <v>0</v>
      </c>
      <c r="C164">
        <v>2050</v>
      </c>
      <c r="D164" t="s">
        <v>336</v>
      </c>
      <c r="E164" t="s">
        <v>337</v>
      </c>
      <c r="F164" t="s">
        <v>126</v>
      </c>
      <c r="G164" t="s">
        <v>127</v>
      </c>
      <c r="H164">
        <v>34.844292312711879</v>
      </c>
      <c r="K164" s="4" t="s">
        <v>277</v>
      </c>
      <c r="L164" s="34">
        <v>35.212687012671417</v>
      </c>
    </row>
    <row r="165" spans="1:12" x14ac:dyDescent="0.3">
      <c r="A165" t="s">
        <v>166</v>
      </c>
      <c r="B165">
        <v>0</v>
      </c>
      <c r="C165">
        <v>2050</v>
      </c>
      <c r="D165" t="s">
        <v>338</v>
      </c>
      <c r="E165" t="s">
        <v>339</v>
      </c>
      <c r="F165" t="s">
        <v>126</v>
      </c>
      <c r="G165" t="s">
        <v>127</v>
      </c>
      <c r="H165">
        <v>34.968540274216522</v>
      </c>
      <c r="K165" s="4" t="s">
        <v>289</v>
      </c>
      <c r="L165" s="34">
        <v>34.379203629540363</v>
      </c>
    </row>
    <row r="166" spans="1:12" x14ac:dyDescent="0.3">
      <c r="A166" t="s">
        <v>166</v>
      </c>
      <c r="B166">
        <v>0</v>
      </c>
      <c r="C166">
        <v>2050</v>
      </c>
      <c r="D166" t="s">
        <v>340</v>
      </c>
      <c r="E166" t="s">
        <v>341</v>
      </c>
      <c r="F166" t="s">
        <v>126</v>
      </c>
      <c r="G166" t="s">
        <v>127</v>
      </c>
      <c r="H166">
        <v>33.192633775681692</v>
      </c>
      <c r="K166" s="4" t="s">
        <v>306</v>
      </c>
      <c r="L166" s="34">
        <v>34.811773650323005</v>
      </c>
    </row>
    <row r="167" spans="1:12" x14ac:dyDescent="0.3">
      <c r="A167" t="s">
        <v>166</v>
      </c>
      <c r="B167">
        <v>0</v>
      </c>
      <c r="C167">
        <v>2050</v>
      </c>
      <c r="D167" t="s">
        <v>346</v>
      </c>
      <c r="E167" t="s">
        <v>347</v>
      </c>
      <c r="F167" t="s">
        <v>126</v>
      </c>
      <c r="G167" t="s">
        <v>127</v>
      </c>
      <c r="H167">
        <v>36.351386371084573</v>
      </c>
      <c r="K167" s="4" t="s">
        <v>310</v>
      </c>
      <c r="L167" s="34">
        <v>34.520769076247795</v>
      </c>
    </row>
    <row r="168" spans="1:12" x14ac:dyDescent="0.3">
      <c r="A168" t="s">
        <v>166</v>
      </c>
      <c r="B168">
        <v>0</v>
      </c>
      <c r="C168">
        <v>2050</v>
      </c>
      <c r="D168" t="s">
        <v>348</v>
      </c>
      <c r="E168" t="s">
        <v>349</v>
      </c>
      <c r="F168" t="s">
        <v>126</v>
      </c>
      <c r="G168" t="s">
        <v>127</v>
      </c>
      <c r="H168">
        <v>34.23890271331782</v>
      </c>
      <c r="K168" s="4" t="s">
        <v>311</v>
      </c>
      <c r="L168" s="34">
        <v>34.943518246492822</v>
      </c>
    </row>
    <row r="169" spans="1:12" x14ac:dyDescent="0.3">
      <c r="A169" t="s">
        <v>166</v>
      </c>
      <c r="B169">
        <v>0</v>
      </c>
      <c r="C169">
        <v>2050</v>
      </c>
      <c r="D169" t="s">
        <v>350</v>
      </c>
      <c r="E169" t="s">
        <v>351</v>
      </c>
      <c r="F169" t="s">
        <v>126</v>
      </c>
      <c r="G169" t="s">
        <v>127</v>
      </c>
      <c r="H169">
        <v>35.435816680170682</v>
      </c>
      <c r="K169" s="4" t="s">
        <v>312</v>
      </c>
      <c r="L169" s="34">
        <v>37.508645245982159</v>
      </c>
    </row>
    <row r="170" spans="1:12" x14ac:dyDescent="0.3">
      <c r="A170" t="s">
        <v>166</v>
      </c>
      <c r="B170">
        <v>0</v>
      </c>
      <c r="C170">
        <v>2050</v>
      </c>
      <c r="D170" t="s">
        <v>352</v>
      </c>
      <c r="E170" t="s">
        <v>353</v>
      </c>
      <c r="F170" t="s">
        <v>126</v>
      </c>
      <c r="G170" t="s">
        <v>127</v>
      </c>
      <c r="H170">
        <v>35.727112175099059</v>
      </c>
      <c r="K170" s="4" t="s">
        <v>313</v>
      </c>
      <c r="L170" s="34">
        <v>36.806582010954486</v>
      </c>
    </row>
    <row r="171" spans="1:12" x14ac:dyDescent="0.3">
      <c r="A171" t="s">
        <v>166</v>
      </c>
      <c r="B171">
        <v>0</v>
      </c>
      <c r="C171">
        <v>2050</v>
      </c>
      <c r="D171" t="s">
        <v>354</v>
      </c>
      <c r="E171" t="s">
        <v>355</v>
      </c>
      <c r="F171" t="s">
        <v>126</v>
      </c>
      <c r="G171" t="s">
        <v>127</v>
      </c>
      <c r="H171">
        <v>31.923764077136848</v>
      </c>
      <c r="K171" s="4" t="s">
        <v>315</v>
      </c>
      <c r="L171" s="34">
        <v>32.693438640001183</v>
      </c>
    </row>
    <row r="172" spans="1:12" x14ac:dyDescent="0.3">
      <c r="A172" t="s">
        <v>166</v>
      </c>
      <c r="B172">
        <v>0</v>
      </c>
      <c r="C172">
        <v>2050</v>
      </c>
      <c r="D172" t="s">
        <v>356</v>
      </c>
      <c r="E172" t="s">
        <v>357</v>
      </c>
      <c r="F172" t="s">
        <v>126</v>
      </c>
      <c r="G172" t="s">
        <v>127</v>
      </c>
      <c r="H172">
        <v>31.67980996146995</v>
      </c>
      <c r="K172" s="4" t="s">
        <v>329</v>
      </c>
      <c r="L172" s="34">
        <v>36.067496244602523</v>
      </c>
    </row>
    <row r="173" spans="1:12" x14ac:dyDescent="0.3">
      <c r="A173" t="s">
        <v>166</v>
      </c>
      <c r="B173">
        <v>0</v>
      </c>
      <c r="C173">
        <v>2050</v>
      </c>
      <c r="D173" t="s">
        <v>358</v>
      </c>
      <c r="E173" t="s">
        <v>359</v>
      </c>
      <c r="F173" t="s">
        <v>126</v>
      </c>
      <c r="G173" t="s">
        <v>127</v>
      </c>
      <c r="H173">
        <v>35.406234972201503</v>
      </c>
      <c r="K173" s="4" t="s">
        <v>331</v>
      </c>
      <c r="L173" s="34">
        <v>34.925475273902379</v>
      </c>
    </row>
    <row r="174" spans="1:12" x14ac:dyDescent="0.3">
      <c r="A174" t="s">
        <v>166</v>
      </c>
      <c r="B174">
        <v>0</v>
      </c>
      <c r="C174">
        <v>2050</v>
      </c>
      <c r="D174" t="s">
        <v>360</v>
      </c>
      <c r="E174" t="s">
        <v>361</v>
      </c>
      <c r="F174" t="s">
        <v>126</v>
      </c>
      <c r="G174" t="s">
        <v>127</v>
      </c>
      <c r="H174">
        <v>36.090350645631737</v>
      </c>
      <c r="K174" s="4" t="s">
        <v>333</v>
      </c>
      <c r="L174" s="34">
        <v>34.383132778059931</v>
      </c>
    </row>
    <row r="175" spans="1:12" x14ac:dyDescent="0.3">
      <c r="A175" t="s">
        <v>166</v>
      </c>
      <c r="B175">
        <v>0</v>
      </c>
      <c r="C175">
        <v>2050</v>
      </c>
      <c r="D175" t="s">
        <v>362</v>
      </c>
      <c r="E175" t="s">
        <v>363</v>
      </c>
      <c r="F175" t="s">
        <v>126</v>
      </c>
      <c r="G175" t="s">
        <v>127</v>
      </c>
      <c r="H175">
        <v>36.022866699675888</v>
      </c>
      <c r="K175" s="4" t="s">
        <v>337</v>
      </c>
      <c r="L175" s="34">
        <v>34.844292312711879</v>
      </c>
    </row>
    <row r="176" spans="1:12" x14ac:dyDescent="0.3">
      <c r="A176" t="s">
        <v>166</v>
      </c>
      <c r="B176">
        <v>0</v>
      </c>
      <c r="C176">
        <v>2050</v>
      </c>
      <c r="D176" t="s">
        <v>364</v>
      </c>
      <c r="E176" t="s">
        <v>365</v>
      </c>
      <c r="F176" t="s">
        <v>126</v>
      </c>
      <c r="G176" t="s">
        <v>127</v>
      </c>
      <c r="H176">
        <v>35.989420639741994</v>
      </c>
      <c r="K176" s="4" t="s">
        <v>339</v>
      </c>
      <c r="L176" s="34">
        <v>34.968540274216522</v>
      </c>
    </row>
    <row r="177" spans="1:12" x14ac:dyDescent="0.3">
      <c r="A177" t="s">
        <v>166</v>
      </c>
      <c r="B177">
        <v>0</v>
      </c>
      <c r="C177">
        <v>2050</v>
      </c>
      <c r="D177" t="s">
        <v>366</v>
      </c>
      <c r="E177" t="s">
        <v>367</v>
      </c>
      <c r="F177" t="s">
        <v>126</v>
      </c>
      <c r="G177" t="s">
        <v>127</v>
      </c>
      <c r="H177">
        <v>36.384212169660366</v>
      </c>
      <c r="K177" s="4" t="s">
        <v>341</v>
      </c>
      <c r="L177" s="34">
        <v>33.192633775681692</v>
      </c>
    </row>
    <row r="178" spans="1:12" x14ac:dyDescent="0.3">
      <c r="A178" t="s">
        <v>166</v>
      </c>
      <c r="B178">
        <v>0</v>
      </c>
      <c r="C178">
        <v>2050</v>
      </c>
      <c r="D178" t="s">
        <v>368</v>
      </c>
      <c r="E178" t="s">
        <v>369</v>
      </c>
      <c r="F178" t="s">
        <v>126</v>
      </c>
      <c r="G178" t="s">
        <v>127</v>
      </c>
      <c r="H178">
        <v>35.353103029052747</v>
      </c>
      <c r="K178" s="4" t="s">
        <v>347</v>
      </c>
      <c r="L178" s="34">
        <v>36.351386371084573</v>
      </c>
    </row>
    <row r="179" spans="1:12" x14ac:dyDescent="0.3">
      <c r="A179" t="s">
        <v>166</v>
      </c>
      <c r="B179">
        <v>0</v>
      </c>
      <c r="C179">
        <v>2050</v>
      </c>
      <c r="D179" t="s">
        <v>370</v>
      </c>
      <c r="E179" t="s">
        <v>371</v>
      </c>
      <c r="F179" t="s">
        <v>126</v>
      </c>
      <c r="G179" t="s">
        <v>127</v>
      </c>
      <c r="H179">
        <v>34.861228454526405</v>
      </c>
      <c r="K179" s="4" t="s">
        <v>349</v>
      </c>
      <c r="L179" s="34">
        <v>34.23890271331782</v>
      </c>
    </row>
    <row r="180" spans="1:12" x14ac:dyDescent="0.3">
      <c r="A180" t="s">
        <v>166</v>
      </c>
      <c r="B180">
        <v>0</v>
      </c>
      <c r="C180">
        <v>2050</v>
      </c>
      <c r="D180" t="s">
        <v>373</v>
      </c>
      <c r="E180" t="s">
        <v>374</v>
      </c>
      <c r="F180" t="s">
        <v>126</v>
      </c>
      <c r="G180" t="s">
        <v>127</v>
      </c>
      <c r="H180">
        <v>32.289564723521991</v>
      </c>
      <c r="K180" s="4" t="s">
        <v>351</v>
      </c>
      <c r="L180" s="34">
        <v>35.435816680170682</v>
      </c>
    </row>
    <row r="181" spans="1:12" x14ac:dyDescent="0.3">
      <c r="A181" t="s">
        <v>166</v>
      </c>
      <c r="B181">
        <v>0</v>
      </c>
      <c r="C181">
        <v>2050</v>
      </c>
      <c r="D181" t="s">
        <v>375</v>
      </c>
      <c r="E181" t="s">
        <v>376</v>
      </c>
      <c r="F181" t="s">
        <v>126</v>
      </c>
      <c r="G181" t="s">
        <v>127</v>
      </c>
      <c r="H181">
        <v>34.894025798926172</v>
      </c>
      <c r="K181" s="4" t="s">
        <v>353</v>
      </c>
      <c r="L181" s="34">
        <v>35.727112175099059</v>
      </c>
    </row>
    <row r="182" spans="1:12" x14ac:dyDescent="0.3">
      <c r="A182" t="s">
        <v>166</v>
      </c>
      <c r="B182">
        <v>0</v>
      </c>
      <c r="C182">
        <v>2050</v>
      </c>
      <c r="D182" t="s">
        <v>377</v>
      </c>
      <c r="E182" t="s">
        <v>378</v>
      </c>
      <c r="F182" t="s">
        <v>126</v>
      </c>
      <c r="G182" t="s">
        <v>127</v>
      </c>
      <c r="H182">
        <v>35.920582731830493</v>
      </c>
      <c r="K182" s="4" t="s">
        <v>355</v>
      </c>
      <c r="L182" s="34">
        <v>31.923764077136848</v>
      </c>
    </row>
    <row r="183" spans="1:12" x14ac:dyDescent="0.3">
      <c r="A183" t="s">
        <v>166</v>
      </c>
      <c r="B183">
        <v>0</v>
      </c>
      <c r="C183">
        <v>2050</v>
      </c>
      <c r="D183" t="s">
        <v>379</v>
      </c>
      <c r="E183" t="s">
        <v>380</v>
      </c>
      <c r="F183" t="s">
        <v>126</v>
      </c>
      <c r="G183" t="s">
        <v>127</v>
      </c>
      <c r="H183">
        <v>36.731818654641479</v>
      </c>
      <c r="K183" s="4" t="s">
        <v>357</v>
      </c>
      <c r="L183" s="34">
        <v>31.67980996146995</v>
      </c>
    </row>
    <row r="184" spans="1:12" x14ac:dyDescent="0.3">
      <c r="A184" t="s">
        <v>166</v>
      </c>
      <c r="B184">
        <v>0</v>
      </c>
      <c r="C184">
        <v>2050</v>
      </c>
      <c r="D184" t="s">
        <v>381</v>
      </c>
      <c r="E184" t="s">
        <v>382</v>
      </c>
      <c r="F184" t="s">
        <v>126</v>
      </c>
      <c r="G184" t="s">
        <v>127</v>
      </c>
      <c r="H184">
        <v>36.252111027739119</v>
      </c>
      <c r="K184" s="4" t="s">
        <v>359</v>
      </c>
      <c r="L184" s="34">
        <v>35.406234972201503</v>
      </c>
    </row>
    <row r="185" spans="1:12" x14ac:dyDescent="0.3">
      <c r="A185" t="s">
        <v>166</v>
      </c>
      <c r="B185">
        <v>0</v>
      </c>
      <c r="C185">
        <v>2050</v>
      </c>
      <c r="D185" t="s">
        <v>383</v>
      </c>
      <c r="E185" t="s">
        <v>384</v>
      </c>
      <c r="F185" t="s">
        <v>126</v>
      </c>
      <c r="G185" t="s">
        <v>127</v>
      </c>
      <c r="H185">
        <v>37.073996261386327</v>
      </c>
      <c r="K185" s="4" t="s">
        <v>361</v>
      </c>
      <c r="L185" s="34">
        <v>36.090350645631737</v>
      </c>
    </row>
    <row r="186" spans="1:12" x14ac:dyDescent="0.3">
      <c r="A186" t="s">
        <v>166</v>
      </c>
      <c r="B186">
        <v>0</v>
      </c>
      <c r="C186">
        <v>2050</v>
      </c>
      <c r="D186" t="s">
        <v>385</v>
      </c>
      <c r="E186" t="s">
        <v>386</v>
      </c>
      <c r="F186" t="s">
        <v>126</v>
      </c>
      <c r="G186" t="s">
        <v>127</v>
      </c>
      <c r="H186">
        <v>37.204555817062314</v>
      </c>
      <c r="K186" s="4" t="s">
        <v>363</v>
      </c>
      <c r="L186" s="34">
        <v>36.022866699675888</v>
      </c>
    </row>
    <row r="187" spans="1:12" x14ac:dyDescent="0.3">
      <c r="A187" t="s">
        <v>166</v>
      </c>
      <c r="B187">
        <v>0</v>
      </c>
      <c r="C187">
        <v>2050</v>
      </c>
      <c r="D187" t="s">
        <v>55</v>
      </c>
      <c r="E187" t="s">
        <v>56</v>
      </c>
      <c r="F187" t="s">
        <v>126</v>
      </c>
      <c r="G187" t="s">
        <v>127</v>
      </c>
      <c r="H187">
        <v>33.066177153481007</v>
      </c>
      <c r="K187" s="4" t="s">
        <v>365</v>
      </c>
      <c r="L187" s="34">
        <v>35.989420639741994</v>
      </c>
    </row>
    <row r="188" spans="1:12" x14ac:dyDescent="0.3">
      <c r="A188" t="s">
        <v>166</v>
      </c>
      <c r="B188">
        <v>0</v>
      </c>
      <c r="C188">
        <v>2050</v>
      </c>
      <c r="D188" t="s">
        <v>387</v>
      </c>
      <c r="E188" t="s">
        <v>388</v>
      </c>
      <c r="F188" t="s">
        <v>126</v>
      </c>
      <c r="G188" t="s">
        <v>127</v>
      </c>
      <c r="H188">
        <v>42.454281846666085</v>
      </c>
      <c r="K188" s="4" t="s">
        <v>367</v>
      </c>
      <c r="L188" s="34">
        <v>36.384212169660366</v>
      </c>
    </row>
    <row r="189" spans="1:12" x14ac:dyDescent="0.3">
      <c r="A189" t="s">
        <v>166</v>
      </c>
      <c r="B189">
        <v>0</v>
      </c>
      <c r="C189">
        <v>2050</v>
      </c>
      <c r="D189" t="s">
        <v>389</v>
      </c>
      <c r="E189" t="s">
        <v>390</v>
      </c>
      <c r="F189" t="s">
        <v>126</v>
      </c>
      <c r="G189" t="s">
        <v>127</v>
      </c>
      <c r="H189">
        <v>33.764471352864938</v>
      </c>
      <c r="K189" s="4" t="s">
        <v>369</v>
      </c>
      <c r="L189" s="34">
        <v>35.353103029052747</v>
      </c>
    </row>
    <row r="190" spans="1:12" x14ac:dyDescent="0.3">
      <c r="A190" t="s">
        <v>394</v>
      </c>
      <c r="B190">
        <v>0</v>
      </c>
      <c r="C190">
        <v>2020</v>
      </c>
      <c r="D190" t="s">
        <v>167</v>
      </c>
      <c r="E190" t="s">
        <v>187</v>
      </c>
      <c r="F190" t="s">
        <v>126</v>
      </c>
      <c r="G190" t="s">
        <v>127</v>
      </c>
      <c r="H190">
        <v>8.5556649859446914</v>
      </c>
      <c r="K190" s="4" t="s">
        <v>371</v>
      </c>
      <c r="L190" s="34">
        <v>34.861228454526405</v>
      </c>
    </row>
    <row r="191" spans="1:12" x14ac:dyDescent="0.3">
      <c r="A191" t="s">
        <v>394</v>
      </c>
      <c r="B191">
        <v>0</v>
      </c>
      <c r="C191">
        <v>2020</v>
      </c>
      <c r="D191" t="s">
        <v>167</v>
      </c>
      <c r="E191" t="s">
        <v>191</v>
      </c>
      <c r="F191" t="s">
        <v>126</v>
      </c>
      <c r="G191" t="s">
        <v>127</v>
      </c>
      <c r="H191">
        <v>8.0092966946120878</v>
      </c>
      <c r="K191" s="4" t="s">
        <v>374</v>
      </c>
      <c r="L191" s="34">
        <v>32.289564723521991</v>
      </c>
    </row>
    <row r="192" spans="1:12" x14ac:dyDescent="0.3">
      <c r="A192" t="s">
        <v>394</v>
      </c>
      <c r="B192">
        <v>0</v>
      </c>
      <c r="C192">
        <v>2020</v>
      </c>
      <c r="D192" t="s">
        <v>167</v>
      </c>
      <c r="E192" t="s">
        <v>395</v>
      </c>
      <c r="F192" t="s">
        <v>126</v>
      </c>
      <c r="G192" t="s">
        <v>127</v>
      </c>
      <c r="H192">
        <v>8.755477581733409</v>
      </c>
      <c r="K192" s="4" t="s">
        <v>376</v>
      </c>
      <c r="L192" s="34">
        <v>34.894025798926172</v>
      </c>
    </row>
    <row r="193" spans="1:12" x14ac:dyDescent="0.3">
      <c r="A193" t="s">
        <v>394</v>
      </c>
      <c r="B193">
        <v>0</v>
      </c>
      <c r="C193">
        <v>2020</v>
      </c>
      <c r="D193" t="s">
        <v>197</v>
      </c>
      <c r="E193" t="s">
        <v>198</v>
      </c>
      <c r="F193" t="s">
        <v>126</v>
      </c>
      <c r="G193" t="s">
        <v>127</v>
      </c>
      <c r="H193">
        <v>32.556706793895586</v>
      </c>
      <c r="K193" s="4" t="s">
        <v>378</v>
      </c>
      <c r="L193" s="34">
        <v>35.920582731830493</v>
      </c>
    </row>
    <row r="194" spans="1:12" x14ac:dyDescent="0.3">
      <c r="A194" t="s">
        <v>394</v>
      </c>
      <c r="B194">
        <v>0</v>
      </c>
      <c r="C194">
        <v>2020</v>
      </c>
      <c r="D194" t="s">
        <v>197</v>
      </c>
      <c r="E194" t="s">
        <v>231</v>
      </c>
      <c r="F194" t="s">
        <v>126</v>
      </c>
      <c r="G194" t="s">
        <v>127</v>
      </c>
      <c r="H194">
        <v>34.612127013019084</v>
      </c>
      <c r="K194" s="4" t="s">
        <v>380</v>
      </c>
      <c r="L194" s="34">
        <v>36.731818654641479</v>
      </c>
    </row>
    <row r="195" spans="1:12" x14ac:dyDescent="0.3">
      <c r="A195" t="s">
        <v>394</v>
      </c>
      <c r="B195">
        <v>0</v>
      </c>
      <c r="C195">
        <v>2020</v>
      </c>
      <c r="D195" t="s">
        <v>250</v>
      </c>
      <c r="E195" t="s">
        <v>251</v>
      </c>
      <c r="F195" t="s">
        <v>126</v>
      </c>
      <c r="G195" t="s">
        <v>127</v>
      </c>
      <c r="H195">
        <v>26.830887401631092</v>
      </c>
      <c r="K195" s="4" t="s">
        <v>382</v>
      </c>
      <c r="L195" s="34">
        <v>36.252111027739119</v>
      </c>
    </row>
    <row r="196" spans="1:12" x14ac:dyDescent="0.3">
      <c r="A196" t="s">
        <v>394</v>
      </c>
      <c r="B196">
        <v>0</v>
      </c>
      <c r="C196">
        <v>2020</v>
      </c>
      <c r="D196" t="s">
        <v>255</v>
      </c>
      <c r="E196" t="s">
        <v>396</v>
      </c>
      <c r="F196" t="s">
        <v>126</v>
      </c>
      <c r="G196" t="s">
        <v>127</v>
      </c>
      <c r="H196">
        <v>39.692802981137127</v>
      </c>
      <c r="K196" s="4" t="s">
        <v>384</v>
      </c>
      <c r="L196" s="34">
        <v>37.073996261386327</v>
      </c>
    </row>
    <row r="197" spans="1:12" x14ac:dyDescent="0.3">
      <c r="A197" t="s">
        <v>394</v>
      </c>
      <c r="B197">
        <v>0</v>
      </c>
      <c r="C197">
        <v>2020</v>
      </c>
      <c r="D197" t="s">
        <v>305</v>
      </c>
      <c r="E197" t="s">
        <v>306</v>
      </c>
      <c r="F197" t="s">
        <v>126</v>
      </c>
      <c r="G197" t="s">
        <v>127</v>
      </c>
      <c r="H197">
        <v>42.238564580122336</v>
      </c>
      <c r="K197" s="4" t="s">
        <v>386</v>
      </c>
      <c r="L197" s="34">
        <v>37.204555817062314</v>
      </c>
    </row>
    <row r="198" spans="1:12" x14ac:dyDescent="0.3">
      <c r="A198" t="s">
        <v>394</v>
      </c>
      <c r="B198">
        <v>0</v>
      </c>
      <c r="C198">
        <v>2020</v>
      </c>
      <c r="D198" t="s">
        <v>309</v>
      </c>
      <c r="E198" t="s">
        <v>310</v>
      </c>
      <c r="F198" t="s">
        <v>126</v>
      </c>
      <c r="G198" t="s">
        <v>127</v>
      </c>
      <c r="H198">
        <v>9.84061948974262</v>
      </c>
      <c r="K198" s="4" t="s">
        <v>388</v>
      </c>
      <c r="L198" s="34">
        <v>42.454281846666085</v>
      </c>
    </row>
    <row r="199" spans="1:12" x14ac:dyDescent="0.3">
      <c r="A199" t="s">
        <v>394</v>
      </c>
      <c r="B199">
        <v>0</v>
      </c>
      <c r="C199">
        <v>2020</v>
      </c>
      <c r="D199" t="s">
        <v>309</v>
      </c>
      <c r="E199" t="s">
        <v>311</v>
      </c>
      <c r="F199" t="s">
        <v>126</v>
      </c>
      <c r="G199" t="s">
        <v>127</v>
      </c>
      <c r="H199">
        <v>10.05797732649032</v>
      </c>
      <c r="K199" s="4" t="s">
        <v>390</v>
      </c>
      <c r="L199" s="34">
        <v>33.764471352864938</v>
      </c>
    </row>
    <row r="200" spans="1:12" x14ac:dyDescent="0.3">
      <c r="A200" t="s">
        <v>394</v>
      </c>
      <c r="B200">
        <v>0</v>
      </c>
      <c r="C200">
        <v>2020</v>
      </c>
      <c r="D200" t="s">
        <v>309</v>
      </c>
      <c r="E200" t="s">
        <v>312</v>
      </c>
      <c r="F200" t="s">
        <v>126</v>
      </c>
      <c r="G200" t="s">
        <v>127</v>
      </c>
      <c r="H200">
        <v>25.129841653087027</v>
      </c>
      <c r="K200" s="2" t="s">
        <v>394</v>
      </c>
      <c r="L200" s="34">
        <v>28.769260871358654</v>
      </c>
    </row>
    <row r="201" spans="1:12" x14ac:dyDescent="0.3">
      <c r="A201" t="s">
        <v>394</v>
      </c>
      <c r="B201">
        <v>0</v>
      </c>
      <c r="C201">
        <v>2020</v>
      </c>
      <c r="D201" t="s">
        <v>309</v>
      </c>
      <c r="E201" t="s">
        <v>313</v>
      </c>
      <c r="F201" t="s">
        <v>126</v>
      </c>
      <c r="G201" t="s">
        <v>127</v>
      </c>
      <c r="H201">
        <v>25.621256695628379</v>
      </c>
      <c r="K201" s="3">
        <v>2020</v>
      </c>
      <c r="L201" s="34">
        <v>32.020204403769526</v>
      </c>
    </row>
    <row r="202" spans="1:12" x14ac:dyDescent="0.3">
      <c r="A202" t="s">
        <v>394</v>
      </c>
      <c r="B202">
        <v>0</v>
      </c>
      <c r="C202">
        <v>2020</v>
      </c>
      <c r="D202" t="s">
        <v>314</v>
      </c>
      <c r="E202" t="s">
        <v>397</v>
      </c>
      <c r="F202" t="s">
        <v>126</v>
      </c>
      <c r="G202" t="s">
        <v>127</v>
      </c>
      <c r="H202">
        <v>37.728443917653898</v>
      </c>
      <c r="K202" s="4" t="s">
        <v>56</v>
      </c>
      <c r="L202" s="34">
        <v>11.546490060009813</v>
      </c>
    </row>
    <row r="203" spans="1:12" x14ac:dyDescent="0.3">
      <c r="A203" t="s">
        <v>394</v>
      </c>
      <c r="B203">
        <v>0</v>
      </c>
      <c r="C203">
        <v>2020</v>
      </c>
      <c r="D203" t="s">
        <v>314</v>
      </c>
      <c r="E203" t="s">
        <v>398</v>
      </c>
      <c r="F203" t="s">
        <v>126</v>
      </c>
      <c r="G203" t="s">
        <v>127</v>
      </c>
      <c r="H203">
        <v>46.098190056840927</v>
      </c>
      <c r="K203" s="4" t="s">
        <v>198</v>
      </c>
      <c r="L203" s="34">
        <v>32.556706793895586</v>
      </c>
    </row>
    <row r="204" spans="1:12" x14ac:dyDescent="0.3">
      <c r="A204" t="s">
        <v>394</v>
      </c>
      <c r="B204">
        <v>0</v>
      </c>
      <c r="C204">
        <v>2020</v>
      </c>
      <c r="D204" t="s">
        <v>328</v>
      </c>
      <c r="E204" t="s">
        <v>329</v>
      </c>
      <c r="F204" t="s">
        <v>126</v>
      </c>
      <c r="G204" t="s">
        <v>127</v>
      </c>
      <c r="H204">
        <v>37.044142830393987</v>
      </c>
      <c r="K204" s="4" t="s">
        <v>231</v>
      </c>
      <c r="L204" s="34">
        <v>34.612127013019084</v>
      </c>
    </row>
    <row r="205" spans="1:12" x14ac:dyDescent="0.3">
      <c r="A205" t="s">
        <v>394</v>
      </c>
      <c r="B205">
        <v>0</v>
      </c>
      <c r="C205">
        <v>2020</v>
      </c>
      <c r="D205" t="s">
        <v>330</v>
      </c>
      <c r="E205" t="s">
        <v>331</v>
      </c>
      <c r="F205" t="s">
        <v>126</v>
      </c>
      <c r="G205" t="s">
        <v>127</v>
      </c>
      <c r="H205">
        <v>32.777596794674722</v>
      </c>
      <c r="K205" s="4" t="s">
        <v>187</v>
      </c>
      <c r="L205" s="34">
        <v>8.5556649859446914</v>
      </c>
    </row>
    <row r="206" spans="1:12" x14ac:dyDescent="0.3">
      <c r="A206" t="s">
        <v>394</v>
      </c>
      <c r="B206">
        <v>0</v>
      </c>
      <c r="C206">
        <v>2020</v>
      </c>
      <c r="D206" t="s">
        <v>332</v>
      </c>
      <c r="E206" t="s">
        <v>333</v>
      </c>
      <c r="F206" t="s">
        <v>126</v>
      </c>
      <c r="G206" t="s">
        <v>127</v>
      </c>
      <c r="H206">
        <v>32.67758520637571</v>
      </c>
      <c r="K206" s="4" t="s">
        <v>191</v>
      </c>
      <c r="L206" s="34">
        <v>8.0092966946120878</v>
      </c>
    </row>
    <row r="207" spans="1:12" x14ac:dyDescent="0.3">
      <c r="A207" t="s">
        <v>394</v>
      </c>
      <c r="B207">
        <v>0</v>
      </c>
      <c r="C207">
        <v>2020</v>
      </c>
      <c r="D207" t="s">
        <v>336</v>
      </c>
      <c r="E207" t="s">
        <v>337</v>
      </c>
      <c r="F207" t="s">
        <v>126</v>
      </c>
      <c r="G207" t="s">
        <v>127</v>
      </c>
      <c r="H207">
        <v>49.979403499351854</v>
      </c>
      <c r="K207" s="4" t="s">
        <v>251</v>
      </c>
      <c r="L207" s="34">
        <v>26.830887401631092</v>
      </c>
    </row>
    <row r="208" spans="1:12" x14ac:dyDescent="0.3">
      <c r="A208" t="s">
        <v>394</v>
      </c>
      <c r="B208">
        <v>0</v>
      </c>
      <c r="C208">
        <v>2020</v>
      </c>
      <c r="D208" t="s">
        <v>338</v>
      </c>
      <c r="E208" t="s">
        <v>339</v>
      </c>
      <c r="F208" t="s">
        <v>126</v>
      </c>
      <c r="G208" t="s">
        <v>127</v>
      </c>
      <c r="H208">
        <v>33.76511619132917</v>
      </c>
      <c r="K208" s="4" t="s">
        <v>306</v>
      </c>
      <c r="L208" s="34">
        <v>42.238564580122336</v>
      </c>
    </row>
    <row r="209" spans="1:12" x14ac:dyDescent="0.3">
      <c r="A209" t="s">
        <v>394</v>
      </c>
      <c r="B209">
        <v>0</v>
      </c>
      <c r="C209">
        <v>2020</v>
      </c>
      <c r="D209" t="s">
        <v>340</v>
      </c>
      <c r="E209" t="s">
        <v>341</v>
      </c>
      <c r="F209" t="s">
        <v>126</v>
      </c>
      <c r="G209" t="s">
        <v>127</v>
      </c>
      <c r="H209">
        <v>33.553362835101595</v>
      </c>
      <c r="K209" s="4" t="s">
        <v>310</v>
      </c>
      <c r="L209" s="34">
        <v>9.84061948974262</v>
      </c>
    </row>
    <row r="210" spans="1:12" x14ac:dyDescent="0.3">
      <c r="A210" t="s">
        <v>394</v>
      </c>
      <c r="B210">
        <v>0</v>
      </c>
      <c r="C210">
        <v>2020</v>
      </c>
      <c r="D210" t="s">
        <v>340</v>
      </c>
      <c r="E210" t="s">
        <v>399</v>
      </c>
      <c r="F210" t="s">
        <v>126</v>
      </c>
      <c r="G210" t="s">
        <v>127</v>
      </c>
      <c r="H210">
        <v>28.064927307416909</v>
      </c>
      <c r="K210" s="4" t="s">
        <v>311</v>
      </c>
      <c r="L210" s="34">
        <v>10.05797732649032</v>
      </c>
    </row>
    <row r="211" spans="1:12" x14ac:dyDescent="0.3">
      <c r="A211" t="s">
        <v>394</v>
      </c>
      <c r="B211">
        <v>0</v>
      </c>
      <c r="C211">
        <v>2020</v>
      </c>
      <c r="D211" t="s">
        <v>340</v>
      </c>
      <c r="E211" t="s">
        <v>400</v>
      </c>
      <c r="F211" t="s">
        <v>126</v>
      </c>
      <c r="G211" t="s">
        <v>127</v>
      </c>
      <c r="H211">
        <v>63.041849428174807</v>
      </c>
      <c r="K211" s="4" t="s">
        <v>312</v>
      </c>
      <c r="L211" s="34">
        <v>25.129841653087027</v>
      </c>
    </row>
    <row r="212" spans="1:12" x14ac:dyDescent="0.3">
      <c r="A212" t="s">
        <v>394</v>
      </c>
      <c r="B212">
        <v>0</v>
      </c>
      <c r="C212">
        <v>2020</v>
      </c>
      <c r="D212" t="s">
        <v>346</v>
      </c>
      <c r="E212" t="s">
        <v>401</v>
      </c>
      <c r="F212" t="s">
        <v>126</v>
      </c>
      <c r="G212" t="s">
        <v>127</v>
      </c>
      <c r="H212">
        <v>39.276972263774603</v>
      </c>
      <c r="K212" s="4" t="s">
        <v>313</v>
      </c>
      <c r="L212" s="34">
        <v>25.621256695628379</v>
      </c>
    </row>
    <row r="213" spans="1:12" x14ac:dyDescent="0.3">
      <c r="A213" t="s">
        <v>394</v>
      </c>
      <c r="B213">
        <v>0</v>
      </c>
      <c r="C213">
        <v>2020</v>
      </c>
      <c r="D213" t="s">
        <v>346</v>
      </c>
      <c r="E213" t="s">
        <v>402</v>
      </c>
      <c r="F213" t="s">
        <v>126</v>
      </c>
      <c r="G213" t="s">
        <v>127</v>
      </c>
      <c r="H213">
        <v>33.4011840537867</v>
      </c>
      <c r="K213" s="4" t="s">
        <v>329</v>
      </c>
      <c r="L213" s="34">
        <v>37.044142830393987</v>
      </c>
    </row>
    <row r="214" spans="1:12" x14ac:dyDescent="0.3">
      <c r="A214" t="s">
        <v>394</v>
      </c>
      <c r="B214">
        <v>0</v>
      </c>
      <c r="C214">
        <v>2020</v>
      </c>
      <c r="D214" t="s">
        <v>346</v>
      </c>
      <c r="E214" t="s">
        <v>415</v>
      </c>
      <c r="F214" t="s">
        <v>126</v>
      </c>
      <c r="G214" t="s">
        <v>127</v>
      </c>
      <c r="H214">
        <v>39.426170547618057</v>
      </c>
      <c r="K214" s="4" t="s">
        <v>331</v>
      </c>
      <c r="L214" s="34">
        <v>32.777596794674722</v>
      </c>
    </row>
    <row r="215" spans="1:12" x14ac:dyDescent="0.3">
      <c r="A215" t="s">
        <v>394</v>
      </c>
      <c r="B215">
        <v>0</v>
      </c>
      <c r="C215">
        <v>2020</v>
      </c>
      <c r="D215" t="s">
        <v>346</v>
      </c>
      <c r="E215" t="s">
        <v>403</v>
      </c>
      <c r="F215" t="s">
        <v>126</v>
      </c>
      <c r="G215" t="s">
        <v>127</v>
      </c>
      <c r="H215">
        <v>39.716227016419289</v>
      </c>
      <c r="K215" s="4" t="s">
        <v>333</v>
      </c>
      <c r="L215" s="34">
        <v>32.67758520637571</v>
      </c>
    </row>
    <row r="216" spans="1:12" x14ac:dyDescent="0.3">
      <c r="A216" t="s">
        <v>394</v>
      </c>
      <c r="B216">
        <v>0</v>
      </c>
      <c r="C216">
        <v>2020</v>
      </c>
      <c r="D216" t="s">
        <v>346</v>
      </c>
      <c r="E216" t="s">
        <v>404</v>
      </c>
      <c r="F216" t="s">
        <v>126</v>
      </c>
      <c r="G216" t="s">
        <v>127</v>
      </c>
      <c r="H216">
        <v>32.240703989547306</v>
      </c>
      <c r="K216" s="4" t="s">
        <v>337</v>
      </c>
      <c r="L216" s="34">
        <v>49.979403499351854</v>
      </c>
    </row>
    <row r="217" spans="1:12" x14ac:dyDescent="0.3">
      <c r="A217" t="s">
        <v>394</v>
      </c>
      <c r="B217">
        <v>0</v>
      </c>
      <c r="C217">
        <v>2020</v>
      </c>
      <c r="D217" t="s">
        <v>346</v>
      </c>
      <c r="E217" t="s">
        <v>405</v>
      </c>
      <c r="F217" t="s">
        <v>126</v>
      </c>
      <c r="G217" t="s">
        <v>127</v>
      </c>
      <c r="H217">
        <v>39.55258926809897</v>
      </c>
      <c r="K217" s="4" t="s">
        <v>339</v>
      </c>
      <c r="L217" s="34">
        <v>33.76511619132917</v>
      </c>
    </row>
    <row r="218" spans="1:12" x14ac:dyDescent="0.3">
      <c r="A218" t="s">
        <v>394</v>
      </c>
      <c r="B218">
        <v>0</v>
      </c>
      <c r="C218">
        <v>2020</v>
      </c>
      <c r="D218" t="s">
        <v>346</v>
      </c>
      <c r="E218" t="s">
        <v>406</v>
      </c>
      <c r="F218" t="s">
        <v>126</v>
      </c>
      <c r="G218" t="s">
        <v>127</v>
      </c>
      <c r="H218">
        <v>39.85939186740827</v>
      </c>
      <c r="K218" s="4" t="s">
        <v>341</v>
      </c>
      <c r="L218" s="34">
        <v>33.553362835101595</v>
      </c>
    </row>
    <row r="219" spans="1:12" x14ac:dyDescent="0.3">
      <c r="A219" t="s">
        <v>394</v>
      </c>
      <c r="B219">
        <v>0</v>
      </c>
      <c r="C219">
        <v>2020</v>
      </c>
      <c r="D219" t="s">
        <v>346</v>
      </c>
      <c r="E219" t="s">
        <v>407</v>
      </c>
      <c r="F219" t="s">
        <v>126</v>
      </c>
      <c r="G219" t="s">
        <v>127</v>
      </c>
      <c r="H219">
        <v>40.466566797557093</v>
      </c>
      <c r="K219" s="4" t="s">
        <v>349</v>
      </c>
      <c r="L219" s="34">
        <v>27.646372217986901</v>
      </c>
    </row>
    <row r="220" spans="1:12" x14ac:dyDescent="0.3">
      <c r="A220" t="s">
        <v>394</v>
      </c>
      <c r="B220">
        <v>0</v>
      </c>
      <c r="C220">
        <v>2020</v>
      </c>
      <c r="D220" t="s">
        <v>348</v>
      </c>
      <c r="E220" t="s">
        <v>349</v>
      </c>
      <c r="F220" t="s">
        <v>126</v>
      </c>
      <c r="G220" t="s">
        <v>127</v>
      </c>
      <c r="H220">
        <v>27.646372217986901</v>
      </c>
      <c r="K220" s="4" t="s">
        <v>351</v>
      </c>
      <c r="L220" s="34">
        <v>29.454514071878108</v>
      </c>
    </row>
    <row r="221" spans="1:12" x14ac:dyDescent="0.3">
      <c r="A221" t="s">
        <v>394</v>
      </c>
      <c r="B221">
        <v>0</v>
      </c>
      <c r="C221">
        <v>2020</v>
      </c>
      <c r="D221" t="s">
        <v>350</v>
      </c>
      <c r="E221" t="s">
        <v>351</v>
      </c>
      <c r="F221" t="s">
        <v>126</v>
      </c>
      <c r="G221" t="s">
        <v>127</v>
      </c>
      <c r="H221">
        <v>29.454514071878108</v>
      </c>
      <c r="K221" s="4" t="s">
        <v>353</v>
      </c>
      <c r="L221" s="34">
        <v>33.248119336680226</v>
      </c>
    </row>
    <row r="222" spans="1:12" x14ac:dyDescent="0.3">
      <c r="A222" t="s">
        <v>394</v>
      </c>
      <c r="B222">
        <v>0</v>
      </c>
      <c r="C222">
        <v>2020</v>
      </c>
      <c r="D222" t="s">
        <v>352</v>
      </c>
      <c r="E222" t="s">
        <v>353</v>
      </c>
      <c r="F222" t="s">
        <v>126</v>
      </c>
      <c r="G222" t="s">
        <v>127</v>
      </c>
      <c r="H222">
        <v>33.248119336680226</v>
      </c>
      <c r="K222" s="4" t="s">
        <v>355</v>
      </c>
      <c r="L222" s="34">
        <v>27.802598370691424</v>
      </c>
    </row>
    <row r="223" spans="1:12" x14ac:dyDescent="0.3">
      <c r="A223" t="s">
        <v>394</v>
      </c>
      <c r="B223">
        <v>0</v>
      </c>
      <c r="C223">
        <v>2020</v>
      </c>
      <c r="D223" t="s">
        <v>354</v>
      </c>
      <c r="E223" t="s">
        <v>355</v>
      </c>
      <c r="F223" t="s">
        <v>126</v>
      </c>
      <c r="G223" t="s">
        <v>127</v>
      </c>
      <c r="H223">
        <v>27.802598370691424</v>
      </c>
      <c r="K223" s="4" t="s">
        <v>357</v>
      </c>
      <c r="L223" s="34">
        <v>27.655349233181155</v>
      </c>
    </row>
    <row r="224" spans="1:12" x14ac:dyDescent="0.3">
      <c r="A224" t="s">
        <v>394</v>
      </c>
      <c r="B224">
        <v>0</v>
      </c>
      <c r="C224">
        <v>2020</v>
      </c>
      <c r="D224" t="s">
        <v>356</v>
      </c>
      <c r="E224" t="s">
        <v>357</v>
      </c>
      <c r="F224" t="s">
        <v>126</v>
      </c>
      <c r="G224" t="s">
        <v>127</v>
      </c>
      <c r="H224">
        <v>27.655349233181155</v>
      </c>
      <c r="K224" s="4" t="s">
        <v>359</v>
      </c>
      <c r="L224" s="34">
        <v>30.183417412239582</v>
      </c>
    </row>
    <row r="225" spans="1:12" x14ac:dyDescent="0.3">
      <c r="A225" t="s">
        <v>394</v>
      </c>
      <c r="B225">
        <v>0</v>
      </c>
      <c r="C225">
        <v>2020</v>
      </c>
      <c r="D225" t="s">
        <v>358</v>
      </c>
      <c r="E225" t="s">
        <v>359</v>
      </c>
      <c r="F225" t="s">
        <v>126</v>
      </c>
      <c r="G225" t="s">
        <v>127</v>
      </c>
      <c r="H225">
        <v>30.183417412239582</v>
      </c>
      <c r="K225" s="4" t="s">
        <v>361</v>
      </c>
      <c r="L225" s="34">
        <v>30.953698969558076</v>
      </c>
    </row>
    <row r="226" spans="1:12" x14ac:dyDescent="0.3">
      <c r="A226" t="s">
        <v>394</v>
      </c>
      <c r="B226">
        <v>0</v>
      </c>
      <c r="C226">
        <v>2020</v>
      </c>
      <c r="D226" t="s">
        <v>360</v>
      </c>
      <c r="E226" t="s">
        <v>361</v>
      </c>
      <c r="F226" t="s">
        <v>126</v>
      </c>
      <c r="G226" t="s">
        <v>127</v>
      </c>
      <c r="H226">
        <v>30.953698969558076</v>
      </c>
      <c r="K226" s="4" t="s">
        <v>363</v>
      </c>
      <c r="L226" s="34">
        <v>30.944716005331298</v>
      </c>
    </row>
    <row r="227" spans="1:12" x14ac:dyDescent="0.3">
      <c r="A227" t="s">
        <v>394</v>
      </c>
      <c r="B227">
        <v>0</v>
      </c>
      <c r="C227">
        <v>2020</v>
      </c>
      <c r="D227" t="s">
        <v>362</v>
      </c>
      <c r="E227" t="s">
        <v>363</v>
      </c>
      <c r="F227" t="s">
        <v>126</v>
      </c>
      <c r="G227" t="s">
        <v>127</v>
      </c>
      <c r="H227">
        <v>30.944716005331298</v>
      </c>
      <c r="K227" s="4" t="s">
        <v>365</v>
      </c>
      <c r="L227" s="34">
        <v>30.917495119952623</v>
      </c>
    </row>
    <row r="228" spans="1:12" x14ac:dyDescent="0.3">
      <c r="A228" t="s">
        <v>394</v>
      </c>
      <c r="B228">
        <v>0</v>
      </c>
      <c r="C228">
        <v>2020</v>
      </c>
      <c r="D228" t="s">
        <v>364</v>
      </c>
      <c r="E228" t="s">
        <v>365</v>
      </c>
      <c r="F228" t="s">
        <v>126</v>
      </c>
      <c r="G228" t="s">
        <v>127</v>
      </c>
      <c r="H228">
        <v>30.917495119952623</v>
      </c>
      <c r="K228" s="4" t="s">
        <v>367</v>
      </c>
      <c r="L228" s="34">
        <v>29.105336259684954</v>
      </c>
    </row>
    <row r="229" spans="1:12" x14ac:dyDescent="0.3">
      <c r="A229" t="s">
        <v>394</v>
      </c>
      <c r="B229">
        <v>0</v>
      </c>
      <c r="C229">
        <v>2020</v>
      </c>
      <c r="D229" t="s">
        <v>366</v>
      </c>
      <c r="E229" t="s">
        <v>367</v>
      </c>
      <c r="F229" t="s">
        <v>126</v>
      </c>
      <c r="G229" t="s">
        <v>127</v>
      </c>
      <c r="H229">
        <v>29.105336259684954</v>
      </c>
      <c r="K229" s="4" t="s">
        <v>369</v>
      </c>
      <c r="L229" s="34">
        <v>28.06492730741677</v>
      </c>
    </row>
    <row r="230" spans="1:12" x14ac:dyDescent="0.3">
      <c r="A230" t="s">
        <v>394</v>
      </c>
      <c r="B230">
        <v>0</v>
      </c>
      <c r="C230">
        <v>2020</v>
      </c>
      <c r="D230" t="s">
        <v>368</v>
      </c>
      <c r="E230" t="s">
        <v>369</v>
      </c>
      <c r="F230" t="s">
        <v>126</v>
      </c>
      <c r="G230" t="s">
        <v>127</v>
      </c>
      <c r="H230">
        <v>28.06492730741677</v>
      </c>
      <c r="K230" s="4" t="s">
        <v>374</v>
      </c>
      <c r="L230" s="34">
        <v>43.235987112870355</v>
      </c>
    </row>
    <row r="231" spans="1:12" x14ac:dyDescent="0.3">
      <c r="A231" t="s">
        <v>394</v>
      </c>
      <c r="B231">
        <v>0</v>
      </c>
      <c r="C231">
        <v>2020</v>
      </c>
      <c r="D231" t="s">
        <v>370</v>
      </c>
      <c r="E231" t="s">
        <v>408</v>
      </c>
      <c r="F231" t="s">
        <v>126</v>
      </c>
      <c r="G231" t="s">
        <v>127</v>
      </c>
      <c r="H231">
        <v>40.875251791201535</v>
      </c>
      <c r="K231" s="4" t="s">
        <v>376</v>
      </c>
      <c r="L231" s="34">
        <v>39.222626275345078</v>
      </c>
    </row>
    <row r="232" spans="1:12" x14ac:dyDescent="0.3">
      <c r="A232" t="s">
        <v>394</v>
      </c>
      <c r="B232">
        <v>0</v>
      </c>
      <c r="C232">
        <v>2020</v>
      </c>
      <c r="D232" t="s">
        <v>370</v>
      </c>
      <c r="E232" t="s">
        <v>409</v>
      </c>
      <c r="F232" t="s">
        <v>126</v>
      </c>
      <c r="G232" t="s">
        <v>127</v>
      </c>
      <c r="H232">
        <v>32.906478635765744</v>
      </c>
      <c r="K232" s="4" t="s">
        <v>378</v>
      </c>
      <c r="L232" s="34">
        <v>27.31171303105776</v>
      </c>
    </row>
    <row r="233" spans="1:12" x14ac:dyDescent="0.3">
      <c r="A233" t="s">
        <v>394</v>
      </c>
      <c r="B233">
        <v>0</v>
      </c>
      <c r="C233">
        <v>2020</v>
      </c>
      <c r="D233" t="s">
        <v>373</v>
      </c>
      <c r="E233" t="s">
        <v>374</v>
      </c>
      <c r="F233" t="s">
        <v>126</v>
      </c>
      <c r="G233" t="s">
        <v>127</v>
      </c>
      <c r="H233">
        <v>43.235987112870355</v>
      </c>
      <c r="K233" s="4" t="s">
        <v>380</v>
      </c>
      <c r="L233" s="34">
        <v>31.864240799544181</v>
      </c>
    </row>
    <row r="234" spans="1:12" x14ac:dyDescent="0.3">
      <c r="A234" t="s">
        <v>394</v>
      </c>
      <c r="B234">
        <v>0</v>
      </c>
      <c r="C234">
        <v>2020</v>
      </c>
      <c r="D234" t="s">
        <v>375</v>
      </c>
      <c r="E234" t="s">
        <v>376</v>
      </c>
      <c r="F234" t="s">
        <v>126</v>
      </c>
      <c r="G234" t="s">
        <v>127</v>
      </c>
      <c r="H234">
        <v>39.222626275345078</v>
      </c>
      <c r="K234" s="4" t="s">
        <v>382</v>
      </c>
      <c r="L234" s="34">
        <v>31.380999561788318</v>
      </c>
    </row>
    <row r="235" spans="1:12" x14ac:dyDescent="0.3">
      <c r="A235" t="s">
        <v>394</v>
      </c>
      <c r="B235">
        <v>0</v>
      </c>
      <c r="C235">
        <v>2020</v>
      </c>
      <c r="D235" t="s">
        <v>377</v>
      </c>
      <c r="E235" t="s">
        <v>378</v>
      </c>
      <c r="F235" t="s">
        <v>126</v>
      </c>
      <c r="G235" t="s">
        <v>127</v>
      </c>
      <c r="H235">
        <v>27.31171303105776</v>
      </c>
      <c r="K235" s="4" t="s">
        <v>384</v>
      </c>
      <c r="L235" s="34">
        <v>31.967115013959713</v>
      </c>
    </row>
    <row r="236" spans="1:12" x14ac:dyDescent="0.3">
      <c r="A236" t="s">
        <v>394</v>
      </c>
      <c r="B236">
        <v>0</v>
      </c>
      <c r="C236">
        <v>2020</v>
      </c>
      <c r="D236" t="s">
        <v>379</v>
      </c>
      <c r="E236" t="s">
        <v>380</v>
      </c>
      <c r="F236" t="s">
        <v>126</v>
      </c>
      <c r="G236" t="s">
        <v>127</v>
      </c>
      <c r="H236">
        <v>31.864240799544181</v>
      </c>
      <c r="K236" s="4" t="s">
        <v>386</v>
      </c>
      <c r="L236" s="34">
        <v>31.768729479114455</v>
      </c>
    </row>
    <row r="237" spans="1:12" x14ac:dyDescent="0.3">
      <c r="A237" t="s">
        <v>394</v>
      </c>
      <c r="B237">
        <v>0</v>
      </c>
      <c r="C237">
        <v>2020</v>
      </c>
      <c r="D237" t="s">
        <v>381</v>
      </c>
      <c r="E237" t="s">
        <v>382</v>
      </c>
      <c r="F237" t="s">
        <v>126</v>
      </c>
      <c r="G237" t="s">
        <v>127</v>
      </c>
      <c r="H237">
        <v>31.380999561788318</v>
      </c>
      <c r="K237" s="4" t="s">
        <v>388</v>
      </c>
      <c r="L237" s="34">
        <v>42.900143949790923</v>
      </c>
    </row>
    <row r="238" spans="1:12" x14ac:dyDescent="0.3">
      <c r="A238" t="s">
        <v>394</v>
      </c>
      <c r="B238">
        <v>0</v>
      </c>
      <c r="C238">
        <v>2020</v>
      </c>
      <c r="D238" t="s">
        <v>383</v>
      </c>
      <c r="E238" t="s">
        <v>384</v>
      </c>
      <c r="F238" t="s">
        <v>126</v>
      </c>
      <c r="G238" t="s">
        <v>127</v>
      </c>
      <c r="H238">
        <v>31.967115013959713</v>
      </c>
      <c r="K238" s="4" t="s">
        <v>390</v>
      </c>
      <c r="L238" s="34">
        <v>35.542866316168507</v>
      </c>
    </row>
    <row r="239" spans="1:12" x14ac:dyDescent="0.3">
      <c r="A239" t="s">
        <v>394</v>
      </c>
      <c r="B239">
        <v>0</v>
      </c>
      <c r="C239">
        <v>2020</v>
      </c>
      <c r="D239" t="s">
        <v>385</v>
      </c>
      <c r="E239" t="s">
        <v>386</v>
      </c>
      <c r="F239" t="s">
        <v>126</v>
      </c>
      <c r="G239" t="s">
        <v>127</v>
      </c>
      <c r="H239">
        <v>31.768729479114455</v>
      </c>
      <c r="K239" s="4" t="s">
        <v>395</v>
      </c>
      <c r="L239" s="34">
        <v>8.755477581733409</v>
      </c>
    </row>
    <row r="240" spans="1:12" x14ac:dyDescent="0.3">
      <c r="A240" t="s">
        <v>394</v>
      </c>
      <c r="B240">
        <v>0</v>
      </c>
      <c r="C240">
        <v>2020</v>
      </c>
      <c r="D240" t="s">
        <v>55</v>
      </c>
      <c r="E240" t="s">
        <v>56</v>
      </c>
      <c r="F240" t="s">
        <v>126</v>
      </c>
      <c r="G240" t="s">
        <v>127</v>
      </c>
      <c r="H240">
        <v>11.546490060009813</v>
      </c>
      <c r="K240" s="4" t="s">
        <v>396</v>
      </c>
      <c r="L240" s="34">
        <v>39.692802981137127</v>
      </c>
    </row>
    <row r="241" spans="1:12" x14ac:dyDescent="0.3">
      <c r="A241" t="s">
        <v>394</v>
      </c>
      <c r="B241">
        <v>0</v>
      </c>
      <c r="C241">
        <v>2020</v>
      </c>
      <c r="D241" t="s">
        <v>387</v>
      </c>
      <c r="E241" t="s">
        <v>388</v>
      </c>
      <c r="F241" t="s">
        <v>126</v>
      </c>
      <c r="G241" t="s">
        <v>127</v>
      </c>
      <c r="H241">
        <v>42.900143949790923</v>
      </c>
      <c r="K241" s="4" t="s">
        <v>397</v>
      </c>
      <c r="L241" s="34">
        <v>37.728443917653898</v>
      </c>
    </row>
    <row r="242" spans="1:12" x14ac:dyDescent="0.3">
      <c r="A242" t="s">
        <v>394</v>
      </c>
      <c r="B242">
        <v>0</v>
      </c>
      <c r="C242">
        <v>2020</v>
      </c>
      <c r="D242" t="s">
        <v>389</v>
      </c>
      <c r="E242" t="s">
        <v>390</v>
      </c>
      <c r="F242" t="s">
        <v>126</v>
      </c>
      <c r="G242" t="s">
        <v>127</v>
      </c>
      <c r="H242">
        <v>35.542866316168507</v>
      </c>
      <c r="K242" s="4" t="s">
        <v>398</v>
      </c>
      <c r="L242" s="34">
        <v>46.098190056840927</v>
      </c>
    </row>
    <row r="243" spans="1:12" x14ac:dyDescent="0.3">
      <c r="A243" t="s">
        <v>394</v>
      </c>
      <c r="B243">
        <v>0</v>
      </c>
      <c r="C243">
        <v>2030</v>
      </c>
      <c r="D243" t="s">
        <v>167</v>
      </c>
      <c r="E243" t="s">
        <v>187</v>
      </c>
      <c r="F243" t="s">
        <v>126</v>
      </c>
      <c r="G243" t="s">
        <v>127</v>
      </c>
      <c r="H243">
        <v>20.97206563927503</v>
      </c>
      <c r="K243" s="4" t="s">
        <v>399</v>
      </c>
      <c r="L243" s="34">
        <v>28.064927307416909</v>
      </c>
    </row>
    <row r="244" spans="1:12" x14ac:dyDescent="0.3">
      <c r="A244" t="s">
        <v>394</v>
      </c>
      <c r="B244">
        <v>0</v>
      </c>
      <c r="C244">
        <v>2030</v>
      </c>
      <c r="D244" t="s">
        <v>167</v>
      </c>
      <c r="E244" t="s">
        <v>191</v>
      </c>
      <c r="F244" t="s">
        <v>126</v>
      </c>
      <c r="G244" t="s">
        <v>127</v>
      </c>
      <c r="H244">
        <v>18.939889462156088</v>
      </c>
      <c r="K244" s="4" t="s">
        <v>400</v>
      </c>
      <c r="L244" s="34">
        <v>63.041849428174807</v>
      </c>
    </row>
    <row r="245" spans="1:12" x14ac:dyDescent="0.3">
      <c r="A245" t="s">
        <v>394</v>
      </c>
      <c r="B245">
        <v>0</v>
      </c>
      <c r="C245">
        <v>2030</v>
      </c>
      <c r="D245" t="s">
        <v>167</v>
      </c>
      <c r="E245" t="s">
        <v>395</v>
      </c>
      <c r="F245" t="s">
        <v>126</v>
      </c>
      <c r="G245" t="s">
        <v>127</v>
      </c>
      <c r="H245">
        <v>27.139370899297202</v>
      </c>
      <c r="K245" s="4" t="s">
        <v>401</v>
      </c>
      <c r="L245" s="34">
        <v>39.276972263774603</v>
      </c>
    </row>
    <row r="246" spans="1:12" x14ac:dyDescent="0.3">
      <c r="A246" t="s">
        <v>394</v>
      </c>
      <c r="B246">
        <v>0</v>
      </c>
      <c r="C246">
        <v>2030</v>
      </c>
      <c r="D246" t="s">
        <v>197</v>
      </c>
      <c r="E246" t="s">
        <v>198</v>
      </c>
      <c r="F246" t="s">
        <v>126</v>
      </c>
      <c r="G246" t="s">
        <v>127</v>
      </c>
      <c r="H246">
        <v>28.07897979482739</v>
      </c>
      <c r="K246" s="4" t="s">
        <v>402</v>
      </c>
      <c r="L246" s="34">
        <v>33.4011840537867</v>
      </c>
    </row>
    <row r="247" spans="1:12" x14ac:dyDescent="0.3">
      <c r="A247" t="s">
        <v>394</v>
      </c>
      <c r="B247">
        <v>0</v>
      </c>
      <c r="C247">
        <v>2030</v>
      </c>
      <c r="D247" t="s">
        <v>197</v>
      </c>
      <c r="E247" t="s">
        <v>231</v>
      </c>
      <c r="F247" t="s">
        <v>126</v>
      </c>
      <c r="G247" t="s">
        <v>127</v>
      </c>
      <c r="H247">
        <v>27.684596210549319</v>
      </c>
      <c r="K247" s="4" t="s">
        <v>415</v>
      </c>
      <c r="L247" s="34">
        <v>39.426170547618057</v>
      </c>
    </row>
    <row r="248" spans="1:12" x14ac:dyDescent="0.3">
      <c r="A248" t="s">
        <v>394</v>
      </c>
      <c r="B248">
        <v>0</v>
      </c>
      <c r="C248">
        <v>2030</v>
      </c>
      <c r="D248" t="s">
        <v>250</v>
      </c>
      <c r="E248" t="s">
        <v>251</v>
      </c>
      <c r="F248" t="s">
        <v>126</v>
      </c>
      <c r="G248" t="s">
        <v>127</v>
      </c>
      <c r="H248">
        <v>22.899329621194177</v>
      </c>
      <c r="K248" s="4" t="s">
        <v>403</v>
      </c>
      <c r="L248" s="34">
        <v>39.716227016419289</v>
      </c>
    </row>
    <row r="249" spans="1:12" x14ac:dyDescent="0.3">
      <c r="A249" t="s">
        <v>394</v>
      </c>
      <c r="B249">
        <v>0</v>
      </c>
      <c r="C249">
        <v>2030</v>
      </c>
      <c r="D249" t="s">
        <v>255</v>
      </c>
      <c r="E249" t="s">
        <v>396</v>
      </c>
      <c r="F249" t="s">
        <v>126</v>
      </c>
      <c r="G249" t="s">
        <v>127</v>
      </c>
      <c r="H249">
        <v>30.109251562477397</v>
      </c>
      <c r="K249" s="4" t="s">
        <v>404</v>
      </c>
      <c r="L249" s="34">
        <v>32.240703989547306</v>
      </c>
    </row>
    <row r="250" spans="1:12" x14ac:dyDescent="0.3">
      <c r="A250" t="s">
        <v>394</v>
      </c>
      <c r="B250">
        <v>0</v>
      </c>
      <c r="C250">
        <v>2030</v>
      </c>
      <c r="D250" t="s">
        <v>305</v>
      </c>
      <c r="E250" t="s">
        <v>306</v>
      </c>
      <c r="F250" t="s">
        <v>126</v>
      </c>
      <c r="G250" t="s">
        <v>127</v>
      </c>
      <c r="H250">
        <v>29.536069862482279</v>
      </c>
      <c r="K250" s="4" t="s">
        <v>405</v>
      </c>
      <c r="L250" s="34">
        <v>39.55258926809897</v>
      </c>
    </row>
    <row r="251" spans="1:12" x14ac:dyDescent="0.3">
      <c r="A251" t="s">
        <v>394</v>
      </c>
      <c r="B251">
        <v>0</v>
      </c>
      <c r="C251">
        <v>2030</v>
      </c>
      <c r="D251" t="s">
        <v>309</v>
      </c>
      <c r="E251" t="s">
        <v>310</v>
      </c>
      <c r="F251" t="s">
        <v>126</v>
      </c>
      <c r="G251" t="s">
        <v>127</v>
      </c>
      <c r="H251">
        <v>19.59685271855307</v>
      </c>
      <c r="K251" s="4" t="s">
        <v>406</v>
      </c>
      <c r="L251" s="34">
        <v>39.85939186740827</v>
      </c>
    </row>
    <row r="252" spans="1:12" x14ac:dyDescent="0.3">
      <c r="A252" t="s">
        <v>394</v>
      </c>
      <c r="B252">
        <v>0</v>
      </c>
      <c r="C252">
        <v>2030</v>
      </c>
      <c r="D252" t="s">
        <v>309</v>
      </c>
      <c r="E252" t="s">
        <v>311</v>
      </c>
      <c r="F252" t="s">
        <v>126</v>
      </c>
      <c r="G252" t="s">
        <v>127</v>
      </c>
      <c r="H252">
        <v>21.964995119759823</v>
      </c>
      <c r="K252" s="4" t="s">
        <v>407</v>
      </c>
      <c r="L252" s="34">
        <v>40.466566797557093</v>
      </c>
    </row>
    <row r="253" spans="1:12" x14ac:dyDescent="0.3">
      <c r="A253" t="s">
        <v>394</v>
      </c>
      <c r="B253">
        <v>0</v>
      </c>
      <c r="C253">
        <v>2030</v>
      </c>
      <c r="D253" t="s">
        <v>309</v>
      </c>
      <c r="E253" t="s">
        <v>312</v>
      </c>
      <c r="F253" t="s">
        <v>126</v>
      </c>
      <c r="G253" t="s">
        <v>127</v>
      </c>
      <c r="H253">
        <v>25.868182394850784</v>
      </c>
      <c r="K253" s="4" t="s">
        <v>408</v>
      </c>
      <c r="L253" s="34">
        <v>40.875251791201535</v>
      </c>
    </row>
    <row r="254" spans="1:12" x14ac:dyDescent="0.3">
      <c r="A254" t="s">
        <v>394</v>
      </c>
      <c r="B254">
        <v>0</v>
      </c>
      <c r="C254">
        <v>2030</v>
      </c>
      <c r="D254" t="s">
        <v>309</v>
      </c>
      <c r="E254" t="s">
        <v>313</v>
      </c>
      <c r="F254" t="s">
        <v>126</v>
      </c>
      <c r="G254" t="s">
        <v>127</v>
      </c>
      <c r="H254">
        <v>25.943790816483762</v>
      </c>
      <c r="K254" s="4" t="s">
        <v>409</v>
      </c>
      <c r="L254" s="34">
        <v>32.906478635765744</v>
      </c>
    </row>
    <row r="255" spans="1:12" x14ac:dyDescent="0.3">
      <c r="A255" t="s">
        <v>394</v>
      </c>
      <c r="B255">
        <v>0</v>
      </c>
      <c r="C255">
        <v>2030</v>
      </c>
      <c r="D255" t="s">
        <v>314</v>
      </c>
      <c r="E255" t="s">
        <v>315</v>
      </c>
      <c r="F255" t="s">
        <v>126</v>
      </c>
      <c r="G255" t="s">
        <v>127</v>
      </c>
      <c r="H255">
        <v>29.247506812691775</v>
      </c>
      <c r="K255" s="3">
        <v>2030</v>
      </c>
      <c r="L255" s="34">
        <v>28.275257546627071</v>
      </c>
    </row>
    <row r="256" spans="1:12" x14ac:dyDescent="0.3">
      <c r="A256" t="s">
        <v>394</v>
      </c>
      <c r="B256">
        <v>0</v>
      </c>
      <c r="C256">
        <v>2030</v>
      </c>
      <c r="D256" t="s">
        <v>314</v>
      </c>
      <c r="E256" t="s">
        <v>397</v>
      </c>
      <c r="F256" t="s">
        <v>126</v>
      </c>
      <c r="G256" t="s">
        <v>127</v>
      </c>
      <c r="H256">
        <v>29.73789878092332</v>
      </c>
      <c r="K256" s="4" t="s">
        <v>56</v>
      </c>
      <c r="L256" s="34">
        <v>21.27772453618401</v>
      </c>
    </row>
    <row r="257" spans="1:12" x14ac:dyDescent="0.3">
      <c r="A257" t="s">
        <v>394</v>
      </c>
      <c r="B257">
        <v>0</v>
      </c>
      <c r="C257">
        <v>2030</v>
      </c>
      <c r="D257" t="s">
        <v>314</v>
      </c>
      <c r="E257" t="s">
        <v>398</v>
      </c>
      <c r="F257" t="s">
        <v>126</v>
      </c>
      <c r="G257" t="s">
        <v>127</v>
      </c>
      <c r="H257">
        <v>26.177009929762356</v>
      </c>
      <c r="K257" s="4" t="s">
        <v>198</v>
      </c>
      <c r="L257" s="34">
        <v>28.07897979482739</v>
      </c>
    </row>
    <row r="258" spans="1:12" x14ac:dyDescent="0.3">
      <c r="A258" t="s">
        <v>394</v>
      </c>
      <c r="B258">
        <v>0</v>
      </c>
      <c r="C258">
        <v>2030</v>
      </c>
      <c r="D258" t="s">
        <v>328</v>
      </c>
      <c r="E258" t="s">
        <v>329</v>
      </c>
      <c r="F258" t="s">
        <v>126</v>
      </c>
      <c r="G258" t="s">
        <v>127</v>
      </c>
      <c r="H258">
        <v>25.476270844756097</v>
      </c>
      <c r="K258" s="4" t="s">
        <v>231</v>
      </c>
      <c r="L258" s="34">
        <v>27.684596210549319</v>
      </c>
    </row>
    <row r="259" spans="1:12" x14ac:dyDescent="0.3">
      <c r="A259" t="s">
        <v>394</v>
      </c>
      <c r="B259">
        <v>0</v>
      </c>
      <c r="C259">
        <v>2030</v>
      </c>
      <c r="D259" t="s">
        <v>330</v>
      </c>
      <c r="E259" t="s">
        <v>331</v>
      </c>
      <c r="F259" t="s">
        <v>126</v>
      </c>
      <c r="G259" t="s">
        <v>127</v>
      </c>
      <c r="H259">
        <v>24.62241993006025</v>
      </c>
      <c r="K259" s="4" t="s">
        <v>187</v>
      </c>
      <c r="L259" s="34">
        <v>20.97206563927503</v>
      </c>
    </row>
    <row r="260" spans="1:12" x14ac:dyDescent="0.3">
      <c r="A260" t="s">
        <v>394</v>
      </c>
      <c r="B260">
        <v>0</v>
      </c>
      <c r="C260">
        <v>2030</v>
      </c>
      <c r="D260" t="s">
        <v>332</v>
      </c>
      <c r="E260" t="s">
        <v>333</v>
      </c>
      <c r="F260" t="s">
        <v>126</v>
      </c>
      <c r="G260" t="s">
        <v>127</v>
      </c>
      <c r="H260">
        <v>23.546875115127122</v>
      </c>
      <c r="K260" s="4" t="s">
        <v>191</v>
      </c>
      <c r="L260" s="34">
        <v>18.939889462156088</v>
      </c>
    </row>
    <row r="261" spans="1:12" x14ac:dyDescent="0.3">
      <c r="A261" t="s">
        <v>394</v>
      </c>
      <c r="B261">
        <v>0</v>
      </c>
      <c r="C261">
        <v>2030</v>
      </c>
      <c r="D261" t="s">
        <v>336</v>
      </c>
      <c r="E261" t="s">
        <v>337</v>
      </c>
      <c r="F261" t="s">
        <v>126</v>
      </c>
      <c r="G261" t="s">
        <v>127</v>
      </c>
      <c r="H261">
        <v>26.67724224617568</v>
      </c>
      <c r="K261" s="4" t="s">
        <v>251</v>
      </c>
      <c r="L261" s="34">
        <v>22.899329621194177</v>
      </c>
    </row>
    <row r="262" spans="1:12" x14ac:dyDescent="0.3">
      <c r="A262" t="s">
        <v>394</v>
      </c>
      <c r="B262">
        <v>0</v>
      </c>
      <c r="C262">
        <v>2030</v>
      </c>
      <c r="D262" t="s">
        <v>338</v>
      </c>
      <c r="E262" t="s">
        <v>339</v>
      </c>
      <c r="F262" t="s">
        <v>126</v>
      </c>
      <c r="G262" t="s">
        <v>127</v>
      </c>
      <c r="H262">
        <v>29.46995334523891</v>
      </c>
      <c r="K262" s="4" t="s">
        <v>306</v>
      </c>
      <c r="L262" s="34">
        <v>29.536069862482279</v>
      </c>
    </row>
    <row r="263" spans="1:12" x14ac:dyDescent="0.3">
      <c r="A263" t="s">
        <v>394</v>
      </c>
      <c r="B263">
        <v>0</v>
      </c>
      <c r="C263">
        <v>2030</v>
      </c>
      <c r="D263" t="s">
        <v>340</v>
      </c>
      <c r="E263" t="s">
        <v>341</v>
      </c>
      <c r="F263" t="s">
        <v>126</v>
      </c>
      <c r="G263" t="s">
        <v>127</v>
      </c>
      <c r="H263">
        <v>28.645122633482575</v>
      </c>
      <c r="K263" s="4" t="s">
        <v>310</v>
      </c>
      <c r="L263" s="34">
        <v>19.59685271855307</v>
      </c>
    </row>
    <row r="264" spans="1:12" x14ac:dyDescent="0.3">
      <c r="A264" t="s">
        <v>394</v>
      </c>
      <c r="B264">
        <v>0</v>
      </c>
      <c r="C264">
        <v>2030</v>
      </c>
      <c r="D264" t="s">
        <v>340</v>
      </c>
      <c r="E264" t="s">
        <v>399</v>
      </c>
      <c r="F264" t="s">
        <v>126</v>
      </c>
      <c r="G264" t="s">
        <v>127</v>
      </c>
      <c r="H264">
        <v>26.473707488179681</v>
      </c>
      <c r="K264" s="4" t="s">
        <v>311</v>
      </c>
      <c r="L264" s="34">
        <v>21.964995119759823</v>
      </c>
    </row>
    <row r="265" spans="1:12" x14ac:dyDescent="0.3">
      <c r="A265" t="s">
        <v>394</v>
      </c>
      <c r="B265">
        <v>0</v>
      </c>
      <c r="C265">
        <v>2030</v>
      </c>
      <c r="D265" t="s">
        <v>340</v>
      </c>
      <c r="E265" t="s">
        <v>400</v>
      </c>
      <c r="F265" t="s">
        <v>126</v>
      </c>
      <c r="G265" t="s">
        <v>127</v>
      </c>
      <c r="H265">
        <v>53.112912494761396</v>
      </c>
      <c r="K265" s="4" t="s">
        <v>312</v>
      </c>
      <c r="L265" s="34">
        <v>25.868182394850784</v>
      </c>
    </row>
    <row r="266" spans="1:12" x14ac:dyDescent="0.3">
      <c r="A266" t="s">
        <v>394</v>
      </c>
      <c r="B266">
        <v>0</v>
      </c>
      <c r="C266">
        <v>2030</v>
      </c>
      <c r="D266" t="s">
        <v>346</v>
      </c>
      <c r="E266" t="s">
        <v>347</v>
      </c>
      <c r="F266" t="s">
        <v>126</v>
      </c>
      <c r="G266" t="s">
        <v>127</v>
      </c>
      <c r="H266">
        <v>29.83080468301344</v>
      </c>
      <c r="K266" s="4" t="s">
        <v>313</v>
      </c>
      <c r="L266" s="34">
        <v>25.943790816483762</v>
      </c>
    </row>
    <row r="267" spans="1:12" x14ac:dyDescent="0.3">
      <c r="A267" t="s">
        <v>394</v>
      </c>
      <c r="B267">
        <v>0</v>
      </c>
      <c r="C267">
        <v>2030</v>
      </c>
      <c r="D267" t="s">
        <v>346</v>
      </c>
      <c r="E267" t="s">
        <v>401</v>
      </c>
      <c r="F267" t="s">
        <v>126</v>
      </c>
      <c r="G267" t="s">
        <v>127</v>
      </c>
      <c r="H267">
        <v>34.128702109122081</v>
      </c>
      <c r="K267" s="4" t="s">
        <v>315</v>
      </c>
      <c r="L267" s="34">
        <v>29.247506812691775</v>
      </c>
    </row>
    <row r="268" spans="1:12" x14ac:dyDescent="0.3">
      <c r="A268" t="s">
        <v>394</v>
      </c>
      <c r="B268">
        <v>0</v>
      </c>
      <c r="C268">
        <v>2030</v>
      </c>
      <c r="D268" t="s">
        <v>346</v>
      </c>
      <c r="E268" t="s">
        <v>402</v>
      </c>
      <c r="F268" t="s">
        <v>126</v>
      </c>
      <c r="G268" t="s">
        <v>127</v>
      </c>
      <c r="H268">
        <v>32.870950986705651</v>
      </c>
      <c r="K268" s="4" t="s">
        <v>329</v>
      </c>
      <c r="L268" s="34">
        <v>25.476270844756097</v>
      </c>
    </row>
    <row r="269" spans="1:12" x14ac:dyDescent="0.3">
      <c r="A269" t="s">
        <v>394</v>
      </c>
      <c r="B269">
        <v>0</v>
      </c>
      <c r="C269">
        <v>2030</v>
      </c>
      <c r="D269" t="s">
        <v>346</v>
      </c>
      <c r="E269" t="s">
        <v>415</v>
      </c>
      <c r="F269" t="s">
        <v>126</v>
      </c>
      <c r="G269" t="s">
        <v>127</v>
      </c>
      <c r="H269">
        <v>34.448398126859146</v>
      </c>
      <c r="K269" s="4" t="s">
        <v>331</v>
      </c>
      <c r="L269" s="34">
        <v>24.62241993006025</v>
      </c>
    </row>
    <row r="270" spans="1:12" x14ac:dyDescent="0.3">
      <c r="A270" t="s">
        <v>394</v>
      </c>
      <c r="B270">
        <v>0</v>
      </c>
      <c r="C270">
        <v>2030</v>
      </c>
      <c r="D270" t="s">
        <v>346</v>
      </c>
      <c r="E270" t="s">
        <v>403</v>
      </c>
      <c r="F270" t="s">
        <v>126</v>
      </c>
      <c r="G270" t="s">
        <v>127</v>
      </c>
      <c r="H270">
        <v>34.44078100271566</v>
      </c>
      <c r="K270" s="4" t="s">
        <v>333</v>
      </c>
      <c r="L270" s="34">
        <v>23.546875115127122</v>
      </c>
    </row>
    <row r="271" spans="1:12" x14ac:dyDescent="0.3">
      <c r="A271" t="s">
        <v>394</v>
      </c>
      <c r="B271">
        <v>0</v>
      </c>
      <c r="C271">
        <v>2030</v>
      </c>
      <c r="D271" t="s">
        <v>346</v>
      </c>
      <c r="E271" t="s">
        <v>404</v>
      </c>
      <c r="F271" t="s">
        <v>126</v>
      </c>
      <c r="G271" t="s">
        <v>127</v>
      </c>
      <c r="H271">
        <v>31.351186406998881</v>
      </c>
      <c r="K271" s="4" t="s">
        <v>337</v>
      </c>
      <c r="L271" s="34">
        <v>26.67724224617568</v>
      </c>
    </row>
    <row r="272" spans="1:12" x14ac:dyDescent="0.3">
      <c r="A272" t="s">
        <v>394</v>
      </c>
      <c r="B272">
        <v>0</v>
      </c>
      <c r="C272">
        <v>2030</v>
      </c>
      <c r="D272" t="s">
        <v>346</v>
      </c>
      <c r="E272" t="s">
        <v>405</v>
      </c>
      <c r="F272" t="s">
        <v>126</v>
      </c>
      <c r="G272" t="s">
        <v>127</v>
      </c>
      <c r="H272">
        <v>34.292133896594962</v>
      </c>
      <c r="K272" s="4" t="s">
        <v>339</v>
      </c>
      <c r="L272" s="34">
        <v>29.46995334523891</v>
      </c>
    </row>
    <row r="273" spans="1:12" x14ac:dyDescent="0.3">
      <c r="A273" t="s">
        <v>394</v>
      </c>
      <c r="B273">
        <v>0</v>
      </c>
      <c r="C273">
        <v>2030</v>
      </c>
      <c r="D273" t="s">
        <v>346</v>
      </c>
      <c r="E273" t="s">
        <v>406</v>
      </c>
      <c r="F273" t="s">
        <v>126</v>
      </c>
      <c r="G273" t="s">
        <v>127</v>
      </c>
      <c r="H273">
        <v>34.672210557324654</v>
      </c>
      <c r="K273" s="4" t="s">
        <v>341</v>
      </c>
      <c r="L273" s="34">
        <v>28.645122633482575</v>
      </c>
    </row>
    <row r="274" spans="1:12" x14ac:dyDescent="0.3">
      <c r="A274" t="s">
        <v>394</v>
      </c>
      <c r="B274">
        <v>0</v>
      </c>
      <c r="C274">
        <v>2030</v>
      </c>
      <c r="D274" t="s">
        <v>346</v>
      </c>
      <c r="E274" t="s">
        <v>407</v>
      </c>
      <c r="F274" t="s">
        <v>126</v>
      </c>
      <c r="G274" t="s">
        <v>127</v>
      </c>
      <c r="H274">
        <v>35.050536343835908</v>
      </c>
      <c r="K274" s="4" t="s">
        <v>347</v>
      </c>
      <c r="L274" s="34">
        <v>29.83080468301344</v>
      </c>
    </row>
    <row r="275" spans="1:12" x14ac:dyDescent="0.3">
      <c r="A275" t="s">
        <v>394</v>
      </c>
      <c r="B275">
        <v>0</v>
      </c>
      <c r="C275">
        <v>2030</v>
      </c>
      <c r="D275" t="s">
        <v>348</v>
      </c>
      <c r="E275" t="s">
        <v>349</v>
      </c>
      <c r="F275" t="s">
        <v>126</v>
      </c>
      <c r="G275" t="s">
        <v>127</v>
      </c>
      <c r="H275">
        <v>28.64900854025824</v>
      </c>
      <c r="K275" s="4" t="s">
        <v>349</v>
      </c>
      <c r="L275" s="34">
        <v>28.64900854025824</v>
      </c>
    </row>
    <row r="276" spans="1:12" x14ac:dyDescent="0.3">
      <c r="A276" t="s">
        <v>394</v>
      </c>
      <c r="B276">
        <v>0</v>
      </c>
      <c r="C276">
        <v>2030</v>
      </c>
      <c r="D276" t="s">
        <v>350</v>
      </c>
      <c r="E276" t="s">
        <v>351</v>
      </c>
      <c r="F276" t="s">
        <v>126</v>
      </c>
      <c r="G276" t="s">
        <v>127</v>
      </c>
      <c r="H276">
        <v>26.950641757298428</v>
      </c>
      <c r="K276" s="4" t="s">
        <v>351</v>
      </c>
      <c r="L276" s="34">
        <v>26.950641757298428</v>
      </c>
    </row>
    <row r="277" spans="1:12" x14ac:dyDescent="0.3">
      <c r="A277" t="s">
        <v>394</v>
      </c>
      <c r="B277">
        <v>0</v>
      </c>
      <c r="C277">
        <v>2030</v>
      </c>
      <c r="D277" t="s">
        <v>352</v>
      </c>
      <c r="E277" t="s">
        <v>353</v>
      </c>
      <c r="F277" t="s">
        <v>126</v>
      </c>
      <c r="G277" t="s">
        <v>127</v>
      </c>
      <c r="H277">
        <v>28.241328746294553</v>
      </c>
      <c r="K277" s="4" t="s">
        <v>353</v>
      </c>
      <c r="L277" s="34">
        <v>28.241328746294553</v>
      </c>
    </row>
    <row r="278" spans="1:12" x14ac:dyDescent="0.3">
      <c r="A278" t="s">
        <v>394</v>
      </c>
      <c r="B278">
        <v>0</v>
      </c>
      <c r="C278">
        <v>2030</v>
      </c>
      <c r="D278" t="s">
        <v>354</v>
      </c>
      <c r="E278" t="s">
        <v>355</v>
      </c>
      <c r="F278" t="s">
        <v>126</v>
      </c>
      <c r="G278" t="s">
        <v>127</v>
      </c>
      <c r="H278">
        <v>27.175786460812237</v>
      </c>
      <c r="K278" s="4" t="s">
        <v>355</v>
      </c>
      <c r="L278" s="34">
        <v>27.175786460812237</v>
      </c>
    </row>
    <row r="279" spans="1:12" x14ac:dyDescent="0.3">
      <c r="A279" t="s">
        <v>394</v>
      </c>
      <c r="B279">
        <v>0</v>
      </c>
      <c r="C279">
        <v>2030</v>
      </c>
      <c r="D279" t="s">
        <v>356</v>
      </c>
      <c r="E279" t="s">
        <v>357</v>
      </c>
      <c r="F279" t="s">
        <v>126</v>
      </c>
      <c r="G279" t="s">
        <v>127</v>
      </c>
      <c r="H279">
        <v>27.045474169479125</v>
      </c>
      <c r="K279" s="4" t="s">
        <v>357</v>
      </c>
      <c r="L279" s="34">
        <v>27.045474169479125</v>
      </c>
    </row>
    <row r="280" spans="1:12" x14ac:dyDescent="0.3">
      <c r="A280" t="s">
        <v>394</v>
      </c>
      <c r="B280">
        <v>0</v>
      </c>
      <c r="C280">
        <v>2030</v>
      </c>
      <c r="D280" t="s">
        <v>358</v>
      </c>
      <c r="E280" t="s">
        <v>359</v>
      </c>
      <c r="F280" t="s">
        <v>126</v>
      </c>
      <c r="G280" t="s">
        <v>127</v>
      </c>
      <c r="H280">
        <v>26.950412221094343</v>
      </c>
      <c r="K280" s="4" t="s">
        <v>359</v>
      </c>
      <c r="L280" s="34">
        <v>26.950412221094343</v>
      </c>
    </row>
    <row r="281" spans="1:12" x14ac:dyDescent="0.3">
      <c r="A281" t="s">
        <v>394</v>
      </c>
      <c r="B281">
        <v>0</v>
      </c>
      <c r="C281">
        <v>2030</v>
      </c>
      <c r="D281" t="s">
        <v>360</v>
      </c>
      <c r="E281" t="s">
        <v>361</v>
      </c>
      <c r="F281" t="s">
        <v>126</v>
      </c>
      <c r="G281" t="s">
        <v>127</v>
      </c>
      <c r="H281">
        <v>27.276835031674299</v>
      </c>
      <c r="K281" s="4" t="s">
        <v>361</v>
      </c>
      <c r="L281" s="34">
        <v>27.276835031674299</v>
      </c>
    </row>
    <row r="282" spans="1:12" x14ac:dyDescent="0.3">
      <c r="A282" t="s">
        <v>394</v>
      </c>
      <c r="B282">
        <v>0</v>
      </c>
      <c r="C282">
        <v>2030</v>
      </c>
      <c r="D282" t="s">
        <v>362</v>
      </c>
      <c r="E282" t="s">
        <v>363</v>
      </c>
      <c r="F282" t="s">
        <v>126</v>
      </c>
      <c r="G282" t="s">
        <v>127</v>
      </c>
      <c r="H282">
        <v>27.316174896371006</v>
      </c>
      <c r="K282" s="4" t="s">
        <v>363</v>
      </c>
      <c r="L282" s="34">
        <v>27.316174896371006</v>
      </c>
    </row>
    <row r="283" spans="1:12" x14ac:dyDescent="0.3">
      <c r="A283" t="s">
        <v>394</v>
      </c>
      <c r="B283">
        <v>0</v>
      </c>
      <c r="C283">
        <v>2030</v>
      </c>
      <c r="D283" t="s">
        <v>364</v>
      </c>
      <c r="E283" t="s">
        <v>365</v>
      </c>
      <c r="F283" t="s">
        <v>126</v>
      </c>
      <c r="G283" t="s">
        <v>127</v>
      </c>
      <c r="H283">
        <v>26.775429585800765</v>
      </c>
      <c r="K283" s="4" t="s">
        <v>365</v>
      </c>
      <c r="L283" s="34">
        <v>26.775429585800765</v>
      </c>
    </row>
    <row r="284" spans="1:12" x14ac:dyDescent="0.3">
      <c r="A284" t="s">
        <v>394</v>
      </c>
      <c r="B284">
        <v>0</v>
      </c>
      <c r="C284">
        <v>2030</v>
      </c>
      <c r="D284" t="s">
        <v>366</v>
      </c>
      <c r="E284" t="s">
        <v>367</v>
      </c>
      <c r="F284" t="s">
        <v>126</v>
      </c>
      <c r="G284" t="s">
        <v>127</v>
      </c>
      <c r="H284">
        <v>27.130310944649391</v>
      </c>
      <c r="K284" s="4" t="s">
        <v>367</v>
      </c>
      <c r="L284" s="34">
        <v>27.130310944649391</v>
      </c>
    </row>
    <row r="285" spans="1:12" x14ac:dyDescent="0.3">
      <c r="A285" t="s">
        <v>394</v>
      </c>
      <c r="B285">
        <v>0</v>
      </c>
      <c r="C285">
        <v>2030</v>
      </c>
      <c r="D285" t="s">
        <v>368</v>
      </c>
      <c r="E285" t="s">
        <v>369</v>
      </c>
      <c r="F285" t="s">
        <v>126</v>
      </c>
      <c r="G285" t="s">
        <v>127</v>
      </c>
      <c r="H285">
        <v>26.597643703072027</v>
      </c>
      <c r="K285" s="4" t="s">
        <v>369</v>
      </c>
      <c r="L285" s="34">
        <v>26.597643703072027</v>
      </c>
    </row>
    <row r="286" spans="1:12" x14ac:dyDescent="0.3">
      <c r="A286" t="s">
        <v>394</v>
      </c>
      <c r="B286">
        <v>0</v>
      </c>
      <c r="C286">
        <v>2030</v>
      </c>
      <c r="D286" t="s">
        <v>370</v>
      </c>
      <c r="E286" t="s">
        <v>371</v>
      </c>
      <c r="F286" t="s">
        <v>126</v>
      </c>
      <c r="G286" t="s">
        <v>127</v>
      </c>
      <c r="H286">
        <v>28.349812984564259</v>
      </c>
      <c r="K286" s="4" t="s">
        <v>371</v>
      </c>
      <c r="L286" s="34">
        <v>28.349812984564259</v>
      </c>
    </row>
    <row r="287" spans="1:12" x14ac:dyDescent="0.3">
      <c r="A287" t="s">
        <v>394</v>
      </c>
      <c r="B287">
        <v>0</v>
      </c>
      <c r="C287">
        <v>2030</v>
      </c>
      <c r="D287" t="s">
        <v>370</v>
      </c>
      <c r="E287" t="s">
        <v>408</v>
      </c>
      <c r="F287" t="s">
        <v>126</v>
      </c>
      <c r="G287" t="s">
        <v>127</v>
      </c>
      <c r="H287">
        <v>34.664873433463498</v>
      </c>
      <c r="K287" s="4" t="s">
        <v>374</v>
      </c>
      <c r="L287" s="34">
        <v>25.571275373541265</v>
      </c>
    </row>
    <row r="288" spans="1:12" x14ac:dyDescent="0.3">
      <c r="A288" t="s">
        <v>394</v>
      </c>
      <c r="B288">
        <v>0</v>
      </c>
      <c r="C288">
        <v>2030</v>
      </c>
      <c r="D288" t="s">
        <v>370</v>
      </c>
      <c r="E288" t="s">
        <v>409</v>
      </c>
      <c r="F288" t="s">
        <v>126</v>
      </c>
      <c r="G288" t="s">
        <v>127</v>
      </c>
      <c r="H288">
        <v>24.058574993096244</v>
      </c>
      <c r="K288" s="4" t="s">
        <v>376</v>
      </c>
      <c r="L288" s="34">
        <v>30.133036620334369</v>
      </c>
    </row>
    <row r="289" spans="1:12" x14ac:dyDescent="0.3">
      <c r="A289" t="s">
        <v>394</v>
      </c>
      <c r="B289">
        <v>0</v>
      </c>
      <c r="C289">
        <v>2030</v>
      </c>
      <c r="D289" t="s">
        <v>373</v>
      </c>
      <c r="E289" t="s">
        <v>374</v>
      </c>
      <c r="F289" t="s">
        <v>126</v>
      </c>
      <c r="G289" t="s">
        <v>127</v>
      </c>
      <c r="H289">
        <v>25.571275373541265</v>
      </c>
      <c r="K289" s="4" t="s">
        <v>378</v>
      </c>
      <c r="L289" s="34">
        <v>25.904503260710218</v>
      </c>
    </row>
    <row r="290" spans="1:12" x14ac:dyDescent="0.3">
      <c r="A290" t="s">
        <v>394</v>
      </c>
      <c r="B290">
        <v>0</v>
      </c>
      <c r="C290">
        <v>2030</v>
      </c>
      <c r="D290" t="s">
        <v>375</v>
      </c>
      <c r="E290" t="s">
        <v>376</v>
      </c>
      <c r="F290" t="s">
        <v>126</v>
      </c>
      <c r="G290" t="s">
        <v>127</v>
      </c>
      <c r="H290">
        <v>30.133036620334369</v>
      </c>
      <c r="K290" s="4" t="s">
        <v>380</v>
      </c>
      <c r="L290" s="34">
        <v>27.272617393807238</v>
      </c>
    </row>
    <row r="291" spans="1:12" x14ac:dyDescent="0.3">
      <c r="A291" t="s">
        <v>394</v>
      </c>
      <c r="B291">
        <v>0</v>
      </c>
      <c r="C291">
        <v>2030</v>
      </c>
      <c r="D291" t="s">
        <v>377</v>
      </c>
      <c r="E291" t="s">
        <v>378</v>
      </c>
      <c r="F291" t="s">
        <v>126</v>
      </c>
      <c r="G291" t="s">
        <v>127</v>
      </c>
      <c r="H291">
        <v>25.904503260710218</v>
      </c>
      <c r="K291" s="4" t="s">
        <v>382</v>
      </c>
      <c r="L291" s="34">
        <v>27.183250280341795</v>
      </c>
    </row>
    <row r="292" spans="1:12" x14ac:dyDescent="0.3">
      <c r="A292" t="s">
        <v>394</v>
      </c>
      <c r="B292">
        <v>0</v>
      </c>
      <c r="C292">
        <v>2030</v>
      </c>
      <c r="D292" t="s">
        <v>379</v>
      </c>
      <c r="E292" t="s">
        <v>380</v>
      </c>
      <c r="F292" t="s">
        <v>126</v>
      </c>
      <c r="G292" t="s">
        <v>127</v>
      </c>
      <c r="H292">
        <v>27.272617393807238</v>
      </c>
      <c r="K292" s="4" t="s">
        <v>384</v>
      </c>
      <c r="L292" s="34">
        <v>27.553856942105678</v>
      </c>
    </row>
    <row r="293" spans="1:12" x14ac:dyDescent="0.3">
      <c r="A293" t="s">
        <v>394</v>
      </c>
      <c r="B293">
        <v>0</v>
      </c>
      <c r="C293">
        <v>2030</v>
      </c>
      <c r="D293" t="s">
        <v>381</v>
      </c>
      <c r="E293" t="s">
        <v>382</v>
      </c>
      <c r="F293" t="s">
        <v>126</v>
      </c>
      <c r="G293" t="s">
        <v>127</v>
      </c>
      <c r="H293">
        <v>27.183250280341795</v>
      </c>
      <c r="K293" s="4" t="s">
        <v>386</v>
      </c>
      <c r="L293" s="34">
        <v>27.60479810077517</v>
      </c>
    </row>
    <row r="294" spans="1:12" x14ac:dyDescent="0.3">
      <c r="A294" t="s">
        <v>394</v>
      </c>
      <c r="B294">
        <v>0</v>
      </c>
      <c r="C294">
        <v>2030</v>
      </c>
      <c r="D294" t="s">
        <v>383</v>
      </c>
      <c r="E294" t="s">
        <v>384</v>
      </c>
      <c r="F294" t="s">
        <v>126</v>
      </c>
      <c r="G294" t="s">
        <v>127</v>
      </c>
      <c r="H294">
        <v>27.553856942105678</v>
      </c>
      <c r="K294" s="4" t="s">
        <v>388</v>
      </c>
      <c r="L294" s="34">
        <v>35.347793727997164</v>
      </c>
    </row>
    <row r="295" spans="1:12" x14ac:dyDescent="0.3">
      <c r="A295" t="s">
        <v>394</v>
      </c>
      <c r="B295">
        <v>0</v>
      </c>
      <c r="C295">
        <v>2030</v>
      </c>
      <c r="D295" t="s">
        <v>385</v>
      </c>
      <c r="E295" t="s">
        <v>386</v>
      </c>
      <c r="F295" t="s">
        <v>126</v>
      </c>
      <c r="G295" t="s">
        <v>127</v>
      </c>
      <c r="H295">
        <v>27.60479810077517</v>
      </c>
      <c r="K295" s="4" t="s">
        <v>390</v>
      </c>
      <c r="L295" s="34">
        <v>25.377261071155008</v>
      </c>
    </row>
    <row r="296" spans="1:12" x14ac:dyDescent="0.3">
      <c r="A296" t="s">
        <v>394</v>
      </c>
      <c r="B296">
        <v>0</v>
      </c>
      <c r="C296">
        <v>2030</v>
      </c>
      <c r="D296" t="s">
        <v>55</v>
      </c>
      <c r="E296" t="s">
        <v>56</v>
      </c>
      <c r="F296" t="s">
        <v>126</v>
      </c>
      <c r="G296" t="s">
        <v>127</v>
      </c>
      <c r="H296">
        <v>21.27772453618401</v>
      </c>
      <c r="K296" s="4" t="s">
        <v>395</v>
      </c>
      <c r="L296" s="34">
        <v>27.139370899297202</v>
      </c>
    </row>
    <row r="297" spans="1:12" x14ac:dyDescent="0.3">
      <c r="A297" t="s">
        <v>394</v>
      </c>
      <c r="B297">
        <v>0</v>
      </c>
      <c r="C297">
        <v>2030</v>
      </c>
      <c r="D297" t="s">
        <v>387</v>
      </c>
      <c r="E297" t="s">
        <v>388</v>
      </c>
      <c r="F297" t="s">
        <v>126</v>
      </c>
      <c r="G297" t="s">
        <v>127</v>
      </c>
      <c r="H297">
        <v>35.347793727997164</v>
      </c>
      <c r="K297" s="4" t="s">
        <v>396</v>
      </c>
      <c r="L297" s="34">
        <v>30.109251562477397</v>
      </c>
    </row>
    <row r="298" spans="1:12" x14ac:dyDescent="0.3">
      <c r="A298" t="s">
        <v>394</v>
      </c>
      <c r="B298">
        <v>0</v>
      </c>
      <c r="C298">
        <v>2030</v>
      </c>
      <c r="D298" t="s">
        <v>389</v>
      </c>
      <c r="E298" t="s">
        <v>390</v>
      </c>
      <c r="F298" t="s">
        <v>126</v>
      </c>
      <c r="G298" t="s">
        <v>127</v>
      </c>
      <c r="H298">
        <v>25.377261071155008</v>
      </c>
      <c r="K298" s="4" t="s">
        <v>397</v>
      </c>
      <c r="L298" s="34">
        <v>29.73789878092332</v>
      </c>
    </row>
    <row r="299" spans="1:12" x14ac:dyDescent="0.3">
      <c r="A299" t="s">
        <v>394</v>
      </c>
      <c r="B299">
        <v>0</v>
      </c>
      <c r="C299">
        <v>2040</v>
      </c>
      <c r="D299" t="s">
        <v>167</v>
      </c>
      <c r="E299" t="s">
        <v>187</v>
      </c>
      <c r="F299" t="s">
        <v>126</v>
      </c>
      <c r="G299" t="s">
        <v>127</v>
      </c>
      <c r="H299">
        <v>22.56159115141072</v>
      </c>
      <c r="K299" s="4" t="s">
        <v>398</v>
      </c>
      <c r="L299" s="34">
        <v>26.177009929762356</v>
      </c>
    </row>
    <row r="300" spans="1:12" x14ac:dyDescent="0.3">
      <c r="A300" t="s">
        <v>394</v>
      </c>
      <c r="B300">
        <v>0</v>
      </c>
      <c r="C300">
        <v>2040</v>
      </c>
      <c r="D300" t="s">
        <v>167</v>
      </c>
      <c r="E300" t="s">
        <v>191</v>
      </c>
      <c r="F300" t="s">
        <v>126</v>
      </c>
      <c r="G300" t="s">
        <v>127</v>
      </c>
      <c r="H300">
        <v>20.581382601973583</v>
      </c>
      <c r="K300" s="4" t="s">
        <v>399</v>
      </c>
      <c r="L300" s="34">
        <v>26.473707488179681</v>
      </c>
    </row>
    <row r="301" spans="1:12" x14ac:dyDescent="0.3">
      <c r="A301" t="s">
        <v>394</v>
      </c>
      <c r="B301">
        <v>0</v>
      </c>
      <c r="C301">
        <v>2040</v>
      </c>
      <c r="D301" t="s">
        <v>167</v>
      </c>
      <c r="E301" t="s">
        <v>395</v>
      </c>
      <c r="F301" t="s">
        <v>126</v>
      </c>
      <c r="G301" t="s">
        <v>127</v>
      </c>
      <c r="H301">
        <v>26.647454057706291</v>
      </c>
      <c r="K301" s="4" t="s">
        <v>400</v>
      </c>
      <c r="L301" s="34">
        <v>53.112912494761396</v>
      </c>
    </row>
    <row r="302" spans="1:12" x14ac:dyDescent="0.3">
      <c r="A302" t="s">
        <v>394</v>
      </c>
      <c r="B302">
        <v>0</v>
      </c>
      <c r="C302">
        <v>2040</v>
      </c>
      <c r="D302" t="s">
        <v>197</v>
      </c>
      <c r="E302" t="s">
        <v>198</v>
      </c>
      <c r="F302" t="s">
        <v>126</v>
      </c>
      <c r="G302" t="s">
        <v>127</v>
      </c>
      <c r="H302">
        <v>26.862960311436368</v>
      </c>
      <c r="K302" s="4" t="s">
        <v>401</v>
      </c>
      <c r="L302" s="34">
        <v>34.128702109122081</v>
      </c>
    </row>
    <row r="303" spans="1:12" x14ac:dyDescent="0.3">
      <c r="A303" t="s">
        <v>394</v>
      </c>
      <c r="B303">
        <v>0</v>
      </c>
      <c r="C303">
        <v>2040</v>
      </c>
      <c r="D303" t="s">
        <v>197</v>
      </c>
      <c r="E303" t="s">
        <v>231</v>
      </c>
      <c r="F303" t="s">
        <v>126</v>
      </c>
      <c r="G303" t="s">
        <v>127</v>
      </c>
      <c r="H303">
        <v>26.915385015228075</v>
      </c>
      <c r="K303" s="4" t="s">
        <v>402</v>
      </c>
      <c r="L303" s="34">
        <v>32.870950986705651</v>
      </c>
    </row>
    <row r="304" spans="1:12" x14ac:dyDescent="0.3">
      <c r="A304" t="s">
        <v>394</v>
      </c>
      <c r="B304">
        <v>0</v>
      </c>
      <c r="C304">
        <v>2040</v>
      </c>
      <c r="D304" t="s">
        <v>250</v>
      </c>
      <c r="E304" t="s">
        <v>251</v>
      </c>
      <c r="F304" t="s">
        <v>126</v>
      </c>
      <c r="G304" t="s">
        <v>127</v>
      </c>
      <c r="H304">
        <v>22.48810324909736</v>
      </c>
      <c r="K304" s="4" t="s">
        <v>415</v>
      </c>
      <c r="L304" s="34">
        <v>34.448398126859146</v>
      </c>
    </row>
    <row r="305" spans="1:12" x14ac:dyDescent="0.3">
      <c r="A305" t="s">
        <v>394</v>
      </c>
      <c r="B305">
        <v>0</v>
      </c>
      <c r="C305">
        <v>2040</v>
      </c>
      <c r="D305" t="s">
        <v>255</v>
      </c>
      <c r="E305" t="s">
        <v>396</v>
      </c>
      <c r="F305" t="s">
        <v>126</v>
      </c>
      <c r="G305" t="s">
        <v>127</v>
      </c>
      <c r="H305">
        <v>28.236999607718616</v>
      </c>
      <c r="K305" s="4" t="s">
        <v>403</v>
      </c>
      <c r="L305" s="34">
        <v>34.44078100271566</v>
      </c>
    </row>
    <row r="306" spans="1:12" x14ac:dyDescent="0.3">
      <c r="A306" t="s">
        <v>394</v>
      </c>
      <c r="B306">
        <v>0</v>
      </c>
      <c r="C306">
        <v>2040</v>
      </c>
      <c r="D306" t="s">
        <v>305</v>
      </c>
      <c r="E306" t="s">
        <v>306</v>
      </c>
      <c r="F306" t="s">
        <v>126</v>
      </c>
      <c r="G306" t="s">
        <v>127</v>
      </c>
      <c r="H306">
        <v>28.946435048114665</v>
      </c>
      <c r="K306" s="4" t="s">
        <v>404</v>
      </c>
      <c r="L306" s="34">
        <v>31.351186406998881</v>
      </c>
    </row>
    <row r="307" spans="1:12" x14ac:dyDescent="0.3">
      <c r="A307" t="s">
        <v>394</v>
      </c>
      <c r="B307">
        <v>0</v>
      </c>
      <c r="C307">
        <v>2040</v>
      </c>
      <c r="D307" t="s">
        <v>309</v>
      </c>
      <c r="E307" t="s">
        <v>310</v>
      </c>
      <c r="F307" t="s">
        <v>126</v>
      </c>
      <c r="G307" t="s">
        <v>127</v>
      </c>
      <c r="H307">
        <v>20.929425660255745</v>
      </c>
      <c r="K307" s="4" t="s">
        <v>405</v>
      </c>
      <c r="L307" s="34">
        <v>34.292133896594962</v>
      </c>
    </row>
    <row r="308" spans="1:12" x14ac:dyDescent="0.3">
      <c r="A308" t="s">
        <v>394</v>
      </c>
      <c r="B308">
        <v>0</v>
      </c>
      <c r="C308">
        <v>2040</v>
      </c>
      <c r="D308" t="s">
        <v>309</v>
      </c>
      <c r="E308" t="s">
        <v>311</v>
      </c>
      <c r="F308" t="s">
        <v>126</v>
      </c>
      <c r="G308" t="s">
        <v>127</v>
      </c>
      <c r="H308">
        <v>22.377523085037044</v>
      </c>
      <c r="K308" s="4" t="s">
        <v>406</v>
      </c>
      <c r="L308" s="34">
        <v>34.672210557324654</v>
      </c>
    </row>
    <row r="309" spans="1:12" x14ac:dyDescent="0.3">
      <c r="A309" t="s">
        <v>394</v>
      </c>
      <c r="B309">
        <v>0</v>
      </c>
      <c r="C309">
        <v>2040</v>
      </c>
      <c r="D309" t="s">
        <v>309</v>
      </c>
      <c r="E309" t="s">
        <v>312</v>
      </c>
      <c r="F309" t="s">
        <v>126</v>
      </c>
      <c r="G309" t="s">
        <v>127</v>
      </c>
      <c r="H309">
        <v>26.147202028029671</v>
      </c>
      <c r="K309" s="4" t="s">
        <v>407</v>
      </c>
      <c r="L309" s="34">
        <v>35.050536343835908</v>
      </c>
    </row>
    <row r="310" spans="1:12" x14ac:dyDescent="0.3">
      <c r="A310" t="s">
        <v>394</v>
      </c>
      <c r="B310">
        <v>0</v>
      </c>
      <c r="C310">
        <v>2040</v>
      </c>
      <c r="D310" t="s">
        <v>309</v>
      </c>
      <c r="E310" t="s">
        <v>313</v>
      </c>
      <c r="F310" t="s">
        <v>126</v>
      </c>
      <c r="G310" t="s">
        <v>127</v>
      </c>
      <c r="H310">
        <v>26.141965040517555</v>
      </c>
      <c r="K310" s="4" t="s">
        <v>408</v>
      </c>
      <c r="L310" s="34">
        <v>34.664873433463498</v>
      </c>
    </row>
    <row r="311" spans="1:12" x14ac:dyDescent="0.3">
      <c r="A311" t="s">
        <v>394</v>
      </c>
      <c r="B311">
        <v>0</v>
      </c>
      <c r="C311">
        <v>2040</v>
      </c>
      <c r="D311" t="s">
        <v>314</v>
      </c>
      <c r="E311" t="s">
        <v>315</v>
      </c>
      <c r="F311" t="s">
        <v>126</v>
      </c>
      <c r="G311" t="s">
        <v>127</v>
      </c>
      <c r="H311">
        <v>26.681014468316306</v>
      </c>
      <c r="K311" s="4" t="s">
        <v>409</v>
      </c>
      <c r="L311" s="34">
        <v>24.058574993096244</v>
      </c>
    </row>
    <row r="312" spans="1:12" x14ac:dyDescent="0.3">
      <c r="A312" t="s">
        <v>394</v>
      </c>
      <c r="B312">
        <v>0</v>
      </c>
      <c r="C312">
        <v>2040</v>
      </c>
      <c r="D312" t="s">
        <v>314</v>
      </c>
      <c r="E312" t="s">
        <v>397</v>
      </c>
      <c r="F312" t="s">
        <v>126</v>
      </c>
      <c r="G312" t="s">
        <v>127</v>
      </c>
      <c r="H312">
        <v>32.769778877936858</v>
      </c>
      <c r="K312" s="3">
        <v>2040</v>
      </c>
      <c r="L312" s="34">
        <v>28.020319288136932</v>
      </c>
    </row>
    <row r="313" spans="1:12" x14ac:dyDescent="0.3">
      <c r="A313" t="s">
        <v>394</v>
      </c>
      <c r="B313">
        <v>0</v>
      </c>
      <c r="C313">
        <v>2040</v>
      </c>
      <c r="D313" t="s">
        <v>314</v>
      </c>
      <c r="E313" t="s">
        <v>398</v>
      </c>
      <c r="F313" t="s">
        <v>126</v>
      </c>
      <c r="G313" t="s">
        <v>127</v>
      </c>
      <c r="H313">
        <v>29.368573161161294</v>
      </c>
      <c r="K313" s="4" t="s">
        <v>56</v>
      </c>
      <c r="L313" s="34">
        <v>25.249411557369509</v>
      </c>
    </row>
    <row r="314" spans="1:12" x14ac:dyDescent="0.3">
      <c r="A314" t="s">
        <v>394</v>
      </c>
      <c r="B314">
        <v>0</v>
      </c>
      <c r="C314">
        <v>2040</v>
      </c>
      <c r="D314" t="s">
        <v>328</v>
      </c>
      <c r="E314" t="s">
        <v>329</v>
      </c>
      <c r="F314" t="s">
        <v>126</v>
      </c>
      <c r="G314" t="s">
        <v>127</v>
      </c>
      <c r="H314">
        <v>25.959568701056895</v>
      </c>
      <c r="K314" s="4" t="s">
        <v>198</v>
      </c>
      <c r="L314" s="34">
        <v>26.862960311436368</v>
      </c>
    </row>
    <row r="315" spans="1:12" x14ac:dyDescent="0.3">
      <c r="A315" t="s">
        <v>394</v>
      </c>
      <c r="B315">
        <v>0</v>
      </c>
      <c r="C315">
        <v>2040</v>
      </c>
      <c r="D315" t="s">
        <v>330</v>
      </c>
      <c r="E315" t="s">
        <v>331</v>
      </c>
      <c r="F315" t="s">
        <v>126</v>
      </c>
      <c r="G315" t="s">
        <v>127</v>
      </c>
      <c r="H315">
        <v>25.229604655240323</v>
      </c>
      <c r="K315" s="4" t="s">
        <v>231</v>
      </c>
      <c r="L315" s="34">
        <v>26.915385015228075</v>
      </c>
    </row>
    <row r="316" spans="1:12" x14ac:dyDescent="0.3">
      <c r="A316" t="s">
        <v>394</v>
      </c>
      <c r="B316">
        <v>0</v>
      </c>
      <c r="C316">
        <v>2040</v>
      </c>
      <c r="D316" t="s">
        <v>332</v>
      </c>
      <c r="E316" t="s">
        <v>333</v>
      </c>
      <c r="F316" t="s">
        <v>126</v>
      </c>
      <c r="G316" t="s">
        <v>127</v>
      </c>
      <c r="H316">
        <v>23.03918334649342</v>
      </c>
      <c r="K316" s="4" t="s">
        <v>187</v>
      </c>
      <c r="L316" s="34">
        <v>22.56159115141072</v>
      </c>
    </row>
    <row r="317" spans="1:12" x14ac:dyDescent="0.3">
      <c r="A317" t="s">
        <v>394</v>
      </c>
      <c r="B317">
        <v>0</v>
      </c>
      <c r="C317">
        <v>2040</v>
      </c>
      <c r="D317" t="s">
        <v>336</v>
      </c>
      <c r="E317" t="s">
        <v>337</v>
      </c>
      <c r="F317" t="s">
        <v>126</v>
      </c>
      <c r="G317" t="s">
        <v>127</v>
      </c>
      <c r="H317">
        <v>25.096377081291184</v>
      </c>
      <c r="K317" s="4" t="s">
        <v>191</v>
      </c>
      <c r="L317" s="34">
        <v>20.581382601973583</v>
      </c>
    </row>
    <row r="318" spans="1:12" x14ac:dyDescent="0.3">
      <c r="A318" t="s">
        <v>394</v>
      </c>
      <c r="B318">
        <v>0</v>
      </c>
      <c r="C318">
        <v>2040</v>
      </c>
      <c r="D318" t="s">
        <v>338</v>
      </c>
      <c r="E318" t="s">
        <v>339</v>
      </c>
      <c r="F318" t="s">
        <v>126</v>
      </c>
      <c r="G318" t="s">
        <v>127</v>
      </c>
      <c r="H318">
        <v>28.883851190551397</v>
      </c>
      <c r="K318" s="4" t="s">
        <v>251</v>
      </c>
      <c r="L318" s="34">
        <v>22.48810324909736</v>
      </c>
    </row>
    <row r="319" spans="1:12" x14ac:dyDescent="0.3">
      <c r="A319" t="s">
        <v>394</v>
      </c>
      <c r="B319">
        <v>0</v>
      </c>
      <c r="C319">
        <v>2040</v>
      </c>
      <c r="D319" t="s">
        <v>340</v>
      </c>
      <c r="E319" t="s">
        <v>341</v>
      </c>
      <c r="F319" t="s">
        <v>126</v>
      </c>
      <c r="G319" t="s">
        <v>127</v>
      </c>
      <c r="H319">
        <v>28.185276198799418</v>
      </c>
      <c r="K319" s="4" t="s">
        <v>306</v>
      </c>
      <c r="L319" s="34">
        <v>28.946435048114665</v>
      </c>
    </row>
    <row r="320" spans="1:12" x14ac:dyDescent="0.3">
      <c r="A320" t="s">
        <v>394</v>
      </c>
      <c r="B320">
        <v>0</v>
      </c>
      <c r="C320">
        <v>2040</v>
      </c>
      <c r="D320" t="s">
        <v>340</v>
      </c>
      <c r="E320" t="s">
        <v>399</v>
      </c>
      <c r="F320" t="s">
        <v>126</v>
      </c>
      <c r="G320" t="s">
        <v>127</v>
      </c>
      <c r="H320">
        <v>25.353682173744659</v>
      </c>
      <c r="K320" s="4" t="s">
        <v>310</v>
      </c>
      <c r="L320" s="34">
        <v>20.929425660255745</v>
      </c>
    </row>
    <row r="321" spans="1:12" x14ac:dyDescent="0.3">
      <c r="A321" t="s">
        <v>394</v>
      </c>
      <c r="B321">
        <v>0</v>
      </c>
      <c r="C321">
        <v>2040</v>
      </c>
      <c r="D321" t="s">
        <v>340</v>
      </c>
      <c r="E321" t="s">
        <v>400</v>
      </c>
      <c r="F321" t="s">
        <v>126</v>
      </c>
      <c r="G321" t="s">
        <v>127</v>
      </c>
      <c r="H321">
        <v>54.051829593257104</v>
      </c>
      <c r="K321" s="4" t="s">
        <v>311</v>
      </c>
      <c r="L321" s="34">
        <v>22.377523085037044</v>
      </c>
    </row>
    <row r="322" spans="1:12" x14ac:dyDescent="0.3">
      <c r="A322" t="s">
        <v>394</v>
      </c>
      <c r="B322">
        <v>0</v>
      </c>
      <c r="C322">
        <v>2040</v>
      </c>
      <c r="D322" t="s">
        <v>346</v>
      </c>
      <c r="E322" t="s">
        <v>347</v>
      </c>
      <c r="F322" t="s">
        <v>126</v>
      </c>
      <c r="G322" t="s">
        <v>127</v>
      </c>
      <c r="H322">
        <v>27.923277422242133</v>
      </c>
      <c r="K322" s="4" t="s">
        <v>312</v>
      </c>
      <c r="L322" s="34">
        <v>26.147202028029671</v>
      </c>
    </row>
    <row r="323" spans="1:12" x14ac:dyDescent="0.3">
      <c r="A323" t="s">
        <v>394</v>
      </c>
      <c r="B323">
        <v>0</v>
      </c>
      <c r="C323">
        <v>2040</v>
      </c>
      <c r="D323" t="s">
        <v>346</v>
      </c>
      <c r="E323" t="s">
        <v>401</v>
      </c>
      <c r="F323" t="s">
        <v>126</v>
      </c>
      <c r="G323" t="s">
        <v>127</v>
      </c>
      <c r="H323">
        <v>35.030091539442424</v>
      </c>
      <c r="K323" s="4" t="s">
        <v>313</v>
      </c>
      <c r="L323" s="34">
        <v>26.141965040517555</v>
      </c>
    </row>
    <row r="324" spans="1:12" x14ac:dyDescent="0.3">
      <c r="A324" t="s">
        <v>394</v>
      </c>
      <c r="B324">
        <v>0</v>
      </c>
      <c r="C324">
        <v>2040</v>
      </c>
      <c r="D324" t="s">
        <v>346</v>
      </c>
      <c r="E324" t="s">
        <v>402</v>
      </c>
      <c r="F324" t="s">
        <v>126</v>
      </c>
      <c r="G324" t="s">
        <v>127</v>
      </c>
      <c r="H324">
        <v>33.106992535622723</v>
      </c>
      <c r="K324" s="4" t="s">
        <v>315</v>
      </c>
      <c r="L324" s="34">
        <v>26.681014468316306</v>
      </c>
    </row>
    <row r="325" spans="1:12" x14ac:dyDescent="0.3">
      <c r="A325" t="s">
        <v>394</v>
      </c>
      <c r="B325">
        <v>0</v>
      </c>
      <c r="C325">
        <v>2040</v>
      </c>
      <c r="D325" t="s">
        <v>346</v>
      </c>
      <c r="E325" t="s">
        <v>415</v>
      </c>
      <c r="F325" t="s">
        <v>126</v>
      </c>
      <c r="G325" t="s">
        <v>127</v>
      </c>
      <c r="H325">
        <v>35.754832141596182</v>
      </c>
      <c r="K325" s="4" t="s">
        <v>329</v>
      </c>
      <c r="L325" s="34">
        <v>25.959568701056895</v>
      </c>
    </row>
    <row r="326" spans="1:12" x14ac:dyDescent="0.3">
      <c r="A326" t="s">
        <v>394</v>
      </c>
      <c r="B326">
        <v>0</v>
      </c>
      <c r="C326">
        <v>2040</v>
      </c>
      <c r="D326" t="s">
        <v>346</v>
      </c>
      <c r="E326" t="s">
        <v>403</v>
      </c>
      <c r="F326" t="s">
        <v>126</v>
      </c>
      <c r="G326" t="s">
        <v>127</v>
      </c>
      <c r="H326">
        <v>35.5141708518698</v>
      </c>
      <c r="K326" s="4" t="s">
        <v>331</v>
      </c>
      <c r="L326" s="34">
        <v>25.229604655240323</v>
      </c>
    </row>
    <row r="327" spans="1:12" x14ac:dyDescent="0.3">
      <c r="A327" t="s">
        <v>394</v>
      </c>
      <c r="B327">
        <v>0</v>
      </c>
      <c r="C327">
        <v>2040</v>
      </c>
      <c r="D327" t="s">
        <v>346</v>
      </c>
      <c r="E327" t="s">
        <v>404</v>
      </c>
      <c r="F327" t="s">
        <v>126</v>
      </c>
      <c r="G327" t="s">
        <v>127</v>
      </c>
      <c r="H327">
        <v>30.897033090827936</v>
      </c>
      <c r="K327" s="4" t="s">
        <v>333</v>
      </c>
      <c r="L327" s="34">
        <v>23.03918334649342</v>
      </c>
    </row>
    <row r="328" spans="1:12" x14ac:dyDescent="0.3">
      <c r="A328" t="s">
        <v>394</v>
      </c>
      <c r="B328">
        <v>0</v>
      </c>
      <c r="C328">
        <v>2040</v>
      </c>
      <c r="D328" t="s">
        <v>346</v>
      </c>
      <c r="E328" t="s">
        <v>405</v>
      </c>
      <c r="F328" t="s">
        <v>126</v>
      </c>
      <c r="G328" t="s">
        <v>127</v>
      </c>
      <c r="H328">
        <v>35.028095814930545</v>
      </c>
      <c r="K328" s="4" t="s">
        <v>337</v>
      </c>
      <c r="L328" s="34">
        <v>25.096377081291184</v>
      </c>
    </row>
    <row r="329" spans="1:12" x14ac:dyDescent="0.3">
      <c r="A329" t="s">
        <v>394</v>
      </c>
      <c r="B329">
        <v>0</v>
      </c>
      <c r="C329">
        <v>2040</v>
      </c>
      <c r="D329" t="s">
        <v>346</v>
      </c>
      <c r="E329" t="s">
        <v>406</v>
      </c>
      <c r="F329" t="s">
        <v>126</v>
      </c>
      <c r="G329" t="s">
        <v>127</v>
      </c>
      <c r="H329">
        <v>36.343178270338448</v>
      </c>
      <c r="K329" s="4" t="s">
        <v>339</v>
      </c>
      <c r="L329" s="34">
        <v>28.883851190551397</v>
      </c>
    </row>
    <row r="330" spans="1:12" x14ac:dyDescent="0.3">
      <c r="A330" t="s">
        <v>394</v>
      </c>
      <c r="B330">
        <v>0</v>
      </c>
      <c r="C330">
        <v>2040</v>
      </c>
      <c r="D330" t="s">
        <v>346</v>
      </c>
      <c r="E330" t="s">
        <v>407</v>
      </c>
      <c r="F330" t="s">
        <v>126</v>
      </c>
      <c r="G330" t="s">
        <v>127</v>
      </c>
      <c r="H330">
        <v>35.957449860764136</v>
      </c>
      <c r="K330" s="4" t="s">
        <v>341</v>
      </c>
      <c r="L330" s="34">
        <v>28.185276198799418</v>
      </c>
    </row>
    <row r="331" spans="1:12" x14ac:dyDescent="0.3">
      <c r="A331" t="s">
        <v>394</v>
      </c>
      <c r="B331">
        <v>0</v>
      </c>
      <c r="C331">
        <v>2040</v>
      </c>
      <c r="D331" t="s">
        <v>348</v>
      </c>
      <c r="E331" t="s">
        <v>349</v>
      </c>
      <c r="F331" t="s">
        <v>126</v>
      </c>
      <c r="G331" t="s">
        <v>127</v>
      </c>
      <c r="H331">
        <v>26.964691492503874</v>
      </c>
      <c r="K331" s="4" t="s">
        <v>347</v>
      </c>
      <c r="L331" s="34">
        <v>27.923277422242133</v>
      </c>
    </row>
    <row r="332" spans="1:12" x14ac:dyDescent="0.3">
      <c r="A332" t="s">
        <v>394</v>
      </c>
      <c r="B332">
        <v>0</v>
      </c>
      <c r="C332">
        <v>2040</v>
      </c>
      <c r="D332" t="s">
        <v>350</v>
      </c>
      <c r="E332" t="s">
        <v>351</v>
      </c>
      <c r="F332" t="s">
        <v>126</v>
      </c>
      <c r="G332" t="s">
        <v>127</v>
      </c>
      <c r="H332">
        <v>25.916777720113821</v>
      </c>
      <c r="K332" s="4" t="s">
        <v>349</v>
      </c>
      <c r="L332" s="34">
        <v>26.964691492503874</v>
      </c>
    </row>
    <row r="333" spans="1:12" x14ac:dyDescent="0.3">
      <c r="A333" t="s">
        <v>394</v>
      </c>
      <c r="B333">
        <v>0</v>
      </c>
      <c r="C333">
        <v>2040</v>
      </c>
      <c r="D333" t="s">
        <v>352</v>
      </c>
      <c r="E333" t="s">
        <v>353</v>
      </c>
      <c r="F333" t="s">
        <v>126</v>
      </c>
      <c r="G333" t="s">
        <v>127</v>
      </c>
      <c r="H333">
        <v>25.726488364793205</v>
      </c>
      <c r="K333" s="4" t="s">
        <v>351</v>
      </c>
      <c r="L333" s="34">
        <v>25.916777720113821</v>
      </c>
    </row>
    <row r="334" spans="1:12" x14ac:dyDescent="0.3">
      <c r="A334" t="s">
        <v>394</v>
      </c>
      <c r="B334">
        <v>0</v>
      </c>
      <c r="C334">
        <v>2040</v>
      </c>
      <c r="D334" t="s">
        <v>354</v>
      </c>
      <c r="E334" t="s">
        <v>355</v>
      </c>
      <c r="F334" t="s">
        <v>126</v>
      </c>
      <c r="G334" t="s">
        <v>127</v>
      </c>
      <c r="H334">
        <v>26.470416817803418</v>
      </c>
      <c r="K334" s="4" t="s">
        <v>353</v>
      </c>
      <c r="L334" s="34">
        <v>25.726488364793205</v>
      </c>
    </row>
    <row r="335" spans="1:12" x14ac:dyDescent="0.3">
      <c r="A335" t="s">
        <v>394</v>
      </c>
      <c r="B335">
        <v>0</v>
      </c>
      <c r="C335">
        <v>2040</v>
      </c>
      <c r="D335" t="s">
        <v>356</v>
      </c>
      <c r="E335" t="s">
        <v>357</v>
      </c>
      <c r="F335" t="s">
        <v>126</v>
      </c>
      <c r="G335" t="s">
        <v>127</v>
      </c>
      <c r="H335">
        <v>26.768201176555745</v>
      </c>
      <c r="K335" s="4" t="s">
        <v>355</v>
      </c>
      <c r="L335" s="34">
        <v>26.470416817803418</v>
      </c>
    </row>
    <row r="336" spans="1:12" x14ac:dyDescent="0.3">
      <c r="A336" t="s">
        <v>394</v>
      </c>
      <c r="B336">
        <v>0</v>
      </c>
      <c r="C336">
        <v>2040</v>
      </c>
      <c r="D336" t="s">
        <v>358</v>
      </c>
      <c r="E336" t="s">
        <v>359</v>
      </c>
      <c r="F336" t="s">
        <v>126</v>
      </c>
      <c r="G336" t="s">
        <v>127</v>
      </c>
      <c r="H336">
        <v>25.875027561294825</v>
      </c>
      <c r="K336" s="4" t="s">
        <v>357</v>
      </c>
      <c r="L336" s="34">
        <v>26.768201176555745</v>
      </c>
    </row>
    <row r="337" spans="1:12" x14ac:dyDescent="0.3">
      <c r="A337" t="s">
        <v>394</v>
      </c>
      <c r="B337">
        <v>0</v>
      </c>
      <c r="C337">
        <v>2040</v>
      </c>
      <c r="D337" t="s">
        <v>360</v>
      </c>
      <c r="E337" t="s">
        <v>361</v>
      </c>
      <c r="F337" t="s">
        <v>126</v>
      </c>
      <c r="G337" t="s">
        <v>127</v>
      </c>
      <c r="H337">
        <v>25.958252663307171</v>
      </c>
      <c r="K337" s="4" t="s">
        <v>359</v>
      </c>
      <c r="L337" s="34">
        <v>25.875027561294825</v>
      </c>
    </row>
    <row r="338" spans="1:12" x14ac:dyDescent="0.3">
      <c r="A338" t="s">
        <v>394</v>
      </c>
      <c r="B338">
        <v>0</v>
      </c>
      <c r="C338">
        <v>2040</v>
      </c>
      <c r="D338" t="s">
        <v>362</v>
      </c>
      <c r="E338" t="s">
        <v>363</v>
      </c>
      <c r="F338" t="s">
        <v>126</v>
      </c>
      <c r="G338" t="s">
        <v>127</v>
      </c>
      <c r="H338">
        <v>25.460822772982858</v>
      </c>
      <c r="K338" s="4" t="s">
        <v>361</v>
      </c>
      <c r="L338" s="34">
        <v>25.958252663307171</v>
      </c>
    </row>
    <row r="339" spans="1:12" x14ac:dyDescent="0.3">
      <c r="A339" t="s">
        <v>394</v>
      </c>
      <c r="B339">
        <v>0</v>
      </c>
      <c r="C339">
        <v>2040</v>
      </c>
      <c r="D339" t="s">
        <v>364</v>
      </c>
      <c r="E339" t="s">
        <v>365</v>
      </c>
      <c r="F339" t="s">
        <v>126</v>
      </c>
      <c r="G339" t="s">
        <v>127</v>
      </c>
      <c r="H339">
        <v>24.782821613995711</v>
      </c>
      <c r="K339" s="4" t="s">
        <v>363</v>
      </c>
      <c r="L339" s="34">
        <v>25.460822772982858</v>
      </c>
    </row>
    <row r="340" spans="1:12" x14ac:dyDescent="0.3">
      <c r="A340" t="s">
        <v>394</v>
      </c>
      <c r="B340">
        <v>0</v>
      </c>
      <c r="C340">
        <v>2040</v>
      </c>
      <c r="D340" t="s">
        <v>366</v>
      </c>
      <c r="E340" t="s">
        <v>367</v>
      </c>
      <c r="F340" t="s">
        <v>126</v>
      </c>
      <c r="G340" t="s">
        <v>127</v>
      </c>
      <c r="H340">
        <v>24.724970753351492</v>
      </c>
      <c r="K340" s="4" t="s">
        <v>365</v>
      </c>
      <c r="L340" s="34">
        <v>24.782821613995711</v>
      </c>
    </row>
    <row r="341" spans="1:12" x14ac:dyDescent="0.3">
      <c r="A341" t="s">
        <v>394</v>
      </c>
      <c r="B341">
        <v>0</v>
      </c>
      <c r="C341">
        <v>2040</v>
      </c>
      <c r="D341" t="s">
        <v>368</v>
      </c>
      <c r="E341" t="s">
        <v>369</v>
      </c>
      <c r="F341" t="s">
        <v>126</v>
      </c>
      <c r="G341" t="s">
        <v>127</v>
      </c>
      <c r="H341">
        <v>26.060270271681741</v>
      </c>
      <c r="K341" s="4" t="s">
        <v>367</v>
      </c>
      <c r="L341" s="34">
        <v>24.724970753351492</v>
      </c>
    </row>
    <row r="342" spans="1:12" x14ac:dyDescent="0.3">
      <c r="A342" t="s">
        <v>394</v>
      </c>
      <c r="B342">
        <v>0</v>
      </c>
      <c r="C342">
        <v>2040</v>
      </c>
      <c r="D342" t="s">
        <v>370</v>
      </c>
      <c r="E342" t="s">
        <v>371</v>
      </c>
      <c r="F342" t="s">
        <v>126</v>
      </c>
      <c r="G342" t="s">
        <v>127</v>
      </c>
      <c r="H342">
        <v>24.641249008434851</v>
      </c>
      <c r="K342" s="4" t="s">
        <v>369</v>
      </c>
      <c r="L342" s="34">
        <v>26.060270271681741</v>
      </c>
    </row>
    <row r="343" spans="1:12" x14ac:dyDescent="0.3">
      <c r="A343" t="s">
        <v>394</v>
      </c>
      <c r="B343">
        <v>0</v>
      </c>
      <c r="C343">
        <v>2040</v>
      </c>
      <c r="D343" t="s">
        <v>370</v>
      </c>
      <c r="E343" t="s">
        <v>408</v>
      </c>
      <c r="F343" t="s">
        <v>126</v>
      </c>
      <c r="G343" t="s">
        <v>127</v>
      </c>
      <c r="H343">
        <v>34.903029443624419</v>
      </c>
      <c r="K343" s="4" t="s">
        <v>371</v>
      </c>
      <c r="L343" s="34">
        <v>24.641249008434851</v>
      </c>
    </row>
    <row r="344" spans="1:12" x14ac:dyDescent="0.3">
      <c r="A344" t="s">
        <v>394</v>
      </c>
      <c r="B344">
        <v>0</v>
      </c>
      <c r="C344">
        <v>2040</v>
      </c>
      <c r="D344" t="s">
        <v>370</v>
      </c>
      <c r="E344" t="s">
        <v>409</v>
      </c>
      <c r="F344" t="s">
        <v>126</v>
      </c>
      <c r="G344" t="s">
        <v>127</v>
      </c>
      <c r="H344">
        <v>25.387844362539113</v>
      </c>
      <c r="K344" s="4" t="s">
        <v>374</v>
      </c>
      <c r="L344" s="34">
        <v>25.45800220961301</v>
      </c>
    </row>
    <row r="345" spans="1:12" x14ac:dyDescent="0.3">
      <c r="A345" t="s">
        <v>394</v>
      </c>
      <c r="B345">
        <v>0</v>
      </c>
      <c r="C345">
        <v>2040</v>
      </c>
      <c r="D345" t="s">
        <v>373</v>
      </c>
      <c r="E345" t="s">
        <v>374</v>
      </c>
      <c r="F345" t="s">
        <v>126</v>
      </c>
      <c r="G345" t="s">
        <v>127</v>
      </c>
      <c r="H345">
        <v>25.45800220961301</v>
      </c>
      <c r="K345" s="4" t="s">
        <v>376</v>
      </c>
      <c r="L345" s="34">
        <v>28.458156453423022</v>
      </c>
    </row>
    <row r="346" spans="1:12" x14ac:dyDescent="0.3">
      <c r="A346" t="s">
        <v>394</v>
      </c>
      <c r="B346">
        <v>0</v>
      </c>
      <c r="C346">
        <v>2040</v>
      </c>
      <c r="D346" t="s">
        <v>375</v>
      </c>
      <c r="E346" t="s">
        <v>376</v>
      </c>
      <c r="F346" t="s">
        <v>126</v>
      </c>
      <c r="G346" t="s">
        <v>127</v>
      </c>
      <c r="H346">
        <v>28.458156453423022</v>
      </c>
      <c r="K346" s="4" t="s">
        <v>378</v>
      </c>
      <c r="L346" s="34">
        <v>24.971816362142999</v>
      </c>
    </row>
    <row r="347" spans="1:12" x14ac:dyDescent="0.3">
      <c r="A347" t="s">
        <v>394</v>
      </c>
      <c r="B347">
        <v>0</v>
      </c>
      <c r="C347">
        <v>2040</v>
      </c>
      <c r="D347" t="s">
        <v>377</v>
      </c>
      <c r="E347" t="s">
        <v>378</v>
      </c>
      <c r="F347" t="s">
        <v>126</v>
      </c>
      <c r="G347" t="s">
        <v>127</v>
      </c>
      <c r="H347">
        <v>24.971816362142999</v>
      </c>
      <c r="K347" s="4" t="s">
        <v>380</v>
      </c>
      <c r="L347" s="34">
        <v>25.822771592307895</v>
      </c>
    </row>
    <row r="348" spans="1:12" x14ac:dyDescent="0.3">
      <c r="A348" t="s">
        <v>394</v>
      </c>
      <c r="B348">
        <v>0</v>
      </c>
      <c r="C348">
        <v>2040</v>
      </c>
      <c r="D348" t="s">
        <v>379</v>
      </c>
      <c r="E348" t="s">
        <v>380</v>
      </c>
      <c r="F348" t="s">
        <v>126</v>
      </c>
      <c r="G348" t="s">
        <v>127</v>
      </c>
      <c r="H348">
        <v>25.822771592307895</v>
      </c>
      <c r="K348" s="4" t="s">
        <v>382</v>
      </c>
      <c r="L348" s="34">
        <v>25.591653920138313</v>
      </c>
    </row>
    <row r="349" spans="1:12" x14ac:dyDescent="0.3">
      <c r="A349" t="s">
        <v>394</v>
      </c>
      <c r="B349">
        <v>0</v>
      </c>
      <c r="C349">
        <v>2040</v>
      </c>
      <c r="D349" t="s">
        <v>381</v>
      </c>
      <c r="E349" t="s">
        <v>382</v>
      </c>
      <c r="F349" t="s">
        <v>126</v>
      </c>
      <c r="G349" t="s">
        <v>127</v>
      </c>
      <c r="H349">
        <v>25.591653920138313</v>
      </c>
      <c r="K349" s="4" t="s">
        <v>384</v>
      </c>
      <c r="L349" s="34">
        <v>25.710237423386218</v>
      </c>
    </row>
    <row r="350" spans="1:12" x14ac:dyDescent="0.3">
      <c r="A350" t="s">
        <v>394</v>
      </c>
      <c r="B350">
        <v>0</v>
      </c>
      <c r="C350">
        <v>2040</v>
      </c>
      <c r="D350" t="s">
        <v>383</v>
      </c>
      <c r="E350" t="s">
        <v>384</v>
      </c>
      <c r="F350" t="s">
        <v>126</v>
      </c>
      <c r="G350" t="s">
        <v>127</v>
      </c>
      <c r="H350">
        <v>25.710237423386218</v>
      </c>
      <c r="K350" s="4" t="s">
        <v>386</v>
      </c>
      <c r="L350" s="34">
        <v>25.916543832652149</v>
      </c>
    </row>
    <row r="351" spans="1:12" x14ac:dyDescent="0.3">
      <c r="A351" t="s">
        <v>394</v>
      </c>
      <c r="B351">
        <v>0</v>
      </c>
      <c r="C351">
        <v>2040</v>
      </c>
      <c r="D351" t="s">
        <v>385</v>
      </c>
      <c r="E351" t="s">
        <v>386</v>
      </c>
      <c r="F351" t="s">
        <v>126</v>
      </c>
      <c r="G351" t="s">
        <v>127</v>
      </c>
      <c r="H351">
        <v>25.916543832652149</v>
      </c>
      <c r="K351" s="4" t="s">
        <v>388</v>
      </c>
      <c r="L351" s="34">
        <v>34.355583829864514</v>
      </c>
    </row>
    <row r="352" spans="1:12" x14ac:dyDescent="0.3">
      <c r="A352" t="s">
        <v>394</v>
      </c>
      <c r="B352">
        <v>0</v>
      </c>
      <c r="C352">
        <v>2040</v>
      </c>
      <c r="D352" t="s">
        <v>55</v>
      </c>
      <c r="E352" t="s">
        <v>56</v>
      </c>
      <c r="F352" t="s">
        <v>126</v>
      </c>
      <c r="G352" t="s">
        <v>127</v>
      </c>
      <c r="H352">
        <v>25.249411557369509</v>
      </c>
      <c r="K352" s="4" t="s">
        <v>390</v>
      </c>
      <c r="L352" s="34">
        <v>28.952551099779246</v>
      </c>
    </row>
    <row r="353" spans="1:12" x14ac:dyDescent="0.3">
      <c r="A353" t="s">
        <v>394</v>
      </c>
      <c r="B353">
        <v>0</v>
      </c>
      <c r="C353">
        <v>2040</v>
      </c>
      <c r="D353" t="s">
        <v>387</v>
      </c>
      <c r="E353" t="s">
        <v>388</v>
      </c>
      <c r="F353" t="s">
        <v>126</v>
      </c>
      <c r="G353" t="s">
        <v>127</v>
      </c>
      <c r="H353">
        <v>34.355583829864514</v>
      </c>
      <c r="K353" s="4" t="s">
        <v>395</v>
      </c>
      <c r="L353" s="34">
        <v>26.647454057706291</v>
      </c>
    </row>
    <row r="354" spans="1:12" x14ac:dyDescent="0.3">
      <c r="A354" t="s">
        <v>394</v>
      </c>
      <c r="B354">
        <v>0</v>
      </c>
      <c r="C354">
        <v>2040</v>
      </c>
      <c r="D354" t="s">
        <v>389</v>
      </c>
      <c r="E354" t="s">
        <v>390</v>
      </c>
      <c r="F354" t="s">
        <v>126</v>
      </c>
      <c r="G354" t="s">
        <v>127</v>
      </c>
      <c r="H354">
        <v>28.952551099779246</v>
      </c>
      <c r="K354" s="4" t="s">
        <v>396</v>
      </c>
      <c r="L354" s="34">
        <v>28.236999607718616</v>
      </c>
    </row>
    <row r="355" spans="1:12" x14ac:dyDescent="0.3">
      <c r="A355" t="s">
        <v>394</v>
      </c>
      <c r="B355">
        <v>0</v>
      </c>
      <c r="C355">
        <v>2050</v>
      </c>
      <c r="D355" t="s">
        <v>167</v>
      </c>
      <c r="E355" t="s">
        <v>187</v>
      </c>
      <c r="F355" t="s">
        <v>126</v>
      </c>
      <c r="G355" t="s">
        <v>127</v>
      </c>
      <c r="H355">
        <v>21.977842862181117</v>
      </c>
      <c r="K355" s="4" t="s">
        <v>397</v>
      </c>
      <c r="L355" s="34">
        <v>32.769778877936858</v>
      </c>
    </row>
    <row r="356" spans="1:12" x14ac:dyDescent="0.3">
      <c r="A356" t="s">
        <v>394</v>
      </c>
      <c r="B356">
        <v>0</v>
      </c>
      <c r="C356">
        <v>2050</v>
      </c>
      <c r="D356" t="s">
        <v>167</v>
      </c>
      <c r="E356" t="s">
        <v>191</v>
      </c>
      <c r="F356" t="s">
        <v>126</v>
      </c>
      <c r="G356" t="s">
        <v>127</v>
      </c>
      <c r="H356">
        <v>20.766240913772023</v>
      </c>
      <c r="K356" s="4" t="s">
        <v>398</v>
      </c>
      <c r="L356" s="34">
        <v>29.368573161161294</v>
      </c>
    </row>
    <row r="357" spans="1:12" x14ac:dyDescent="0.3">
      <c r="A357" t="s">
        <v>394</v>
      </c>
      <c r="B357">
        <v>0</v>
      </c>
      <c r="C357">
        <v>2050</v>
      </c>
      <c r="D357" t="s">
        <v>167</v>
      </c>
      <c r="E357" t="s">
        <v>395</v>
      </c>
      <c r="F357" t="s">
        <v>126</v>
      </c>
      <c r="G357" t="s">
        <v>127</v>
      </c>
      <c r="H357">
        <v>24.91057014833693</v>
      </c>
      <c r="K357" s="4" t="s">
        <v>399</v>
      </c>
      <c r="L357" s="34">
        <v>25.353682173744659</v>
      </c>
    </row>
    <row r="358" spans="1:12" x14ac:dyDescent="0.3">
      <c r="A358" t="s">
        <v>394</v>
      </c>
      <c r="B358">
        <v>0</v>
      </c>
      <c r="C358">
        <v>2050</v>
      </c>
      <c r="D358" t="s">
        <v>197</v>
      </c>
      <c r="E358" t="s">
        <v>198</v>
      </c>
      <c r="F358" t="s">
        <v>126</v>
      </c>
      <c r="G358" t="s">
        <v>127</v>
      </c>
      <c r="H358">
        <v>24.664188169658264</v>
      </c>
      <c r="K358" s="4" t="s">
        <v>400</v>
      </c>
      <c r="L358" s="34">
        <v>54.051829593257104</v>
      </c>
    </row>
    <row r="359" spans="1:12" x14ac:dyDescent="0.3">
      <c r="A359" t="s">
        <v>394</v>
      </c>
      <c r="B359">
        <v>0</v>
      </c>
      <c r="C359">
        <v>2050</v>
      </c>
      <c r="D359" t="s">
        <v>197</v>
      </c>
      <c r="E359" t="s">
        <v>231</v>
      </c>
      <c r="F359" t="s">
        <v>126</v>
      </c>
      <c r="G359" t="s">
        <v>127</v>
      </c>
      <c r="H359">
        <v>24.59101730431474</v>
      </c>
      <c r="K359" s="4" t="s">
        <v>401</v>
      </c>
      <c r="L359" s="34">
        <v>35.030091539442424</v>
      </c>
    </row>
    <row r="360" spans="1:12" x14ac:dyDescent="0.3">
      <c r="A360" t="s">
        <v>394</v>
      </c>
      <c r="B360">
        <v>0</v>
      </c>
      <c r="C360">
        <v>2050</v>
      </c>
      <c r="D360" t="s">
        <v>250</v>
      </c>
      <c r="E360" t="s">
        <v>251</v>
      </c>
      <c r="F360" t="s">
        <v>126</v>
      </c>
      <c r="G360" t="s">
        <v>127</v>
      </c>
      <c r="H360">
        <v>21.350527784446001</v>
      </c>
      <c r="K360" s="4" t="s">
        <v>402</v>
      </c>
      <c r="L360" s="34">
        <v>33.106992535622723</v>
      </c>
    </row>
    <row r="361" spans="1:12" x14ac:dyDescent="0.3">
      <c r="A361" t="s">
        <v>394</v>
      </c>
      <c r="B361">
        <v>0</v>
      </c>
      <c r="C361">
        <v>2050</v>
      </c>
      <c r="D361" t="s">
        <v>255</v>
      </c>
      <c r="E361" t="s">
        <v>396</v>
      </c>
      <c r="F361" t="s">
        <v>126</v>
      </c>
      <c r="G361" t="s">
        <v>127</v>
      </c>
      <c r="H361">
        <v>26.264598976911238</v>
      </c>
      <c r="K361" s="4" t="s">
        <v>415</v>
      </c>
      <c r="L361" s="34">
        <v>35.754832141596182</v>
      </c>
    </row>
    <row r="362" spans="1:12" x14ac:dyDescent="0.3">
      <c r="A362" t="s">
        <v>394</v>
      </c>
      <c r="B362">
        <v>0</v>
      </c>
      <c r="C362">
        <v>2050</v>
      </c>
      <c r="D362" t="s">
        <v>305</v>
      </c>
      <c r="E362" t="s">
        <v>306</v>
      </c>
      <c r="F362" t="s">
        <v>126</v>
      </c>
      <c r="G362" t="s">
        <v>127</v>
      </c>
      <c r="H362">
        <v>26.636205723572516</v>
      </c>
      <c r="K362" s="4" t="s">
        <v>403</v>
      </c>
      <c r="L362" s="34">
        <v>35.5141708518698</v>
      </c>
    </row>
    <row r="363" spans="1:12" x14ac:dyDescent="0.3">
      <c r="A363" t="s">
        <v>394</v>
      </c>
      <c r="B363">
        <v>0</v>
      </c>
      <c r="C363">
        <v>2050</v>
      </c>
      <c r="D363" t="s">
        <v>309</v>
      </c>
      <c r="E363" t="s">
        <v>310</v>
      </c>
      <c r="F363" t="s">
        <v>126</v>
      </c>
      <c r="G363" t="s">
        <v>127</v>
      </c>
      <c r="H363">
        <v>20.991505381563783</v>
      </c>
      <c r="K363" s="4" t="s">
        <v>404</v>
      </c>
      <c r="L363" s="34">
        <v>30.897033090827936</v>
      </c>
    </row>
    <row r="364" spans="1:12" x14ac:dyDescent="0.3">
      <c r="A364" t="s">
        <v>394</v>
      </c>
      <c r="B364">
        <v>0</v>
      </c>
      <c r="C364">
        <v>2050</v>
      </c>
      <c r="D364" t="s">
        <v>309</v>
      </c>
      <c r="E364" t="s">
        <v>311</v>
      </c>
      <c r="F364" t="s">
        <v>126</v>
      </c>
      <c r="G364" t="s">
        <v>127</v>
      </c>
      <c r="H364">
        <v>21.604519567433865</v>
      </c>
      <c r="K364" s="4" t="s">
        <v>405</v>
      </c>
      <c r="L364" s="34">
        <v>35.028095814930545</v>
      </c>
    </row>
    <row r="365" spans="1:12" x14ac:dyDescent="0.3">
      <c r="A365" t="s">
        <v>394</v>
      </c>
      <c r="B365">
        <v>0</v>
      </c>
      <c r="C365">
        <v>2050</v>
      </c>
      <c r="D365" t="s">
        <v>309</v>
      </c>
      <c r="E365" t="s">
        <v>312</v>
      </c>
      <c r="F365" t="s">
        <v>126</v>
      </c>
      <c r="G365" t="s">
        <v>127</v>
      </c>
      <c r="H365">
        <v>24.171271891699657</v>
      </c>
      <c r="K365" s="4" t="s">
        <v>406</v>
      </c>
      <c r="L365" s="34">
        <v>36.343178270338448</v>
      </c>
    </row>
    <row r="366" spans="1:12" x14ac:dyDescent="0.3">
      <c r="A366" t="s">
        <v>394</v>
      </c>
      <c r="B366">
        <v>0</v>
      </c>
      <c r="C366">
        <v>2050</v>
      </c>
      <c r="D366" t="s">
        <v>309</v>
      </c>
      <c r="E366" t="s">
        <v>313</v>
      </c>
      <c r="F366" t="s">
        <v>126</v>
      </c>
      <c r="G366" t="s">
        <v>127</v>
      </c>
      <c r="H366">
        <v>24.344794080449944</v>
      </c>
      <c r="K366" s="4" t="s">
        <v>407</v>
      </c>
      <c r="L366" s="34">
        <v>35.957449860764136</v>
      </c>
    </row>
    <row r="367" spans="1:12" x14ac:dyDescent="0.3">
      <c r="A367" t="s">
        <v>394</v>
      </c>
      <c r="B367">
        <v>0</v>
      </c>
      <c r="C367">
        <v>2050</v>
      </c>
      <c r="D367" t="s">
        <v>314</v>
      </c>
      <c r="E367" t="s">
        <v>315</v>
      </c>
      <c r="F367" t="s">
        <v>126</v>
      </c>
      <c r="G367" t="s">
        <v>127</v>
      </c>
      <c r="H367">
        <v>25.677779332594952</v>
      </c>
      <c r="K367" s="4" t="s">
        <v>408</v>
      </c>
      <c r="L367" s="34">
        <v>34.903029443624419</v>
      </c>
    </row>
    <row r="368" spans="1:12" x14ac:dyDescent="0.3">
      <c r="A368" t="s">
        <v>394</v>
      </c>
      <c r="B368">
        <v>0</v>
      </c>
      <c r="C368">
        <v>2050</v>
      </c>
      <c r="D368" t="s">
        <v>314</v>
      </c>
      <c r="E368" t="s">
        <v>397</v>
      </c>
      <c r="F368" t="s">
        <v>126</v>
      </c>
      <c r="G368" t="s">
        <v>127</v>
      </c>
      <c r="H368">
        <v>31.881987624499729</v>
      </c>
      <c r="K368" s="4" t="s">
        <v>409</v>
      </c>
      <c r="L368" s="34">
        <v>25.387844362539113</v>
      </c>
    </row>
    <row r="369" spans="1:12" x14ac:dyDescent="0.3">
      <c r="A369" t="s">
        <v>394</v>
      </c>
      <c r="B369">
        <v>0</v>
      </c>
      <c r="C369">
        <v>2050</v>
      </c>
      <c r="D369" t="s">
        <v>314</v>
      </c>
      <c r="E369" t="s">
        <v>398</v>
      </c>
      <c r="F369" t="s">
        <v>126</v>
      </c>
      <c r="G369" t="s">
        <v>127</v>
      </c>
      <c r="H369">
        <v>29.139864711601813</v>
      </c>
      <c r="K369" s="3">
        <v>2050</v>
      </c>
      <c r="L369" s="34">
        <v>26.935419936137471</v>
      </c>
    </row>
    <row r="370" spans="1:12" x14ac:dyDescent="0.3">
      <c r="A370" t="s">
        <v>394</v>
      </c>
      <c r="B370">
        <v>0</v>
      </c>
      <c r="C370">
        <v>2050</v>
      </c>
      <c r="D370" t="s">
        <v>328</v>
      </c>
      <c r="E370" t="s">
        <v>329</v>
      </c>
      <c r="F370" t="s">
        <v>126</v>
      </c>
      <c r="G370" t="s">
        <v>127</v>
      </c>
      <c r="H370">
        <v>23.627246798429418</v>
      </c>
      <c r="K370" s="4" t="s">
        <v>56</v>
      </c>
      <c r="L370" s="34">
        <v>25.61428724855072</v>
      </c>
    </row>
    <row r="371" spans="1:12" x14ac:dyDescent="0.3">
      <c r="A371" t="s">
        <v>394</v>
      </c>
      <c r="B371">
        <v>0</v>
      </c>
      <c r="C371">
        <v>2050</v>
      </c>
      <c r="D371" t="s">
        <v>330</v>
      </c>
      <c r="E371" t="s">
        <v>331</v>
      </c>
      <c r="F371" t="s">
        <v>126</v>
      </c>
      <c r="G371" t="s">
        <v>127</v>
      </c>
      <c r="H371">
        <v>23.33097984386438</v>
      </c>
      <c r="K371" s="4" t="s">
        <v>198</v>
      </c>
      <c r="L371" s="34">
        <v>24.664188169658264</v>
      </c>
    </row>
    <row r="372" spans="1:12" x14ac:dyDescent="0.3">
      <c r="A372" t="s">
        <v>394</v>
      </c>
      <c r="B372">
        <v>0</v>
      </c>
      <c r="C372">
        <v>2050</v>
      </c>
      <c r="D372" t="s">
        <v>332</v>
      </c>
      <c r="E372" t="s">
        <v>333</v>
      </c>
      <c r="F372" t="s">
        <v>126</v>
      </c>
      <c r="G372" t="s">
        <v>127</v>
      </c>
      <c r="H372">
        <v>21.623556235222996</v>
      </c>
      <c r="K372" s="4" t="s">
        <v>231</v>
      </c>
      <c r="L372" s="34">
        <v>24.59101730431474</v>
      </c>
    </row>
    <row r="373" spans="1:12" x14ac:dyDescent="0.3">
      <c r="A373" t="s">
        <v>394</v>
      </c>
      <c r="B373">
        <v>0</v>
      </c>
      <c r="C373">
        <v>2050</v>
      </c>
      <c r="D373" t="s">
        <v>336</v>
      </c>
      <c r="E373" t="s">
        <v>337</v>
      </c>
      <c r="F373" t="s">
        <v>126</v>
      </c>
      <c r="G373" t="s">
        <v>127</v>
      </c>
      <c r="H373">
        <v>23.608917605417826</v>
      </c>
      <c r="K373" s="4" t="s">
        <v>187</v>
      </c>
      <c r="L373" s="34">
        <v>21.977842862181117</v>
      </c>
    </row>
    <row r="374" spans="1:12" x14ac:dyDescent="0.3">
      <c r="A374" t="s">
        <v>394</v>
      </c>
      <c r="B374">
        <v>0</v>
      </c>
      <c r="C374">
        <v>2050</v>
      </c>
      <c r="D374" t="s">
        <v>338</v>
      </c>
      <c r="E374" t="s">
        <v>339</v>
      </c>
      <c r="F374" t="s">
        <v>126</v>
      </c>
      <c r="G374" t="s">
        <v>127</v>
      </c>
      <c r="H374">
        <v>28.010741611045194</v>
      </c>
      <c r="K374" s="4" t="s">
        <v>191</v>
      </c>
      <c r="L374" s="34">
        <v>20.766240913772023</v>
      </c>
    </row>
    <row r="375" spans="1:12" x14ac:dyDescent="0.3">
      <c r="A375" t="s">
        <v>394</v>
      </c>
      <c r="B375">
        <v>0</v>
      </c>
      <c r="C375">
        <v>2050</v>
      </c>
      <c r="D375" t="s">
        <v>340</v>
      </c>
      <c r="E375" t="s">
        <v>341</v>
      </c>
      <c r="F375" t="s">
        <v>126</v>
      </c>
      <c r="G375" t="s">
        <v>127</v>
      </c>
      <c r="H375">
        <v>26.424039777307829</v>
      </c>
      <c r="K375" s="4" t="s">
        <v>251</v>
      </c>
      <c r="L375" s="34">
        <v>21.350527784446001</v>
      </c>
    </row>
    <row r="376" spans="1:12" x14ac:dyDescent="0.3">
      <c r="A376" t="s">
        <v>394</v>
      </c>
      <c r="B376">
        <v>0</v>
      </c>
      <c r="C376">
        <v>2050</v>
      </c>
      <c r="D376" t="s">
        <v>340</v>
      </c>
      <c r="E376" t="s">
        <v>399</v>
      </c>
      <c r="F376" t="s">
        <v>126</v>
      </c>
      <c r="G376" t="s">
        <v>127</v>
      </c>
      <c r="H376">
        <v>25.047506862207609</v>
      </c>
      <c r="K376" s="4" t="s">
        <v>306</v>
      </c>
      <c r="L376" s="34">
        <v>26.636205723572516</v>
      </c>
    </row>
    <row r="377" spans="1:12" x14ac:dyDescent="0.3">
      <c r="A377" t="s">
        <v>394</v>
      </c>
      <c r="B377">
        <v>0</v>
      </c>
      <c r="C377">
        <v>2050</v>
      </c>
      <c r="D377" t="s">
        <v>340</v>
      </c>
      <c r="E377" t="s">
        <v>400</v>
      </c>
      <c r="F377" t="s">
        <v>126</v>
      </c>
      <c r="G377" t="s">
        <v>127</v>
      </c>
      <c r="H377">
        <v>48.135392938441989</v>
      </c>
      <c r="K377" s="4" t="s">
        <v>310</v>
      </c>
      <c r="L377" s="34">
        <v>20.991505381563783</v>
      </c>
    </row>
    <row r="378" spans="1:12" x14ac:dyDescent="0.3">
      <c r="A378" t="s">
        <v>394</v>
      </c>
      <c r="B378">
        <v>0</v>
      </c>
      <c r="C378">
        <v>2050</v>
      </c>
      <c r="D378" t="s">
        <v>346</v>
      </c>
      <c r="E378" t="s">
        <v>347</v>
      </c>
      <c r="F378" t="s">
        <v>126</v>
      </c>
      <c r="G378" t="s">
        <v>127</v>
      </c>
      <c r="H378">
        <v>26.254861164388608</v>
      </c>
      <c r="K378" s="4" t="s">
        <v>311</v>
      </c>
      <c r="L378" s="34">
        <v>21.604519567433865</v>
      </c>
    </row>
    <row r="379" spans="1:12" x14ac:dyDescent="0.3">
      <c r="A379" t="s">
        <v>394</v>
      </c>
      <c r="B379">
        <v>0</v>
      </c>
      <c r="C379">
        <v>2050</v>
      </c>
      <c r="D379" t="s">
        <v>346</v>
      </c>
      <c r="E379" t="s">
        <v>401</v>
      </c>
      <c r="F379" t="s">
        <v>126</v>
      </c>
      <c r="G379" t="s">
        <v>127</v>
      </c>
      <c r="H379">
        <v>34.347216795933363</v>
      </c>
      <c r="K379" s="4" t="s">
        <v>312</v>
      </c>
      <c r="L379" s="34">
        <v>24.171271891699657</v>
      </c>
    </row>
    <row r="380" spans="1:12" x14ac:dyDescent="0.3">
      <c r="A380" t="s">
        <v>394</v>
      </c>
      <c r="B380">
        <v>0</v>
      </c>
      <c r="C380">
        <v>2050</v>
      </c>
      <c r="D380" t="s">
        <v>346</v>
      </c>
      <c r="E380" t="s">
        <v>402</v>
      </c>
      <c r="F380" t="s">
        <v>126</v>
      </c>
      <c r="G380" t="s">
        <v>127</v>
      </c>
      <c r="H380">
        <v>33.189508063386782</v>
      </c>
      <c r="K380" s="4" t="s">
        <v>313</v>
      </c>
      <c r="L380" s="34">
        <v>24.344794080449944</v>
      </c>
    </row>
    <row r="381" spans="1:12" x14ac:dyDescent="0.3">
      <c r="A381" t="s">
        <v>394</v>
      </c>
      <c r="B381">
        <v>0</v>
      </c>
      <c r="C381">
        <v>2050</v>
      </c>
      <c r="D381" t="s">
        <v>346</v>
      </c>
      <c r="E381" t="s">
        <v>415</v>
      </c>
      <c r="F381" t="s">
        <v>126</v>
      </c>
      <c r="G381" t="s">
        <v>127</v>
      </c>
      <c r="H381">
        <v>35.668388469660762</v>
      </c>
      <c r="K381" s="4" t="s">
        <v>315</v>
      </c>
      <c r="L381" s="34">
        <v>25.677779332594952</v>
      </c>
    </row>
    <row r="382" spans="1:12" x14ac:dyDescent="0.3">
      <c r="A382" t="s">
        <v>394</v>
      </c>
      <c r="B382">
        <v>0</v>
      </c>
      <c r="C382">
        <v>2050</v>
      </c>
      <c r="D382" t="s">
        <v>346</v>
      </c>
      <c r="E382" t="s">
        <v>403</v>
      </c>
      <c r="F382" t="s">
        <v>126</v>
      </c>
      <c r="G382" t="s">
        <v>127</v>
      </c>
      <c r="H382">
        <v>35.079473684641364</v>
      </c>
      <c r="K382" s="4" t="s">
        <v>329</v>
      </c>
      <c r="L382" s="34">
        <v>23.627246798429418</v>
      </c>
    </row>
    <row r="383" spans="1:12" x14ac:dyDescent="0.3">
      <c r="A383" t="s">
        <v>394</v>
      </c>
      <c r="B383">
        <v>0</v>
      </c>
      <c r="C383">
        <v>2050</v>
      </c>
      <c r="D383" t="s">
        <v>346</v>
      </c>
      <c r="E383" t="s">
        <v>404</v>
      </c>
      <c r="F383" t="s">
        <v>126</v>
      </c>
      <c r="G383" t="s">
        <v>127</v>
      </c>
      <c r="H383">
        <v>33.300405050057236</v>
      </c>
      <c r="K383" s="4" t="s">
        <v>331</v>
      </c>
      <c r="L383" s="34">
        <v>23.33097984386438</v>
      </c>
    </row>
    <row r="384" spans="1:12" x14ac:dyDescent="0.3">
      <c r="A384" t="s">
        <v>394</v>
      </c>
      <c r="B384">
        <v>0</v>
      </c>
      <c r="C384">
        <v>2050</v>
      </c>
      <c r="D384" t="s">
        <v>346</v>
      </c>
      <c r="E384" t="s">
        <v>405</v>
      </c>
      <c r="F384" t="s">
        <v>126</v>
      </c>
      <c r="G384" t="s">
        <v>127</v>
      </c>
      <c r="H384">
        <v>34.292938650156124</v>
      </c>
      <c r="K384" s="4" t="s">
        <v>333</v>
      </c>
      <c r="L384" s="34">
        <v>21.623556235222996</v>
      </c>
    </row>
    <row r="385" spans="1:12" x14ac:dyDescent="0.3">
      <c r="A385" t="s">
        <v>394</v>
      </c>
      <c r="B385">
        <v>0</v>
      </c>
      <c r="C385">
        <v>2050</v>
      </c>
      <c r="D385" t="s">
        <v>346</v>
      </c>
      <c r="E385" t="s">
        <v>406</v>
      </c>
      <c r="F385" t="s">
        <v>126</v>
      </c>
      <c r="G385" t="s">
        <v>127</v>
      </c>
      <c r="H385">
        <v>36.448575130737922</v>
      </c>
      <c r="K385" s="4" t="s">
        <v>337</v>
      </c>
      <c r="L385" s="34">
        <v>23.608917605417826</v>
      </c>
    </row>
    <row r="386" spans="1:12" x14ac:dyDescent="0.3">
      <c r="A386" t="s">
        <v>394</v>
      </c>
      <c r="B386">
        <v>0</v>
      </c>
      <c r="C386">
        <v>2050</v>
      </c>
      <c r="D386" t="s">
        <v>346</v>
      </c>
      <c r="E386" t="s">
        <v>407</v>
      </c>
      <c r="F386" t="s">
        <v>126</v>
      </c>
      <c r="G386" t="s">
        <v>127</v>
      </c>
      <c r="H386">
        <v>36.391624197141503</v>
      </c>
      <c r="K386" s="4" t="s">
        <v>339</v>
      </c>
      <c r="L386" s="34">
        <v>28.010741611045194</v>
      </c>
    </row>
    <row r="387" spans="1:12" x14ac:dyDescent="0.3">
      <c r="A387" t="s">
        <v>394</v>
      </c>
      <c r="B387">
        <v>0</v>
      </c>
      <c r="C387">
        <v>2050</v>
      </c>
      <c r="D387" t="s">
        <v>348</v>
      </c>
      <c r="E387" t="s">
        <v>349</v>
      </c>
      <c r="F387" t="s">
        <v>126</v>
      </c>
      <c r="G387" t="s">
        <v>127</v>
      </c>
      <c r="H387">
        <v>25.270998248045391</v>
      </c>
      <c r="K387" s="4" t="s">
        <v>341</v>
      </c>
      <c r="L387" s="34">
        <v>26.424039777307829</v>
      </c>
    </row>
    <row r="388" spans="1:12" x14ac:dyDescent="0.3">
      <c r="A388" t="s">
        <v>394</v>
      </c>
      <c r="B388">
        <v>0</v>
      </c>
      <c r="C388">
        <v>2050</v>
      </c>
      <c r="D388" t="s">
        <v>350</v>
      </c>
      <c r="E388" t="s">
        <v>351</v>
      </c>
      <c r="F388" t="s">
        <v>126</v>
      </c>
      <c r="G388" t="s">
        <v>127</v>
      </c>
      <c r="H388">
        <v>24.114421936877882</v>
      </c>
      <c r="K388" s="4" t="s">
        <v>347</v>
      </c>
      <c r="L388" s="34">
        <v>26.254861164388608</v>
      </c>
    </row>
    <row r="389" spans="1:12" x14ac:dyDescent="0.3">
      <c r="A389" t="s">
        <v>394</v>
      </c>
      <c r="B389">
        <v>0</v>
      </c>
      <c r="C389">
        <v>2050</v>
      </c>
      <c r="D389" t="s">
        <v>352</v>
      </c>
      <c r="E389" t="s">
        <v>353</v>
      </c>
      <c r="F389" t="s">
        <v>126</v>
      </c>
      <c r="G389" t="s">
        <v>127</v>
      </c>
      <c r="H389">
        <v>24.124604923603638</v>
      </c>
      <c r="K389" s="4" t="s">
        <v>349</v>
      </c>
      <c r="L389" s="34">
        <v>25.270998248045391</v>
      </c>
    </row>
    <row r="390" spans="1:12" x14ac:dyDescent="0.3">
      <c r="A390" t="s">
        <v>394</v>
      </c>
      <c r="B390">
        <v>0</v>
      </c>
      <c r="C390">
        <v>2050</v>
      </c>
      <c r="D390" t="s">
        <v>354</v>
      </c>
      <c r="E390" t="s">
        <v>355</v>
      </c>
      <c r="F390" t="s">
        <v>126</v>
      </c>
      <c r="G390" t="s">
        <v>127</v>
      </c>
      <c r="H390">
        <v>25.582800626090911</v>
      </c>
      <c r="K390" s="4" t="s">
        <v>351</v>
      </c>
      <c r="L390" s="34">
        <v>24.114421936877882</v>
      </c>
    </row>
    <row r="391" spans="1:12" x14ac:dyDescent="0.3">
      <c r="A391" t="s">
        <v>394</v>
      </c>
      <c r="B391">
        <v>0</v>
      </c>
      <c r="C391">
        <v>2050</v>
      </c>
      <c r="D391" t="s">
        <v>356</v>
      </c>
      <c r="E391" t="s">
        <v>357</v>
      </c>
      <c r="F391" t="s">
        <v>126</v>
      </c>
      <c r="G391" t="s">
        <v>127</v>
      </c>
      <c r="H391">
        <v>26.577172330704784</v>
      </c>
      <c r="K391" s="4" t="s">
        <v>353</v>
      </c>
      <c r="L391" s="34">
        <v>24.124604923603638</v>
      </c>
    </row>
    <row r="392" spans="1:12" x14ac:dyDescent="0.3">
      <c r="A392" t="s">
        <v>394</v>
      </c>
      <c r="B392">
        <v>0</v>
      </c>
      <c r="C392">
        <v>2050</v>
      </c>
      <c r="D392" t="s">
        <v>358</v>
      </c>
      <c r="E392" t="s">
        <v>359</v>
      </c>
      <c r="F392" t="s">
        <v>126</v>
      </c>
      <c r="G392" t="s">
        <v>127</v>
      </c>
      <c r="H392">
        <v>24.404552412047991</v>
      </c>
      <c r="K392" s="4" t="s">
        <v>355</v>
      </c>
      <c r="L392" s="34">
        <v>25.582800626090911</v>
      </c>
    </row>
    <row r="393" spans="1:12" x14ac:dyDescent="0.3">
      <c r="A393" t="s">
        <v>394</v>
      </c>
      <c r="B393">
        <v>0</v>
      </c>
      <c r="C393">
        <v>2050</v>
      </c>
      <c r="D393" t="s">
        <v>360</v>
      </c>
      <c r="E393" t="s">
        <v>361</v>
      </c>
      <c r="F393" t="s">
        <v>126</v>
      </c>
      <c r="G393" t="s">
        <v>127</v>
      </c>
      <c r="H393">
        <v>24.633240133219061</v>
      </c>
      <c r="K393" s="4" t="s">
        <v>357</v>
      </c>
      <c r="L393" s="34">
        <v>26.577172330704784</v>
      </c>
    </row>
    <row r="394" spans="1:12" x14ac:dyDescent="0.3">
      <c r="A394" t="s">
        <v>394</v>
      </c>
      <c r="B394">
        <v>0</v>
      </c>
      <c r="C394">
        <v>2050</v>
      </c>
      <c r="D394" t="s">
        <v>362</v>
      </c>
      <c r="E394" t="s">
        <v>363</v>
      </c>
      <c r="F394" t="s">
        <v>126</v>
      </c>
      <c r="G394" t="s">
        <v>127</v>
      </c>
      <c r="H394">
        <v>24.071122332510697</v>
      </c>
      <c r="K394" s="4" t="s">
        <v>359</v>
      </c>
      <c r="L394" s="34">
        <v>24.404552412047991</v>
      </c>
    </row>
    <row r="395" spans="1:12" x14ac:dyDescent="0.3">
      <c r="A395" t="s">
        <v>394</v>
      </c>
      <c r="B395">
        <v>0</v>
      </c>
      <c r="C395">
        <v>2050</v>
      </c>
      <c r="D395" t="s">
        <v>364</v>
      </c>
      <c r="E395" t="s">
        <v>365</v>
      </c>
      <c r="F395" t="s">
        <v>126</v>
      </c>
      <c r="G395" t="s">
        <v>127</v>
      </c>
      <c r="H395">
        <v>23.5548002278749</v>
      </c>
      <c r="K395" s="4" t="s">
        <v>361</v>
      </c>
      <c r="L395" s="34">
        <v>24.633240133219061</v>
      </c>
    </row>
    <row r="396" spans="1:12" x14ac:dyDescent="0.3">
      <c r="A396" t="s">
        <v>394</v>
      </c>
      <c r="B396">
        <v>0</v>
      </c>
      <c r="C396">
        <v>2050</v>
      </c>
      <c r="D396" t="s">
        <v>366</v>
      </c>
      <c r="E396" t="s">
        <v>367</v>
      </c>
      <c r="F396" t="s">
        <v>126</v>
      </c>
      <c r="G396" t="s">
        <v>127</v>
      </c>
      <c r="H396">
        <v>23.430669894778141</v>
      </c>
      <c r="K396" s="4" t="s">
        <v>363</v>
      </c>
      <c r="L396" s="34">
        <v>24.071122332510697</v>
      </c>
    </row>
    <row r="397" spans="1:12" x14ac:dyDescent="0.3">
      <c r="A397" t="s">
        <v>394</v>
      </c>
      <c r="B397">
        <v>0</v>
      </c>
      <c r="C397">
        <v>2050</v>
      </c>
      <c r="D397" t="s">
        <v>368</v>
      </c>
      <c r="E397" t="s">
        <v>369</v>
      </c>
      <c r="F397" t="s">
        <v>126</v>
      </c>
      <c r="G397" t="s">
        <v>127</v>
      </c>
      <c r="H397">
        <v>24.797870284647754</v>
      </c>
      <c r="K397" s="4" t="s">
        <v>365</v>
      </c>
      <c r="L397" s="34">
        <v>23.5548002278749</v>
      </c>
    </row>
    <row r="398" spans="1:12" x14ac:dyDescent="0.3">
      <c r="A398" t="s">
        <v>394</v>
      </c>
      <c r="B398">
        <v>0</v>
      </c>
      <c r="C398">
        <v>2050</v>
      </c>
      <c r="D398" t="s">
        <v>370</v>
      </c>
      <c r="E398" t="s">
        <v>371</v>
      </c>
      <c r="F398" t="s">
        <v>126</v>
      </c>
      <c r="G398" t="s">
        <v>127</v>
      </c>
      <c r="H398">
        <v>23.306518210704276</v>
      </c>
      <c r="K398" s="4" t="s">
        <v>367</v>
      </c>
      <c r="L398" s="34">
        <v>23.430669894778141</v>
      </c>
    </row>
    <row r="399" spans="1:12" x14ac:dyDescent="0.3">
      <c r="A399" t="s">
        <v>394</v>
      </c>
      <c r="B399">
        <v>0</v>
      </c>
      <c r="C399">
        <v>2050</v>
      </c>
      <c r="D399" t="s">
        <v>370</v>
      </c>
      <c r="E399" t="s">
        <v>408</v>
      </c>
      <c r="F399" t="s">
        <v>126</v>
      </c>
      <c r="G399" t="s">
        <v>127</v>
      </c>
      <c r="H399">
        <v>33.457287142765956</v>
      </c>
      <c r="K399" s="4" t="s">
        <v>369</v>
      </c>
      <c r="L399" s="34">
        <v>24.797870284647754</v>
      </c>
    </row>
    <row r="400" spans="1:12" x14ac:dyDescent="0.3">
      <c r="A400" t="s">
        <v>394</v>
      </c>
      <c r="B400">
        <v>0</v>
      </c>
      <c r="C400">
        <v>2050</v>
      </c>
      <c r="D400" t="s">
        <v>370</v>
      </c>
      <c r="E400" t="s">
        <v>409</v>
      </c>
      <c r="F400" t="s">
        <v>126</v>
      </c>
      <c r="G400" t="s">
        <v>127</v>
      </c>
      <c r="H400">
        <v>25.475679941873491</v>
      </c>
      <c r="K400" s="4" t="s">
        <v>371</v>
      </c>
      <c r="L400" s="34">
        <v>23.306518210704276</v>
      </c>
    </row>
    <row r="401" spans="1:12" x14ac:dyDescent="0.3">
      <c r="A401" t="s">
        <v>394</v>
      </c>
      <c r="B401">
        <v>0</v>
      </c>
      <c r="C401">
        <v>2050</v>
      </c>
      <c r="D401" t="s">
        <v>373</v>
      </c>
      <c r="E401" t="s">
        <v>374</v>
      </c>
      <c r="F401" t="s">
        <v>126</v>
      </c>
      <c r="G401" t="s">
        <v>127</v>
      </c>
      <c r="H401">
        <v>23.645075968831343</v>
      </c>
      <c r="K401" s="4" t="s">
        <v>374</v>
      </c>
      <c r="L401" s="34">
        <v>23.645075968831343</v>
      </c>
    </row>
    <row r="402" spans="1:12" x14ac:dyDescent="0.3">
      <c r="A402" t="s">
        <v>394</v>
      </c>
      <c r="B402">
        <v>0</v>
      </c>
      <c r="C402">
        <v>2050</v>
      </c>
      <c r="D402" t="s">
        <v>375</v>
      </c>
      <c r="E402" t="s">
        <v>376</v>
      </c>
      <c r="F402" t="s">
        <v>126</v>
      </c>
      <c r="G402" t="s">
        <v>127</v>
      </c>
      <c r="H402">
        <v>27.18886468368801</v>
      </c>
      <c r="K402" s="4" t="s">
        <v>376</v>
      </c>
      <c r="L402" s="34">
        <v>27.18886468368801</v>
      </c>
    </row>
    <row r="403" spans="1:12" x14ac:dyDescent="0.3">
      <c r="A403" t="s">
        <v>394</v>
      </c>
      <c r="B403">
        <v>0</v>
      </c>
      <c r="C403">
        <v>2050</v>
      </c>
      <c r="D403" t="s">
        <v>377</v>
      </c>
      <c r="E403" t="s">
        <v>378</v>
      </c>
      <c r="F403" t="s">
        <v>126</v>
      </c>
      <c r="G403" t="s">
        <v>127</v>
      </c>
      <c r="H403">
        <v>24.351873509232963</v>
      </c>
      <c r="K403" s="4" t="s">
        <v>378</v>
      </c>
      <c r="L403" s="34">
        <v>24.351873509232963</v>
      </c>
    </row>
    <row r="404" spans="1:12" x14ac:dyDescent="0.3">
      <c r="A404" t="s">
        <v>394</v>
      </c>
      <c r="B404">
        <v>0</v>
      </c>
      <c r="C404">
        <v>2050</v>
      </c>
      <c r="D404" t="s">
        <v>379</v>
      </c>
      <c r="E404" t="s">
        <v>380</v>
      </c>
      <c r="F404" t="s">
        <v>126</v>
      </c>
      <c r="G404" t="s">
        <v>127</v>
      </c>
      <c r="H404">
        <v>25.051701008909209</v>
      </c>
      <c r="K404" s="4" t="s">
        <v>380</v>
      </c>
      <c r="L404" s="34">
        <v>25.051701008909209</v>
      </c>
    </row>
    <row r="405" spans="1:12" x14ac:dyDescent="0.3">
      <c r="A405" t="s">
        <v>394</v>
      </c>
      <c r="B405">
        <v>0</v>
      </c>
      <c r="C405">
        <v>2050</v>
      </c>
      <c r="D405" t="s">
        <v>381</v>
      </c>
      <c r="E405" t="s">
        <v>382</v>
      </c>
      <c r="F405" t="s">
        <v>126</v>
      </c>
      <c r="G405" t="s">
        <v>127</v>
      </c>
      <c r="H405">
        <v>24.622225463405943</v>
      </c>
      <c r="K405" s="4" t="s">
        <v>382</v>
      </c>
      <c r="L405" s="34">
        <v>24.622225463405943</v>
      </c>
    </row>
    <row r="406" spans="1:12" x14ac:dyDescent="0.3">
      <c r="A406" t="s">
        <v>394</v>
      </c>
      <c r="B406">
        <v>0</v>
      </c>
      <c r="C406">
        <v>2050</v>
      </c>
      <c r="D406" t="s">
        <v>383</v>
      </c>
      <c r="E406" t="s">
        <v>384</v>
      </c>
      <c r="F406" t="s">
        <v>126</v>
      </c>
      <c r="G406" t="s">
        <v>127</v>
      </c>
      <c r="H406">
        <v>24.998456691492944</v>
      </c>
      <c r="K406" s="4" t="s">
        <v>384</v>
      </c>
      <c r="L406" s="34">
        <v>24.998456691492944</v>
      </c>
    </row>
    <row r="407" spans="1:12" x14ac:dyDescent="0.3">
      <c r="A407" t="s">
        <v>394</v>
      </c>
      <c r="B407">
        <v>0</v>
      </c>
      <c r="C407">
        <v>2050</v>
      </c>
      <c r="D407" t="s">
        <v>385</v>
      </c>
      <c r="E407" t="s">
        <v>386</v>
      </c>
      <c r="F407" t="s">
        <v>126</v>
      </c>
      <c r="G407" t="s">
        <v>127</v>
      </c>
      <c r="H407">
        <v>25.040558651980898</v>
      </c>
      <c r="K407" s="4" t="s">
        <v>386</v>
      </c>
      <c r="L407" s="34">
        <v>25.040558651980898</v>
      </c>
    </row>
    <row r="408" spans="1:12" x14ac:dyDescent="0.3">
      <c r="A408" t="s">
        <v>394</v>
      </c>
      <c r="B408">
        <v>0</v>
      </c>
      <c r="C408">
        <v>2050</v>
      </c>
      <c r="D408" t="s">
        <v>55</v>
      </c>
      <c r="E408" t="s">
        <v>56</v>
      </c>
      <c r="F408" t="s">
        <v>126</v>
      </c>
      <c r="G408" t="s">
        <v>127</v>
      </c>
      <c r="H408">
        <v>25.61428724855072</v>
      </c>
      <c r="K408" s="4" t="s">
        <v>388</v>
      </c>
      <c r="L408" s="34">
        <v>31.793202935592529</v>
      </c>
    </row>
    <row r="409" spans="1:12" x14ac:dyDescent="0.3">
      <c r="A409" t="s">
        <v>394</v>
      </c>
      <c r="B409">
        <v>0</v>
      </c>
      <c r="C409">
        <v>2050</v>
      </c>
      <c r="D409" t="s">
        <v>387</v>
      </c>
      <c r="E409" t="s">
        <v>388</v>
      </c>
      <c r="F409" t="s">
        <v>126</v>
      </c>
      <c r="G409" t="s">
        <v>127</v>
      </c>
      <c r="H409">
        <v>31.793202935592529</v>
      </c>
      <c r="K409" s="4" t="s">
        <v>390</v>
      </c>
      <c r="L409" s="34">
        <v>29.521244265191264</v>
      </c>
    </row>
    <row r="410" spans="1:12" x14ac:dyDescent="0.3">
      <c r="A410" t="s">
        <v>394</v>
      </c>
      <c r="B410">
        <v>0</v>
      </c>
      <c r="C410">
        <v>2050</v>
      </c>
      <c r="D410" t="s">
        <v>389</v>
      </c>
      <c r="E410" t="s">
        <v>390</v>
      </c>
      <c r="F410" t="s">
        <v>126</v>
      </c>
      <c r="G410" t="s">
        <v>127</v>
      </c>
      <c r="H410">
        <v>29.521244265191264</v>
      </c>
      <c r="K410" s="4" t="s">
        <v>395</v>
      </c>
      <c r="L410" s="34">
        <v>24.91057014833693</v>
      </c>
    </row>
    <row r="411" spans="1:12" x14ac:dyDescent="0.3">
      <c r="A411" t="s">
        <v>410</v>
      </c>
      <c r="B411">
        <v>0</v>
      </c>
      <c r="C411">
        <v>2020</v>
      </c>
      <c r="D411" t="s">
        <v>167</v>
      </c>
      <c r="E411" t="s">
        <v>168</v>
      </c>
      <c r="F411" t="s">
        <v>126</v>
      </c>
      <c r="G411" t="s">
        <v>127</v>
      </c>
      <c r="H411">
        <v>15.441486077951749</v>
      </c>
      <c r="K411" s="4" t="s">
        <v>396</v>
      </c>
      <c r="L411" s="34">
        <v>26.264598976911238</v>
      </c>
    </row>
    <row r="412" spans="1:12" x14ac:dyDescent="0.3">
      <c r="A412" t="s">
        <v>410</v>
      </c>
      <c r="B412">
        <v>0</v>
      </c>
      <c r="C412">
        <v>2020</v>
      </c>
      <c r="D412" t="s">
        <v>167</v>
      </c>
      <c r="E412" t="s">
        <v>183</v>
      </c>
      <c r="F412" t="s">
        <v>126</v>
      </c>
      <c r="G412" t="s">
        <v>127</v>
      </c>
      <c r="H412">
        <v>15.184363092327516</v>
      </c>
      <c r="K412" s="4" t="s">
        <v>397</v>
      </c>
      <c r="L412" s="34">
        <v>31.881987624499729</v>
      </c>
    </row>
    <row r="413" spans="1:12" x14ac:dyDescent="0.3">
      <c r="A413" t="s">
        <v>410</v>
      </c>
      <c r="B413">
        <v>0</v>
      </c>
      <c r="C413">
        <v>2020</v>
      </c>
      <c r="D413" t="s">
        <v>167</v>
      </c>
      <c r="E413" t="s">
        <v>187</v>
      </c>
      <c r="F413" t="s">
        <v>126</v>
      </c>
      <c r="G413" t="s">
        <v>127</v>
      </c>
      <c r="H413">
        <v>13.59033042386193</v>
      </c>
      <c r="K413" s="4" t="s">
        <v>398</v>
      </c>
      <c r="L413" s="34">
        <v>29.139864711601813</v>
      </c>
    </row>
    <row r="414" spans="1:12" x14ac:dyDescent="0.3">
      <c r="A414" t="s">
        <v>410</v>
      </c>
      <c r="B414">
        <v>0</v>
      </c>
      <c r="C414">
        <v>2020</v>
      </c>
      <c r="D414" t="s">
        <v>167</v>
      </c>
      <c r="E414" t="s">
        <v>191</v>
      </c>
      <c r="F414" t="s">
        <v>126</v>
      </c>
      <c r="G414" t="s">
        <v>127</v>
      </c>
      <c r="H414">
        <v>12.734166511972754</v>
      </c>
      <c r="K414" s="4" t="s">
        <v>399</v>
      </c>
      <c r="L414" s="34">
        <v>25.047506862207609</v>
      </c>
    </row>
    <row r="415" spans="1:12" x14ac:dyDescent="0.3">
      <c r="A415" t="s">
        <v>410</v>
      </c>
      <c r="B415">
        <v>0</v>
      </c>
      <c r="C415">
        <v>2020</v>
      </c>
      <c r="D415" t="s">
        <v>167</v>
      </c>
      <c r="E415" t="s">
        <v>194</v>
      </c>
      <c r="F415" t="s">
        <v>126</v>
      </c>
      <c r="G415" t="s">
        <v>127</v>
      </c>
      <c r="H415">
        <v>15.164312862067002</v>
      </c>
      <c r="K415" s="4" t="s">
        <v>400</v>
      </c>
      <c r="L415" s="34">
        <v>48.135392938441989</v>
      </c>
    </row>
    <row r="416" spans="1:12" x14ac:dyDescent="0.3">
      <c r="A416" t="s">
        <v>410</v>
      </c>
      <c r="B416">
        <v>0</v>
      </c>
      <c r="C416">
        <v>2020</v>
      </c>
      <c r="D416" t="s">
        <v>197</v>
      </c>
      <c r="E416" t="s">
        <v>198</v>
      </c>
      <c r="F416" t="s">
        <v>126</v>
      </c>
      <c r="G416" t="s">
        <v>127</v>
      </c>
      <c r="H416">
        <v>33.091010172174173</v>
      </c>
      <c r="K416" s="4" t="s">
        <v>401</v>
      </c>
      <c r="L416" s="34">
        <v>34.347216795933363</v>
      </c>
    </row>
    <row r="417" spans="1:12" x14ac:dyDescent="0.3">
      <c r="A417" t="s">
        <v>410</v>
      </c>
      <c r="B417">
        <v>0</v>
      </c>
      <c r="C417">
        <v>2020</v>
      </c>
      <c r="D417" t="s">
        <v>197</v>
      </c>
      <c r="E417" t="s">
        <v>231</v>
      </c>
      <c r="F417" t="s">
        <v>126</v>
      </c>
      <c r="G417" t="s">
        <v>127</v>
      </c>
      <c r="H417">
        <v>35.942165422775943</v>
      </c>
      <c r="K417" s="4" t="s">
        <v>402</v>
      </c>
      <c r="L417" s="34">
        <v>33.189508063386782</v>
      </c>
    </row>
    <row r="418" spans="1:12" x14ac:dyDescent="0.3">
      <c r="A418" t="s">
        <v>410</v>
      </c>
      <c r="B418">
        <v>0</v>
      </c>
      <c r="C418">
        <v>2020</v>
      </c>
      <c r="D418" t="s">
        <v>250</v>
      </c>
      <c r="E418" t="s">
        <v>251</v>
      </c>
      <c r="F418" t="s">
        <v>126</v>
      </c>
      <c r="G418" t="s">
        <v>127</v>
      </c>
      <c r="H418">
        <v>35.52698564408734</v>
      </c>
      <c r="K418" s="4" t="s">
        <v>415</v>
      </c>
      <c r="L418" s="34">
        <v>35.668388469660762</v>
      </c>
    </row>
    <row r="419" spans="1:12" x14ac:dyDescent="0.3">
      <c r="A419" t="s">
        <v>410</v>
      </c>
      <c r="B419">
        <v>0</v>
      </c>
      <c r="C419">
        <v>2020</v>
      </c>
      <c r="D419" t="s">
        <v>255</v>
      </c>
      <c r="E419" t="s">
        <v>256</v>
      </c>
      <c r="F419" t="s">
        <v>126</v>
      </c>
      <c r="G419" t="s">
        <v>127</v>
      </c>
      <c r="H419">
        <v>42.13111592136088</v>
      </c>
      <c r="K419" s="4" t="s">
        <v>403</v>
      </c>
      <c r="L419" s="34">
        <v>35.079473684641364</v>
      </c>
    </row>
    <row r="420" spans="1:12" x14ac:dyDescent="0.3">
      <c r="A420" t="s">
        <v>410</v>
      </c>
      <c r="B420">
        <v>0</v>
      </c>
      <c r="C420">
        <v>2020</v>
      </c>
      <c r="D420" t="s">
        <v>255</v>
      </c>
      <c r="E420" t="s">
        <v>273</v>
      </c>
      <c r="F420" t="s">
        <v>126</v>
      </c>
      <c r="G420" t="s">
        <v>127</v>
      </c>
      <c r="H420">
        <v>41.795124673346649</v>
      </c>
      <c r="K420" s="4" t="s">
        <v>404</v>
      </c>
      <c r="L420" s="34">
        <v>33.300405050057236</v>
      </c>
    </row>
    <row r="421" spans="1:12" x14ac:dyDescent="0.3">
      <c r="A421" t="s">
        <v>410</v>
      </c>
      <c r="B421">
        <v>0</v>
      </c>
      <c r="C421">
        <v>2020</v>
      </c>
      <c r="D421" t="s">
        <v>255</v>
      </c>
      <c r="E421" t="s">
        <v>277</v>
      </c>
      <c r="F421" t="s">
        <v>126</v>
      </c>
      <c r="G421" t="s">
        <v>127</v>
      </c>
      <c r="H421">
        <v>42.387032655307515</v>
      </c>
      <c r="K421" s="4" t="s">
        <v>405</v>
      </c>
      <c r="L421" s="34">
        <v>34.292938650156124</v>
      </c>
    </row>
    <row r="422" spans="1:12" x14ac:dyDescent="0.3">
      <c r="A422" t="s">
        <v>410</v>
      </c>
      <c r="B422">
        <v>0</v>
      </c>
      <c r="C422">
        <v>2020</v>
      </c>
      <c r="D422" t="s">
        <v>255</v>
      </c>
      <c r="E422" t="s">
        <v>289</v>
      </c>
      <c r="F422" t="s">
        <v>126</v>
      </c>
      <c r="G422" t="s">
        <v>127</v>
      </c>
      <c r="H422">
        <v>42.536120829932052</v>
      </c>
      <c r="K422" s="4" t="s">
        <v>406</v>
      </c>
      <c r="L422" s="34">
        <v>36.448575130737922</v>
      </c>
    </row>
    <row r="423" spans="1:12" x14ac:dyDescent="0.3">
      <c r="A423" t="s">
        <v>410</v>
      </c>
      <c r="B423">
        <v>0</v>
      </c>
      <c r="C423">
        <v>2020</v>
      </c>
      <c r="D423" t="s">
        <v>305</v>
      </c>
      <c r="E423" t="s">
        <v>306</v>
      </c>
      <c r="F423" t="s">
        <v>126</v>
      </c>
      <c r="G423" t="s">
        <v>127</v>
      </c>
      <c r="H423">
        <v>42.893949311863587</v>
      </c>
      <c r="K423" s="4" t="s">
        <v>407</v>
      </c>
      <c r="L423" s="34">
        <v>36.391624197141503</v>
      </c>
    </row>
    <row r="424" spans="1:12" x14ac:dyDescent="0.3">
      <c r="A424" t="s">
        <v>410</v>
      </c>
      <c r="B424">
        <v>0</v>
      </c>
      <c r="C424">
        <v>2020</v>
      </c>
      <c r="D424" t="s">
        <v>309</v>
      </c>
      <c r="E424" t="s">
        <v>310</v>
      </c>
      <c r="F424" t="s">
        <v>126</v>
      </c>
      <c r="G424" t="s">
        <v>127</v>
      </c>
      <c r="H424">
        <v>13.620735222101036</v>
      </c>
      <c r="K424" s="4" t="s">
        <v>408</v>
      </c>
      <c r="L424" s="34">
        <v>33.457287142765956</v>
      </c>
    </row>
    <row r="425" spans="1:12" x14ac:dyDescent="0.3">
      <c r="A425" t="s">
        <v>410</v>
      </c>
      <c r="B425">
        <v>0</v>
      </c>
      <c r="C425">
        <v>2020</v>
      </c>
      <c r="D425" t="s">
        <v>309</v>
      </c>
      <c r="E425" t="s">
        <v>311</v>
      </c>
      <c r="F425" t="s">
        <v>126</v>
      </c>
      <c r="G425" t="s">
        <v>127</v>
      </c>
      <c r="H425">
        <v>13.98026071126109</v>
      </c>
      <c r="K425" s="4" t="s">
        <v>409</v>
      </c>
      <c r="L425" s="34">
        <v>25.475679941873491</v>
      </c>
    </row>
    <row r="426" spans="1:12" x14ac:dyDescent="0.3">
      <c r="A426" t="s">
        <v>410</v>
      </c>
      <c r="B426">
        <v>0</v>
      </c>
      <c r="C426">
        <v>2020</v>
      </c>
      <c r="D426" t="s">
        <v>309</v>
      </c>
      <c r="E426" t="s">
        <v>312</v>
      </c>
      <c r="F426" t="s">
        <v>126</v>
      </c>
      <c r="G426" t="s">
        <v>127</v>
      </c>
      <c r="H426">
        <v>27.583370898328052</v>
      </c>
      <c r="K426" s="2" t="s">
        <v>410</v>
      </c>
      <c r="L426" s="34">
        <v>29.527138452280401</v>
      </c>
    </row>
    <row r="427" spans="1:12" x14ac:dyDescent="0.3">
      <c r="A427" t="s">
        <v>410</v>
      </c>
      <c r="B427">
        <v>0</v>
      </c>
      <c r="C427">
        <v>2020</v>
      </c>
      <c r="D427" t="s">
        <v>309</v>
      </c>
      <c r="E427" t="s">
        <v>313</v>
      </c>
      <c r="F427" t="s">
        <v>126</v>
      </c>
      <c r="G427" t="s">
        <v>127</v>
      </c>
      <c r="H427">
        <v>28.046872553693436</v>
      </c>
      <c r="K427" s="3">
        <v>2020</v>
      </c>
      <c r="L427" s="34">
        <v>35.558034237421069</v>
      </c>
    </row>
    <row r="428" spans="1:12" x14ac:dyDescent="0.3">
      <c r="A428" t="s">
        <v>410</v>
      </c>
      <c r="B428">
        <v>0</v>
      </c>
      <c r="C428">
        <v>2020</v>
      </c>
      <c r="D428" t="s">
        <v>314</v>
      </c>
      <c r="E428" t="s">
        <v>315</v>
      </c>
      <c r="F428" t="s">
        <v>126</v>
      </c>
      <c r="G428" t="s">
        <v>127</v>
      </c>
      <c r="H428">
        <v>41.609323239795117</v>
      </c>
      <c r="K428" s="4" t="s">
        <v>56</v>
      </c>
      <c r="L428" s="34">
        <v>30.669162898666716</v>
      </c>
    </row>
    <row r="429" spans="1:12" x14ac:dyDescent="0.3">
      <c r="A429" t="s">
        <v>410</v>
      </c>
      <c r="B429">
        <v>0</v>
      </c>
      <c r="C429">
        <v>2020</v>
      </c>
      <c r="D429" t="s">
        <v>328</v>
      </c>
      <c r="E429" t="s">
        <v>329</v>
      </c>
      <c r="F429" t="s">
        <v>126</v>
      </c>
      <c r="G429" t="s">
        <v>127</v>
      </c>
      <c r="H429">
        <v>41.271871889936762</v>
      </c>
      <c r="K429" s="4" t="s">
        <v>198</v>
      </c>
      <c r="L429" s="34">
        <v>33.091010172174173</v>
      </c>
    </row>
    <row r="430" spans="1:12" x14ac:dyDescent="0.3">
      <c r="A430" t="s">
        <v>410</v>
      </c>
      <c r="B430">
        <v>0</v>
      </c>
      <c r="C430">
        <v>2020</v>
      </c>
      <c r="D430" t="s">
        <v>330</v>
      </c>
      <c r="E430" t="s">
        <v>331</v>
      </c>
      <c r="F430" t="s">
        <v>126</v>
      </c>
      <c r="G430" t="s">
        <v>127</v>
      </c>
      <c r="H430">
        <v>30.898489950728333</v>
      </c>
      <c r="K430" s="4" t="s">
        <v>231</v>
      </c>
      <c r="L430" s="34">
        <v>35.942165422775943</v>
      </c>
    </row>
    <row r="431" spans="1:12" x14ac:dyDescent="0.3">
      <c r="A431" t="s">
        <v>410</v>
      </c>
      <c r="B431">
        <v>0</v>
      </c>
      <c r="C431">
        <v>2020</v>
      </c>
      <c r="D431" t="s">
        <v>332</v>
      </c>
      <c r="E431" t="s">
        <v>333</v>
      </c>
      <c r="F431" t="s">
        <v>126</v>
      </c>
      <c r="G431" t="s">
        <v>127</v>
      </c>
      <c r="H431">
        <v>30.611147772221003</v>
      </c>
      <c r="K431" s="4" t="s">
        <v>168</v>
      </c>
      <c r="L431" s="34">
        <v>15.441486077951749</v>
      </c>
    </row>
    <row r="432" spans="1:12" x14ac:dyDescent="0.3">
      <c r="A432" t="s">
        <v>410</v>
      </c>
      <c r="B432">
        <v>0</v>
      </c>
      <c r="C432">
        <v>2020</v>
      </c>
      <c r="D432" t="s">
        <v>336</v>
      </c>
      <c r="E432" t="s">
        <v>337</v>
      </c>
      <c r="F432" t="s">
        <v>126</v>
      </c>
      <c r="G432" t="s">
        <v>127</v>
      </c>
      <c r="H432">
        <v>51.289029820209763</v>
      </c>
      <c r="K432" s="4" t="s">
        <v>183</v>
      </c>
      <c r="L432" s="34">
        <v>15.184363092327516</v>
      </c>
    </row>
    <row r="433" spans="1:12" x14ac:dyDescent="0.3">
      <c r="A433" t="s">
        <v>410</v>
      </c>
      <c r="B433">
        <v>0</v>
      </c>
      <c r="C433">
        <v>2020</v>
      </c>
      <c r="D433" t="s">
        <v>338</v>
      </c>
      <c r="E433" t="s">
        <v>339</v>
      </c>
      <c r="F433" t="s">
        <v>126</v>
      </c>
      <c r="G433" t="s">
        <v>127</v>
      </c>
      <c r="H433">
        <v>39.20935571252965</v>
      </c>
      <c r="K433" s="4" t="s">
        <v>187</v>
      </c>
      <c r="L433" s="34">
        <v>13.59033042386193</v>
      </c>
    </row>
    <row r="434" spans="1:12" x14ac:dyDescent="0.3">
      <c r="A434" t="s">
        <v>410</v>
      </c>
      <c r="B434">
        <v>0</v>
      </c>
      <c r="C434">
        <v>2020</v>
      </c>
      <c r="D434" t="s">
        <v>340</v>
      </c>
      <c r="E434" t="s">
        <v>341</v>
      </c>
      <c r="F434" t="s">
        <v>126</v>
      </c>
      <c r="G434" t="s">
        <v>127</v>
      </c>
      <c r="H434">
        <v>28.064927307417058</v>
      </c>
      <c r="K434" s="4" t="s">
        <v>191</v>
      </c>
      <c r="L434" s="34">
        <v>12.734166511972754</v>
      </c>
    </row>
    <row r="435" spans="1:12" x14ac:dyDescent="0.3">
      <c r="A435" t="s">
        <v>410</v>
      </c>
      <c r="B435">
        <v>0</v>
      </c>
      <c r="C435">
        <v>2020</v>
      </c>
      <c r="D435" t="s">
        <v>346</v>
      </c>
      <c r="E435" t="s">
        <v>347</v>
      </c>
      <c r="F435" t="s">
        <v>126</v>
      </c>
      <c r="G435" t="s">
        <v>127</v>
      </c>
      <c r="H435">
        <v>35.203043840136267</v>
      </c>
      <c r="K435" s="4" t="s">
        <v>194</v>
      </c>
      <c r="L435" s="34">
        <v>15.164312862067002</v>
      </c>
    </row>
    <row r="436" spans="1:12" x14ac:dyDescent="0.3">
      <c r="A436" t="s">
        <v>410</v>
      </c>
      <c r="B436">
        <v>0</v>
      </c>
      <c r="C436">
        <v>2020</v>
      </c>
      <c r="D436" t="s">
        <v>348</v>
      </c>
      <c r="E436" t="s">
        <v>349</v>
      </c>
      <c r="F436" t="s">
        <v>126</v>
      </c>
      <c r="G436" t="s">
        <v>127</v>
      </c>
      <c r="H436">
        <v>27.415068565822356</v>
      </c>
      <c r="K436" s="4" t="s">
        <v>251</v>
      </c>
      <c r="L436" s="34">
        <v>35.52698564408734</v>
      </c>
    </row>
    <row r="437" spans="1:12" x14ac:dyDescent="0.3">
      <c r="A437" t="s">
        <v>410</v>
      </c>
      <c r="B437">
        <v>0</v>
      </c>
      <c r="C437">
        <v>2020</v>
      </c>
      <c r="D437" t="s">
        <v>350</v>
      </c>
      <c r="E437" t="s">
        <v>351</v>
      </c>
      <c r="F437" t="s">
        <v>126</v>
      </c>
      <c r="G437" t="s">
        <v>127</v>
      </c>
      <c r="H437">
        <v>32.881488798081236</v>
      </c>
      <c r="K437" s="4" t="s">
        <v>256</v>
      </c>
      <c r="L437" s="34">
        <v>42.13111592136088</v>
      </c>
    </row>
    <row r="438" spans="1:12" x14ac:dyDescent="0.3">
      <c r="A438" t="s">
        <v>410</v>
      </c>
      <c r="B438">
        <v>0</v>
      </c>
      <c r="C438">
        <v>2020</v>
      </c>
      <c r="D438" t="s">
        <v>352</v>
      </c>
      <c r="E438" t="s">
        <v>353</v>
      </c>
      <c r="F438" t="s">
        <v>126</v>
      </c>
      <c r="G438" t="s">
        <v>127</v>
      </c>
      <c r="H438">
        <v>37.792390371602714</v>
      </c>
      <c r="K438" s="4" t="s">
        <v>273</v>
      </c>
      <c r="L438" s="34">
        <v>41.795124673346649</v>
      </c>
    </row>
    <row r="439" spans="1:12" x14ac:dyDescent="0.3">
      <c r="A439" t="s">
        <v>410</v>
      </c>
      <c r="B439">
        <v>0</v>
      </c>
      <c r="C439">
        <v>2020</v>
      </c>
      <c r="D439" t="s">
        <v>354</v>
      </c>
      <c r="E439" t="s">
        <v>355</v>
      </c>
      <c r="F439" t="s">
        <v>126</v>
      </c>
      <c r="G439" t="s">
        <v>127</v>
      </c>
      <c r="H439">
        <v>41.208974235831597</v>
      </c>
      <c r="K439" s="4" t="s">
        <v>277</v>
      </c>
      <c r="L439" s="34">
        <v>42.387032655307515</v>
      </c>
    </row>
    <row r="440" spans="1:12" x14ac:dyDescent="0.3">
      <c r="A440" t="s">
        <v>410</v>
      </c>
      <c r="B440">
        <v>0</v>
      </c>
      <c r="C440">
        <v>2020</v>
      </c>
      <c r="D440" t="s">
        <v>356</v>
      </c>
      <c r="E440" t="s">
        <v>357</v>
      </c>
      <c r="F440" t="s">
        <v>126</v>
      </c>
      <c r="G440" t="s">
        <v>127</v>
      </c>
      <c r="H440">
        <v>42.224901415593258</v>
      </c>
      <c r="K440" s="4" t="s">
        <v>289</v>
      </c>
      <c r="L440" s="34">
        <v>42.536120829932052</v>
      </c>
    </row>
    <row r="441" spans="1:12" x14ac:dyDescent="0.3">
      <c r="A441" t="s">
        <v>410</v>
      </c>
      <c r="B441">
        <v>0</v>
      </c>
      <c r="C441">
        <v>2020</v>
      </c>
      <c r="D441" t="s">
        <v>358</v>
      </c>
      <c r="E441" t="s">
        <v>359</v>
      </c>
      <c r="F441" t="s">
        <v>126</v>
      </c>
      <c r="G441" t="s">
        <v>127</v>
      </c>
      <c r="H441">
        <v>41.219269638041844</v>
      </c>
      <c r="K441" s="4" t="s">
        <v>306</v>
      </c>
      <c r="L441" s="34">
        <v>42.893949311863587</v>
      </c>
    </row>
    <row r="442" spans="1:12" x14ac:dyDescent="0.3">
      <c r="A442" t="s">
        <v>410</v>
      </c>
      <c r="B442">
        <v>0</v>
      </c>
      <c r="C442">
        <v>2020</v>
      </c>
      <c r="D442" t="s">
        <v>360</v>
      </c>
      <c r="E442" t="s">
        <v>361</v>
      </c>
      <c r="F442" t="s">
        <v>126</v>
      </c>
      <c r="G442" t="s">
        <v>127</v>
      </c>
      <c r="H442">
        <v>42.478044689476143</v>
      </c>
      <c r="K442" s="4" t="s">
        <v>310</v>
      </c>
      <c r="L442" s="34">
        <v>13.620735222101036</v>
      </c>
    </row>
    <row r="443" spans="1:12" x14ac:dyDescent="0.3">
      <c r="A443" t="s">
        <v>410</v>
      </c>
      <c r="B443">
        <v>0</v>
      </c>
      <c r="C443">
        <v>2020</v>
      </c>
      <c r="D443" t="s">
        <v>362</v>
      </c>
      <c r="E443" t="s">
        <v>363</v>
      </c>
      <c r="F443" t="s">
        <v>126</v>
      </c>
      <c r="G443" t="s">
        <v>127</v>
      </c>
      <c r="H443">
        <v>41.179306173877443</v>
      </c>
      <c r="K443" s="4" t="s">
        <v>311</v>
      </c>
      <c r="L443" s="34">
        <v>13.98026071126109</v>
      </c>
    </row>
    <row r="444" spans="1:12" x14ac:dyDescent="0.3">
      <c r="A444" t="s">
        <v>410</v>
      </c>
      <c r="B444">
        <v>0</v>
      </c>
      <c r="C444">
        <v>2020</v>
      </c>
      <c r="D444" t="s">
        <v>364</v>
      </c>
      <c r="E444" t="s">
        <v>365</v>
      </c>
      <c r="F444" t="s">
        <v>126</v>
      </c>
      <c r="G444" t="s">
        <v>127</v>
      </c>
      <c r="H444">
        <v>40.240218050728132</v>
      </c>
      <c r="K444" s="4" t="s">
        <v>312</v>
      </c>
      <c r="L444" s="34">
        <v>27.583370898328052</v>
      </c>
    </row>
    <row r="445" spans="1:12" x14ac:dyDescent="0.3">
      <c r="A445" t="s">
        <v>410</v>
      </c>
      <c r="B445">
        <v>0</v>
      </c>
      <c r="C445">
        <v>2020</v>
      </c>
      <c r="D445" t="s">
        <v>366</v>
      </c>
      <c r="E445" t="s">
        <v>367</v>
      </c>
      <c r="F445" t="s">
        <v>126</v>
      </c>
      <c r="G445" t="s">
        <v>127</v>
      </c>
      <c r="H445">
        <v>38.579574103692167</v>
      </c>
      <c r="K445" s="4" t="s">
        <v>313</v>
      </c>
      <c r="L445" s="34">
        <v>28.046872553693436</v>
      </c>
    </row>
    <row r="446" spans="1:12" x14ac:dyDescent="0.3">
      <c r="A446" t="s">
        <v>410</v>
      </c>
      <c r="B446">
        <v>0</v>
      </c>
      <c r="C446">
        <v>2020</v>
      </c>
      <c r="D446" t="s">
        <v>368</v>
      </c>
      <c r="E446" t="s">
        <v>369</v>
      </c>
      <c r="F446" t="s">
        <v>126</v>
      </c>
      <c r="G446" t="s">
        <v>127</v>
      </c>
      <c r="H446">
        <v>37.27113580602834</v>
      </c>
      <c r="K446" s="4" t="s">
        <v>315</v>
      </c>
      <c r="L446" s="34">
        <v>41.609323239795117</v>
      </c>
    </row>
    <row r="447" spans="1:12" x14ac:dyDescent="0.3">
      <c r="A447" t="s">
        <v>410</v>
      </c>
      <c r="B447">
        <v>0</v>
      </c>
      <c r="C447">
        <v>2020</v>
      </c>
      <c r="D447" t="s">
        <v>370</v>
      </c>
      <c r="E447" t="s">
        <v>371</v>
      </c>
      <c r="F447" t="s">
        <v>126</v>
      </c>
      <c r="G447" t="s">
        <v>127</v>
      </c>
      <c r="H447">
        <v>34.73504176448678</v>
      </c>
      <c r="K447" s="4" t="s">
        <v>329</v>
      </c>
      <c r="L447" s="34">
        <v>41.271871889936762</v>
      </c>
    </row>
    <row r="448" spans="1:12" x14ac:dyDescent="0.3">
      <c r="A448" t="s">
        <v>410</v>
      </c>
      <c r="B448">
        <v>0</v>
      </c>
      <c r="C448">
        <v>2020</v>
      </c>
      <c r="D448" t="s">
        <v>373</v>
      </c>
      <c r="E448" t="s">
        <v>374</v>
      </c>
      <c r="F448" t="s">
        <v>126</v>
      </c>
      <c r="G448" t="s">
        <v>127</v>
      </c>
      <c r="H448">
        <v>46.408848446687394</v>
      </c>
      <c r="K448" s="4" t="s">
        <v>331</v>
      </c>
      <c r="L448" s="34">
        <v>30.898489950728333</v>
      </c>
    </row>
    <row r="449" spans="1:12" x14ac:dyDescent="0.3">
      <c r="A449" t="s">
        <v>410</v>
      </c>
      <c r="B449">
        <v>0</v>
      </c>
      <c r="C449">
        <v>2020</v>
      </c>
      <c r="D449" t="s">
        <v>375</v>
      </c>
      <c r="E449" t="s">
        <v>376</v>
      </c>
      <c r="F449" t="s">
        <v>126</v>
      </c>
      <c r="G449" t="s">
        <v>127</v>
      </c>
      <c r="H449">
        <v>42.292968529272649</v>
      </c>
      <c r="K449" s="4" t="s">
        <v>333</v>
      </c>
      <c r="L449" s="34">
        <v>30.611147772221003</v>
      </c>
    </row>
    <row r="450" spans="1:12" x14ac:dyDescent="0.3">
      <c r="A450" t="s">
        <v>410</v>
      </c>
      <c r="B450">
        <v>0</v>
      </c>
      <c r="C450">
        <v>2020</v>
      </c>
      <c r="D450" t="s">
        <v>377</v>
      </c>
      <c r="E450" t="s">
        <v>378</v>
      </c>
      <c r="F450" t="s">
        <v>126</v>
      </c>
      <c r="G450" t="s">
        <v>127</v>
      </c>
      <c r="H450">
        <v>35.069703851423633</v>
      </c>
      <c r="K450" s="4" t="s">
        <v>337</v>
      </c>
      <c r="L450" s="34">
        <v>51.289029820209763</v>
      </c>
    </row>
    <row r="451" spans="1:12" x14ac:dyDescent="0.3">
      <c r="A451" t="s">
        <v>410</v>
      </c>
      <c r="B451">
        <v>0</v>
      </c>
      <c r="C451">
        <v>2020</v>
      </c>
      <c r="D451" t="s">
        <v>379</v>
      </c>
      <c r="E451" t="s">
        <v>380</v>
      </c>
      <c r="F451" t="s">
        <v>126</v>
      </c>
      <c r="G451" t="s">
        <v>127</v>
      </c>
      <c r="H451">
        <v>41.737112357069428</v>
      </c>
      <c r="K451" s="4" t="s">
        <v>339</v>
      </c>
      <c r="L451" s="34">
        <v>39.20935571252965</v>
      </c>
    </row>
    <row r="452" spans="1:12" x14ac:dyDescent="0.3">
      <c r="A452" t="s">
        <v>410</v>
      </c>
      <c r="B452">
        <v>0</v>
      </c>
      <c r="C452">
        <v>2020</v>
      </c>
      <c r="D452" t="s">
        <v>381</v>
      </c>
      <c r="E452" t="s">
        <v>382</v>
      </c>
      <c r="F452" t="s">
        <v>126</v>
      </c>
      <c r="G452" t="s">
        <v>127</v>
      </c>
      <c r="H452">
        <v>38.622682722844949</v>
      </c>
      <c r="K452" s="4" t="s">
        <v>341</v>
      </c>
      <c r="L452" s="34">
        <v>28.064927307417058</v>
      </c>
    </row>
    <row r="453" spans="1:12" x14ac:dyDescent="0.3">
      <c r="A453" t="s">
        <v>410</v>
      </c>
      <c r="B453">
        <v>0</v>
      </c>
      <c r="C453">
        <v>2020</v>
      </c>
      <c r="D453" t="s">
        <v>383</v>
      </c>
      <c r="E453" t="s">
        <v>384</v>
      </c>
      <c r="F453" t="s">
        <v>126</v>
      </c>
      <c r="G453" t="s">
        <v>127</v>
      </c>
      <c r="H453">
        <v>41.725266578670031</v>
      </c>
      <c r="K453" s="4" t="s">
        <v>347</v>
      </c>
      <c r="L453" s="34">
        <v>35.203043840136267</v>
      </c>
    </row>
    <row r="454" spans="1:12" x14ac:dyDescent="0.3">
      <c r="A454" t="s">
        <v>410</v>
      </c>
      <c r="B454">
        <v>0</v>
      </c>
      <c r="C454">
        <v>2020</v>
      </c>
      <c r="D454" t="s">
        <v>385</v>
      </c>
      <c r="E454" t="s">
        <v>386</v>
      </c>
      <c r="F454" t="s">
        <v>126</v>
      </c>
      <c r="G454" t="s">
        <v>127</v>
      </c>
      <c r="H454">
        <v>43.744941688235222</v>
      </c>
      <c r="K454" s="4" t="s">
        <v>349</v>
      </c>
      <c r="L454" s="34">
        <v>27.415068565822356</v>
      </c>
    </row>
    <row r="455" spans="1:12" x14ac:dyDescent="0.3">
      <c r="A455" t="s">
        <v>410</v>
      </c>
      <c r="B455">
        <v>0</v>
      </c>
      <c r="C455">
        <v>2020</v>
      </c>
      <c r="D455" t="s">
        <v>55</v>
      </c>
      <c r="E455" t="s">
        <v>56</v>
      </c>
      <c r="F455" t="s">
        <v>126</v>
      </c>
      <c r="G455" t="s">
        <v>127</v>
      </c>
      <c r="H455">
        <v>30.669162898666716</v>
      </c>
      <c r="K455" s="4" t="s">
        <v>351</v>
      </c>
      <c r="L455" s="34">
        <v>32.881488798081236</v>
      </c>
    </row>
    <row r="456" spans="1:12" x14ac:dyDescent="0.3">
      <c r="A456" t="s">
        <v>410</v>
      </c>
      <c r="B456">
        <v>0</v>
      </c>
      <c r="C456">
        <v>2020</v>
      </c>
      <c r="D456" t="s">
        <v>387</v>
      </c>
      <c r="E456" t="s">
        <v>388</v>
      </c>
      <c r="F456" t="s">
        <v>126</v>
      </c>
      <c r="G456" t="s">
        <v>127</v>
      </c>
      <c r="H456">
        <v>52.973659500607063</v>
      </c>
      <c r="K456" s="4" t="s">
        <v>353</v>
      </c>
      <c r="L456" s="34">
        <v>37.792390371602714</v>
      </c>
    </row>
    <row r="457" spans="1:12" x14ac:dyDescent="0.3">
      <c r="A457" t="s">
        <v>410</v>
      </c>
      <c r="B457">
        <v>0</v>
      </c>
      <c r="C457">
        <v>2020</v>
      </c>
      <c r="D457" t="s">
        <v>389</v>
      </c>
      <c r="E457" t="s">
        <v>390</v>
      </c>
      <c r="F457" t="s">
        <v>126</v>
      </c>
      <c r="G457" t="s">
        <v>127</v>
      </c>
      <c r="H457">
        <v>70.951256454664247</v>
      </c>
      <c r="K457" s="4" t="s">
        <v>355</v>
      </c>
      <c r="L457" s="34">
        <v>41.208974235831597</v>
      </c>
    </row>
    <row r="458" spans="1:12" x14ac:dyDescent="0.3">
      <c r="A458" t="s">
        <v>410</v>
      </c>
      <c r="B458">
        <v>0</v>
      </c>
      <c r="C458">
        <v>2030</v>
      </c>
      <c r="D458" t="s">
        <v>167</v>
      </c>
      <c r="E458" t="s">
        <v>168</v>
      </c>
      <c r="F458" t="s">
        <v>126</v>
      </c>
      <c r="G458" t="s">
        <v>127</v>
      </c>
      <c r="H458">
        <v>27.048037609719859</v>
      </c>
      <c r="K458" s="4" t="s">
        <v>357</v>
      </c>
      <c r="L458" s="34">
        <v>42.224901415593258</v>
      </c>
    </row>
    <row r="459" spans="1:12" x14ac:dyDescent="0.3">
      <c r="A459" t="s">
        <v>410</v>
      </c>
      <c r="B459">
        <v>0</v>
      </c>
      <c r="C459">
        <v>2030</v>
      </c>
      <c r="D459" t="s">
        <v>167</v>
      </c>
      <c r="E459" t="s">
        <v>183</v>
      </c>
      <c r="F459" t="s">
        <v>126</v>
      </c>
      <c r="G459" t="s">
        <v>127</v>
      </c>
      <c r="H459">
        <v>29.315192938308432</v>
      </c>
      <c r="K459" s="4" t="s">
        <v>359</v>
      </c>
      <c r="L459" s="34">
        <v>41.219269638041844</v>
      </c>
    </row>
    <row r="460" spans="1:12" x14ac:dyDescent="0.3">
      <c r="A460" t="s">
        <v>410</v>
      </c>
      <c r="B460">
        <v>0</v>
      </c>
      <c r="C460">
        <v>2030</v>
      </c>
      <c r="D460" t="s">
        <v>167</v>
      </c>
      <c r="E460" t="s">
        <v>187</v>
      </c>
      <c r="F460" t="s">
        <v>126</v>
      </c>
      <c r="G460" t="s">
        <v>127</v>
      </c>
      <c r="H460">
        <v>23.639717256749282</v>
      </c>
      <c r="K460" s="4" t="s">
        <v>361</v>
      </c>
      <c r="L460" s="34">
        <v>42.478044689476143</v>
      </c>
    </row>
    <row r="461" spans="1:12" x14ac:dyDescent="0.3">
      <c r="A461" t="s">
        <v>410</v>
      </c>
      <c r="B461">
        <v>0</v>
      </c>
      <c r="C461">
        <v>2030</v>
      </c>
      <c r="D461" t="s">
        <v>167</v>
      </c>
      <c r="E461" t="s">
        <v>191</v>
      </c>
      <c r="F461" t="s">
        <v>126</v>
      </c>
      <c r="G461" t="s">
        <v>127</v>
      </c>
      <c r="H461">
        <v>22.469524329535552</v>
      </c>
      <c r="K461" s="4" t="s">
        <v>363</v>
      </c>
      <c r="L461" s="34">
        <v>41.179306173877443</v>
      </c>
    </row>
    <row r="462" spans="1:12" x14ac:dyDescent="0.3">
      <c r="A462" t="s">
        <v>410</v>
      </c>
      <c r="B462">
        <v>0</v>
      </c>
      <c r="C462">
        <v>2030</v>
      </c>
      <c r="D462" t="s">
        <v>167</v>
      </c>
      <c r="E462" t="s">
        <v>194</v>
      </c>
      <c r="F462" t="s">
        <v>126</v>
      </c>
      <c r="G462" t="s">
        <v>127</v>
      </c>
      <c r="H462">
        <v>26.683614687263319</v>
      </c>
      <c r="K462" s="4" t="s">
        <v>365</v>
      </c>
      <c r="L462" s="34">
        <v>40.240218050728132</v>
      </c>
    </row>
    <row r="463" spans="1:12" x14ac:dyDescent="0.3">
      <c r="A463" t="s">
        <v>410</v>
      </c>
      <c r="B463">
        <v>0</v>
      </c>
      <c r="C463">
        <v>2030</v>
      </c>
      <c r="D463" t="s">
        <v>197</v>
      </c>
      <c r="E463" t="s">
        <v>198</v>
      </c>
      <c r="F463" t="s">
        <v>126</v>
      </c>
      <c r="G463" t="s">
        <v>127</v>
      </c>
      <c r="H463">
        <v>29.675822551399616</v>
      </c>
      <c r="K463" s="4" t="s">
        <v>367</v>
      </c>
      <c r="L463" s="34">
        <v>38.579574103692167</v>
      </c>
    </row>
    <row r="464" spans="1:12" x14ac:dyDescent="0.3">
      <c r="A464" t="s">
        <v>410</v>
      </c>
      <c r="B464">
        <v>0</v>
      </c>
      <c r="C464">
        <v>2030</v>
      </c>
      <c r="D464" t="s">
        <v>197</v>
      </c>
      <c r="E464" t="s">
        <v>231</v>
      </c>
      <c r="F464" t="s">
        <v>126</v>
      </c>
      <c r="G464" t="s">
        <v>127</v>
      </c>
      <c r="H464">
        <v>29.408724670670352</v>
      </c>
      <c r="K464" s="4" t="s">
        <v>369</v>
      </c>
      <c r="L464" s="34">
        <v>37.27113580602834</v>
      </c>
    </row>
    <row r="465" spans="1:12" x14ac:dyDescent="0.3">
      <c r="A465" t="s">
        <v>410</v>
      </c>
      <c r="B465">
        <v>0</v>
      </c>
      <c r="C465">
        <v>2030</v>
      </c>
      <c r="D465" t="s">
        <v>250</v>
      </c>
      <c r="E465" t="s">
        <v>251</v>
      </c>
      <c r="F465" t="s">
        <v>126</v>
      </c>
      <c r="G465" t="s">
        <v>127</v>
      </c>
      <c r="H465">
        <v>26.555380410051399</v>
      </c>
      <c r="K465" s="4" t="s">
        <v>371</v>
      </c>
      <c r="L465" s="34">
        <v>34.73504176448678</v>
      </c>
    </row>
    <row r="466" spans="1:12" x14ac:dyDescent="0.3">
      <c r="A466" t="s">
        <v>410</v>
      </c>
      <c r="B466">
        <v>0</v>
      </c>
      <c r="C466">
        <v>2030</v>
      </c>
      <c r="D466" t="s">
        <v>255</v>
      </c>
      <c r="E466" t="s">
        <v>256</v>
      </c>
      <c r="F466" t="s">
        <v>126</v>
      </c>
      <c r="G466" t="s">
        <v>127</v>
      </c>
      <c r="H466">
        <v>30.424932249434157</v>
      </c>
      <c r="K466" s="4" t="s">
        <v>374</v>
      </c>
      <c r="L466" s="34">
        <v>46.408848446687394</v>
      </c>
    </row>
    <row r="467" spans="1:12" x14ac:dyDescent="0.3">
      <c r="A467" t="s">
        <v>410</v>
      </c>
      <c r="B467">
        <v>0</v>
      </c>
      <c r="C467">
        <v>2030</v>
      </c>
      <c r="D467" t="s">
        <v>255</v>
      </c>
      <c r="E467" t="s">
        <v>273</v>
      </c>
      <c r="F467" t="s">
        <v>126</v>
      </c>
      <c r="G467" t="s">
        <v>127</v>
      </c>
      <c r="H467">
        <v>30.567382808413289</v>
      </c>
      <c r="K467" s="4" t="s">
        <v>376</v>
      </c>
      <c r="L467" s="34">
        <v>42.292968529272649</v>
      </c>
    </row>
    <row r="468" spans="1:12" x14ac:dyDescent="0.3">
      <c r="A468" t="s">
        <v>410</v>
      </c>
      <c r="B468">
        <v>0</v>
      </c>
      <c r="C468">
        <v>2030</v>
      </c>
      <c r="D468" t="s">
        <v>255</v>
      </c>
      <c r="E468" t="s">
        <v>277</v>
      </c>
      <c r="F468" t="s">
        <v>126</v>
      </c>
      <c r="G468" t="s">
        <v>127</v>
      </c>
      <c r="H468">
        <v>30.080539604681164</v>
      </c>
      <c r="K468" s="4" t="s">
        <v>378</v>
      </c>
      <c r="L468" s="34">
        <v>35.069703851423633</v>
      </c>
    </row>
    <row r="469" spans="1:12" x14ac:dyDescent="0.3">
      <c r="A469" t="s">
        <v>410</v>
      </c>
      <c r="B469">
        <v>0</v>
      </c>
      <c r="C469">
        <v>2030</v>
      </c>
      <c r="D469" t="s">
        <v>255</v>
      </c>
      <c r="E469" t="s">
        <v>289</v>
      </c>
      <c r="F469" t="s">
        <v>126</v>
      </c>
      <c r="G469" t="s">
        <v>127</v>
      </c>
      <c r="H469">
        <v>30.794219549946725</v>
      </c>
      <c r="K469" s="4" t="s">
        <v>380</v>
      </c>
      <c r="L469" s="34">
        <v>41.737112357069428</v>
      </c>
    </row>
    <row r="470" spans="1:12" x14ac:dyDescent="0.3">
      <c r="A470" t="s">
        <v>410</v>
      </c>
      <c r="B470">
        <v>0</v>
      </c>
      <c r="C470">
        <v>2030</v>
      </c>
      <c r="D470" t="s">
        <v>305</v>
      </c>
      <c r="E470" t="s">
        <v>306</v>
      </c>
      <c r="F470" t="s">
        <v>126</v>
      </c>
      <c r="G470" t="s">
        <v>127</v>
      </c>
      <c r="H470">
        <v>31.229513153876592</v>
      </c>
      <c r="K470" s="4" t="s">
        <v>382</v>
      </c>
      <c r="L470" s="34">
        <v>38.622682722844949</v>
      </c>
    </row>
    <row r="471" spans="1:12" x14ac:dyDescent="0.3">
      <c r="A471" t="s">
        <v>410</v>
      </c>
      <c r="B471">
        <v>0</v>
      </c>
      <c r="C471">
        <v>2030</v>
      </c>
      <c r="D471" t="s">
        <v>309</v>
      </c>
      <c r="E471" t="s">
        <v>310</v>
      </c>
      <c r="F471" t="s">
        <v>126</v>
      </c>
      <c r="G471" t="s">
        <v>127</v>
      </c>
      <c r="H471">
        <v>22.791733361051982</v>
      </c>
      <c r="K471" s="4" t="s">
        <v>384</v>
      </c>
      <c r="L471" s="34">
        <v>41.725266578670031</v>
      </c>
    </row>
    <row r="472" spans="1:12" x14ac:dyDescent="0.3">
      <c r="A472" t="s">
        <v>410</v>
      </c>
      <c r="B472">
        <v>0</v>
      </c>
      <c r="C472">
        <v>2030</v>
      </c>
      <c r="D472" t="s">
        <v>309</v>
      </c>
      <c r="E472" t="s">
        <v>311</v>
      </c>
      <c r="F472" t="s">
        <v>126</v>
      </c>
      <c r="G472" t="s">
        <v>127</v>
      </c>
      <c r="H472">
        <v>23.242125257043305</v>
      </c>
      <c r="K472" s="4" t="s">
        <v>386</v>
      </c>
      <c r="L472" s="34">
        <v>43.744941688235222</v>
      </c>
    </row>
    <row r="473" spans="1:12" x14ac:dyDescent="0.3">
      <c r="A473" t="s">
        <v>410</v>
      </c>
      <c r="B473">
        <v>0</v>
      </c>
      <c r="C473">
        <v>2030</v>
      </c>
      <c r="D473" t="s">
        <v>309</v>
      </c>
      <c r="E473" t="s">
        <v>312</v>
      </c>
      <c r="F473" t="s">
        <v>126</v>
      </c>
      <c r="G473" t="s">
        <v>127</v>
      </c>
      <c r="H473">
        <v>27.157133758335718</v>
      </c>
      <c r="K473" s="4" t="s">
        <v>388</v>
      </c>
      <c r="L473" s="34">
        <v>52.973659500607063</v>
      </c>
    </row>
    <row r="474" spans="1:12" x14ac:dyDescent="0.3">
      <c r="A474" t="s">
        <v>410</v>
      </c>
      <c r="B474">
        <v>0</v>
      </c>
      <c r="C474">
        <v>2030</v>
      </c>
      <c r="D474" t="s">
        <v>309</v>
      </c>
      <c r="E474" t="s">
        <v>313</v>
      </c>
      <c r="F474" t="s">
        <v>126</v>
      </c>
      <c r="G474" t="s">
        <v>127</v>
      </c>
      <c r="H474">
        <v>27.615175428162598</v>
      </c>
      <c r="K474" s="4" t="s">
        <v>390</v>
      </c>
      <c r="L474" s="34">
        <v>70.951256454664247</v>
      </c>
    </row>
    <row r="475" spans="1:12" x14ac:dyDescent="0.3">
      <c r="A475" t="s">
        <v>410</v>
      </c>
      <c r="B475">
        <v>0</v>
      </c>
      <c r="C475">
        <v>2030</v>
      </c>
      <c r="D475" t="s">
        <v>314</v>
      </c>
      <c r="E475" t="s">
        <v>315</v>
      </c>
      <c r="F475" t="s">
        <v>126</v>
      </c>
      <c r="G475" t="s">
        <v>127</v>
      </c>
      <c r="H475">
        <v>28.860109872517025</v>
      </c>
      <c r="K475" s="3">
        <v>2030</v>
      </c>
      <c r="L475" s="34">
        <v>28.094142331173355</v>
      </c>
    </row>
    <row r="476" spans="1:12" x14ac:dyDescent="0.3">
      <c r="A476" t="s">
        <v>410</v>
      </c>
      <c r="B476">
        <v>0</v>
      </c>
      <c r="C476">
        <v>2030</v>
      </c>
      <c r="D476" t="s">
        <v>328</v>
      </c>
      <c r="E476" t="s">
        <v>329</v>
      </c>
      <c r="F476" t="s">
        <v>126</v>
      </c>
      <c r="G476" t="s">
        <v>127</v>
      </c>
      <c r="H476">
        <v>28.882433935120474</v>
      </c>
      <c r="K476" s="4" t="s">
        <v>56</v>
      </c>
      <c r="L476" s="34">
        <v>27.092814856766207</v>
      </c>
    </row>
    <row r="477" spans="1:12" x14ac:dyDescent="0.3">
      <c r="A477" t="s">
        <v>410</v>
      </c>
      <c r="B477">
        <v>0</v>
      </c>
      <c r="C477">
        <v>2030</v>
      </c>
      <c r="D477" t="s">
        <v>330</v>
      </c>
      <c r="E477" t="s">
        <v>331</v>
      </c>
      <c r="F477" t="s">
        <v>126</v>
      </c>
      <c r="G477" t="s">
        <v>127</v>
      </c>
      <c r="H477">
        <v>26.286350979837582</v>
      </c>
      <c r="K477" s="4" t="s">
        <v>198</v>
      </c>
      <c r="L477" s="34">
        <v>29.675822551399616</v>
      </c>
    </row>
    <row r="478" spans="1:12" x14ac:dyDescent="0.3">
      <c r="A478" t="s">
        <v>410</v>
      </c>
      <c r="B478">
        <v>0</v>
      </c>
      <c r="C478">
        <v>2030</v>
      </c>
      <c r="D478" t="s">
        <v>332</v>
      </c>
      <c r="E478" t="s">
        <v>333</v>
      </c>
      <c r="F478" t="s">
        <v>126</v>
      </c>
      <c r="G478" t="s">
        <v>127</v>
      </c>
      <c r="H478">
        <v>24.489351097556249</v>
      </c>
      <c r="K478" s="4" t="s">
        <v>231</v>
      </c>
      <c r="L478" s="34">
        <v>29.408724670670352</v>
      </c>
    </row>
    <row r="479" spans="1:12" x14ac:dyDescent="0.3">
      <c r="A479" t="s">
        <v>410</v>
      </c>
      <c r="B479">
        <v>0</v>
      </c>
      <c r="C479">
        <v>2030</v>
      </c>
      <c r="D479" t="s">
        <v>336</v>
      </c>
      <c r="E479" t="s">
        <v>337</v>
      </c>
      <c r="F479" t="s">
        <v>126</v>
      </c>
      <c r="G479" t="s">
        <v>127</v>
      </c>
      <c r="H479">
        <v>27.122712047639084</v>
      </c>
      <c r="K479" s="4" t="s">
        <v>168</v>
      </c>
      <c r="L479" s="34">
        <v>27.048037609719859</v>
      </c>
    </row>
    <row r="480" spans="1:12" x14ac:dyDescent="0.3">
      <c r="A480" t="s">
        <v>410</v>
      </c>
      <c r="B480">
        <v>0</v>
      </c>
      <c r="C480">
        <v>2030</v>
      </c>
      <c r="D480" t="s">
        <v>338</v>
      </c>
      <c r="E480" t="s">
        <v>339</v>
      </c>
      <c r="F480" t="s">
        <v>126</v>
      </c>
      <c r="G480" t="s">
        <v>127</v>
      </c>
      <c r="H480">
        <v>30.88226713078188</v>
      </c>
      <c r="K480" s="4" t="s">
        <v>183</v>
      </c>
      <c r="L480" s="34">
        <v>29.315192938308432</v>
      </c>
    </row>
    <row r="481" spans="1:12" x14ac:dyDescent="0.3">
      <c r="A481" t="s">
        <v>410</v>
      </c>
      <c r="B481">
        <v>0</v>
      </c>
      <c r="C481">
        <v>2030</v>
      </c>
      <c r="D481" t="s">
        <v>340</v>
      </c>
      <c r="E481" t="s">
        <v>341</v>
      </c>
      <c r="F481" t="s">
        <v>126</v>
      </c>
      <c r="G481" t="s">
        <v>127</v>
      </c>
      <c r="H481">
        <v>26.777182741853977</v>
      </c>
      <c r="K481" s="4" t="s">
        <v>187</v>
      </c>
      <c r="L481" s="34">
        <v>23.639717256749282</v>
      </c>
    </row>
    <row r="482" spans="1:12" x14ac:dyDescent="0.3">
      <c r="A482" t="s">
        <v>410</v>
      </c>
      <c r="B482">
        <v>0</v>
      </c>
      <c r="C482">
        <v>2030</v>
      </c>
      <c r="D482" t="s">
        <v>346</v>
      </c>
      <c r="E482" t="s">
        <v>347</v>
      </c>
      <c r="F482" t="s">
        <v>126</v>
      </c>
      <c r="G482" t="s">
        <v>127</v>
      </c>
      <c r="H482">
        <v>26.935304383935598</v>
      </c>
      <c r="K482" s="4" t="s">
        <v>191</v>
      </c>
      <c r="L482" s="34">
        <v>22.469524329535552</v>
      </c>
    </row>
    <row r="483" spans="1:12" x14ac:dyDescent="0.3">
      <c r="A483" t="s">
        <v>410</v>
      </c>
      <c r="B483">
        <v>0</v>
      </c>
      <c r="C483">
        <v>2030</v>
      </c>
      <c r="D483" t="s">
        <v>348</v>
      </c>
      <c r="E483" t="s">
        <v>349</v>
      </c>
      <c r="F483" t="s">
        <v>126</v>
      </c>
      <c r="G483" t="s">
        <v>127</v>
      </c>
      <c r="H483">
        <v>28.858394179529736</v>
      </c>
      <c r="K483" s="4" t="s">
        <v>194</v>
      </c>
      <c r="L483" s="34">
        <v>26.683614687263319</v>
      </c>
    </row>
    <row r="484" spans="1:12" x14ac:dyDescent="0.3">
      <c r="A484" t="s">
        <v>410</v>
      </c>
      <c r="B484">
        <v>0</v>
      </c>
      <c r="C484">
        <v>2030</v>
      </c>
      <c r="D484" t="s">
        <v>350</v>
      </c>
      <c r="E484" t="s">
        <v>351</v>
      </c>
      <c r="F484" t="s">
        <v>126</v>
      </c>
      <c r="G484" t="s">
        <v>127</v>
      </c>
      <c r="H484">
        <v>28.489086393204452</v>
      </c>
      <c r="K484" s="4" t="s">
        <v>251</v>
      </c>
      <c r="L484" s="34">
        <v>26.555380410051399</v>
      </c>
    </row>
    <row r="485" spans="1:12" x14ac:dyDescent="0.3">
      <c r="A485" t="s">
        <v>410</v>
      </c>
      <c r="B485">
        <v>0</v>
      </c>
      <c r="C485">
        <v>2030</v>
      </c>
      <c r="D485" t="s">
        <v>352</v>
      </c>
      <c r="E485" t="s">
        <v>353</v>
      </c>
      <c r="F485" t="s">
        <v>126</v>
      </c>
      <c r="G485" t="s">
        <v>127</v>
      </c>
      <c r="H485">
        <v>28.535163762558394</v>
      </c>
      <c r="K485" s="4" t="s">
        <v>256</v>
      </c>
      <c r="L485" s="34">
        <v>30.424932249434157</v>
      </c>
    </row>
    <row r="486" spans="1:12" x14ac:dyDescent="0.3">
      <c r="A486" t="s">
        <v>410</v>
      </c>
      <c r="B486">
        <v>0</v>
      </c>
      <c r="C486">
        <v>2030</v>
      </c>
      <c r="D486" t="s">
        <v>354</v>
      </c>
      <c r="E486" t="s">
        <v>355</v>
      </c>
      <c r="F486" t="s">
        <v>126</v>
      </c>
      <c r="G486" t="s">
        <v>127</v>
      </c>
      <c r="H486">
        <v>29.39715882401298</v>
      </c>
      <c r="K486" s="4" t="s">
        <v>273</v>
      </c>
      <c r="L486" s="34">
        <v>30.567382808413289</v>
      </c>
    </row>
    <row r="487" spans="1:12" x14ac:dyDescent="0.3">
      <c r="A487" t="s">
        <v>410</v>
      </c>
      <c r="B487">
        <v>0</v>
      </c>
      <c r="C487">
        <v>2030</v>
      </c>
      <c r="D487" t="s">
        <v>356</v>
      </c>
      <c r="E487" t="s">
        <v>357</v>
      </c>
      <c r="F487" t="s">
        <v>126</v>
      </c>
      <c r="G487" t="s">
        <v>127</v>
      </c>
      <c r="H487">
        <v>30.244821623682178</v>
      </c>
      <c r="K487" s="4" t="s">
        <v>277</v>
      </c>
      <c r="L487" s="34">
        <v>30.080539604681164</v>
      </c>
    </row>
    <row r="488" spans="1:12" x14ac:dyDescent="0.3">
      <c r="A488" t="s">
        <v>410</v>
      </c>
      <c r="B488">
        <v>0</v>
      </c>
      <c r="C488">
        <v>2030</v>
      </c>
      <c r="D488" t="s">
        <v>358</v>
      </c>
      <c r="E488" t="s">
        <v>359</v>
      </c>
      <c r="F488" t="s">
        <v>126</v>
      </c>
      <c r="G488" t="s">
        <v>127</v>
      </c>
      <c r="H488">
        <v>28.34380348905238</v>
      </c>
      <c r="K488" s="4" t="s">
        <v>289</v>
      </c>
      <c r="L488" s="34">
        <v>30.794219549946725</v>
      </c>
    </row>
    <row r="489" spans="1:12" x14ac:dyDescent="0.3">
      <c r="A489" t="s">
        <v>410</v>
      </c>
      <c r="B489">
        <v>0</v>
      </c>
      <c r="C489">
        <v>2030</v>
      </c>
      <c r="D489" t="s">
        <v>360</v>
      </c>
      <c r="E489" t="s">
        <v>361</v>
      </c>
      <c r="F489" t="s">
        <v>126</v>
      </c>
      <c r="G489" t="s">
        <v>127</v>
      </c>
      <c r="H489">
        <v>28.83722099987223</v>
      </c>
      <c r="K489" s="4" t="s">
        <v>306</v>
      </c>
      <c r="L489" s="34">
        <v>31.229513153876592</v>
      </c>
    </row>
    <row r="490" spans="1:12" x14ac:dyDescent="0.3">
      <c r="A490" t="s">
        <v>410</v>
      </c>
      <c r="B490">
        <v>0</v>
      </c>
      <c r="C490">
        <v>2030</v>
      </c>
      <c r="D490" t="s">
        <v>362</v>
      </c>
      <c r="E490" t="s">
        <v>363</v>
      </c>
      <c r="F490" t="s">
        <v>126</v>
      </c>
      <c r="G490" t="s">
        <v>127</v>
      </c>
      <c r="H490">
        <v>28.861916645948398</v>
      </c>
      <c r="K490" s="4" t="s">
        <v>310</v>
      </c>
      <c r="L490" s="34">
        <v>22.791733361051982</v>
      </c>
    </row>
    <row r="491" spans="1:12" x14ac:dyDescent="0.3">
      <c r="A491" t="s">
        <v>410</v>
      </c>
      <c r="B491">
        <v>0</v>
      </c>
      <c r="C491">
        <v>2030</v>
      </c>
      <c r="D491" t="s">
        <v>364</v>
      </c>
      <c r="E491" t="s">
        <v>365</v>
      </c>
      <c r="F491" t="s">
        <v>126</v>
      </c>
      <c r="G491" t="s">
        <v>127</v>
      </c>
      <c r="H491">
        <v>28.05648706520568</v>
      </c>
      <c r="K491" s="4" t="s">
        <v>311</v>
      </c>
      <c r="L491" s="34">
        <v>23.242125257043305</v>
      </c>
    </row>
    <row r="492" spans="1:12" x14ac:dyDescent="0.3">
      <c r="A492" t="s">
        <v>410</v>
      </c>
      <c r="B492">
        <v>0</v>
      </c>
      <c r="C492">
        <v>2030</v>
      </c>
      <c r="D492" t="s">
        <v>366</v>
      </c>
      <c r="E492" t="s">
        <v>367</v>
      </c>
      <c r="F492" t="s">
        <v>126</v>
      </c>
      <c r="G492" t="s">
        <v>127</v>
      </c>
      <c r="H492">
        <v>28.075618848884112</v>
      </c>
      <c r="K492" s="4" t="s">
        <v>312</v>
      </c>
      <c r="L492" s="34">
        <v>27.157133758335718</v>
      </c>
    </row>
    <row r="493" spans="1:12" x14ac:dyDescent="0.3">
      <c r="A493" t="s">
        <v>410</v>
      </c>
      <c r="B493">
        <v>0</v>
      </c>
      <c r="C493">
        <v>2030</v>
      </c>
      <c r="D493" t="s">
        <v>368</v>
      </c>
      <c r="E493" t="s">
        <v>369</v>
      </c>
      <c r="F493" t="s">
        <v>126</v>
      </c>
      <c r="G493" t="s">
        <v>127</v>
      </c>
      <c r="H493">
        <v>28.000379216791192</v>
      </c>
      <c r="K493" s="4" t="s">
        <v>313</v>
      </c>
      <c r="L493" s="34">
        <v>27.615175428162598</v>
      </c>
    </row>
    <row r="494" spans="1:12" x14ac:dyDescent="0.3">
      <c r="A494" t="s">
        <v>410</v>
      </c>
      <c r="B494">
        <v>0</v>
      </c>
      <c r="C494">
        <v>2030</v>
      </c>
      <c r="D494" t="s">
        <v>370</v>
      </c>
      <c r="E494" t="s">
        <v>371</v>
      </c>
      <c r="F494" t="s">
        <v>126</v>
      </c>
      <c r="G494" t="s">
        <v>127</v>
      </c>
      <c r="H494">
        <v>27.541474486208628</v>
      </c>
      <c r="K494" s="4" t="s">
        <v>315</v>
      </c>
      <c r="L494" s="34">
        <v>28.860109872517025</v>
      </c>
    </row>
    <row r="495" spans="1:12" x14ac:dyDescent="0.3">
      <c r="A495" t="s">
        <v>410</v>
      </c>
      <c r="B495">
        <v>0</v>
      </c>
      <c r="C495">
        <v>2030</v>
      </c>
      <c r="D495" t="s">
        <v>373</v>
      </c>
      <c r="E495" t="s">
        <v>374</v>
      </c>
      <c r="F495" t="s">
        <v>126</v>
      </c>
      <c r="G495" t="s">
        <v>127</v>
      </c>
      <c r="H495">
        <v>24.810430402242304</v>
      </c>
      <c r="K495" s="4" t="s">
        <v>329</v>
      </c>
      <c r="L495" s="34">
        <v>28.882433935120474</v>
      </c>
    </row>
    <row r="496" spans="1:12" x14ac:dyDescent="0.3">
      <c r="A496" t="s">
        <v>410</v>
      </c>
      <c r="B496">
        <v>0</v>
      </c>
      <c r="C496">
        <v>2030</v>
      </c>
      <c r="D496" t="s">
        <v>375</v>
      </c>
      <c r="E496" t="s">
        <v>376</v>
      </c>
      <c r="F496" t="s">
        <v>126</v>
      </c>
      <c r="G496" t="s">
        <v>127</v>
      </c>
      <c r="H496">
        <v>30.400053417566337</v>
      </c>
      <c r="K496" s="4" t="s">
        <v>331</v>
      </c>
      <c r="L496" s="34">
        <v>26.286350979837582</v>
      </c>
    </row>
    <row r="497" spans="1:12" x14ac:dyDescent="0.3">
      <c r="A497" t="s">
        <v>410</v>
      </c>
      <c r="B497">
        <v>0</v>
      </c>
      <c r="C497">
        <v>2030</v>
      </c>
      <c r="D497" t="s">
        <v>377</v>
      </c>
      <c r="E497" t="s">
        <v>378</v>
      </c>
      <c r="F497" t="s">
        <v>126</v>
      </c>
      <c r="G497" t="s">
        <v>127</v>
      </c>
      <c r="H497">
        <v>27.017664644021728</v>
      </c>
      <c r="K497" s="4" t="s">
        <v>333</v>
      </c>
      <c r="L497" s="34">
        <v>24.489351097556249</v>
      </c>
    </row>
    <row r="498" spans="1:12" x14ac:dyDescent="0.3">
      <c r="A498" t="s">
        <v>410</v>
      </c>
      <c r="B498">
        <v>0</v>
      </c>
      <c r="C498">
        <v>2030</v>
      </c>
      <c r="D498" t="s">
        <v>379</v>
      </c>
      <c r="E498" t="s">
        <v>380</v>
      </c>
      <c r="F498" t="s">
        <v>126</v>
      </c>
      <c r="G498" t="s">
        <v>127</v>
      </c>
      <c r="H498">
        <v>28.264131809926859</v>
      </c>
      <c r="K498" s="4" t="s">
        <v>337</v>
      </c>
      <c r="L498" s="34">
        <v>27.122712047639084</v>
      </c>
    </row>
    <row r="499" spans="1:12" x14ac:dyDescent="0.3">
      <c r="A499" t="s">
        <v>410</v>
      </c>
      <c r="B499">
        <v>0</v>
      </c>
      <c r="C499">
        <v>2030</v>
      </c>
      <c r="D499" t="s">
        <v>381</v>
      </c>
      <c r="E499" t="s">
        <v>382</v>
      </c>
      <c r="F499" t="s">
        <v>126</v>
      </c>
      <c r="G499" t="s">
        <v>127</v>
      </c>
      <c r="H499">
        <v>28.273354913914527</v>
      </c>
      <c r="K499" s="4" t="s">
        <v>339</v>
      </c>
      <c r="L499" s="34">
        <v>30.88226713078188</v>
      </c>
    </row>
    <row r="500" spans="1:12" x14ac:dyDescent="0.3">
      <c r="A500" t="s">
        <v>410</v>
      </c>
      <c r="B500">
        <v>0</v>
      </c>
      <c r="C500">
        <v>2030</v>
      </c>
      <c r="D500" t="s">
        <v>383</v>
      </c>
      <c r="E500" t="s">
        <v>384</v>
      </c>
      <c r="F500" t="s">
        <v>126</v>
      </c>
      <c r="G500" t="s">
        <v>127</v>
      </c>
      <c r="H500">
        <v>29.196229473341713</v>
      </c>
      <c r="K500" s="4" t="s">
        <v>341</v>
      </c>
      <c r="L500" s="34">
        <v>26.777182741853977</v>
      </c>
    </row>
    <row r="501" spans="1:12" x14ac:dyDescent="0.3">
      <c r="A501" t="s">
        <v>410</v>
      </c>
      <c r="B501">
        <v>0</v>
      </c>
      <c r="C501">
        <v>2030</v>
      </c>
      <c r="D501" t="s">
        <v>385</v>
      </c>
      <c r="E501" t="s">
        <v>386</v>
      </c>
      <c r="F501" t="s">
        <v>126</v>
      </c>
      <c r="G501" t="s">
        <v>127</v>
      </c>
      <c r="H501">
        <v>29.221361030694833</v>
      </c>
      <c r="K501" s="4" t="s">
        <v>347</v>
      </c>
      <c r="L501" s="34">
        <v>26.935304383935598</v>
      </c>
    </row>
    <row r="502" spans="1:12" x14ac:dyDescent="0.3">
      <c r="A502" t="s">
        <v>410</v>
      </c>
      <c r="B502">
        <v>0</v>
      </c>
      <c r="C502">
        <v>2030</v>
      </c>
      <c r="D502" t="s">
        <v>55</v>
      </c>
      <c r="E502" t="s">
        <v>56</v>
      </c>
      <c r="F502" t="s">
        <v>126</v>
      </c>
      <c r="G502" t="s">
        <v>127</v>
      </c>
      <c r="H502">
        <v>27.092814856766207</v>
      </c>
      <c r="K502" s="4" t="s">
        <v>349</v>
      </c>
      <c r="L502" s="34">
        <v>28.858394179529736</v>
      </c>
    </row>
    <row r="503" spans="1:12" x14ac:dyDescent="0.3">
      <c r="A503" t="s">
        <v>410</v>
      </c>
      <c r="B503">
        <v>0</v>
      </c>
      <c r="C503">
        <v>2030</v>
      </c>
      <c r="D503" t="s">
        <v>387</v>
      </c>
      <c r="E503" t="s">
        <v>388</v>
      </c>
      <c r="F503" t="s">
        <v>126</v>
      </c>
      <c r="G503" t="s">
        <v>127</v>
      </c>
      <c r="H503">
        <v>35.296760570921663</v>
      </c>
      <c r="K503" s="4" t="s">
        <v>351</v>
      </c>
      <c r="L503" s="34">
        <v>28.489086393204452</v>
      </c>
    </row>
    <row r="504" spans="1:12" x14ac:dyDescent="0.3">
      <c r="A504" t="s">
        <v>410</v>
      </c>
      <c r="B504">
        <v>0</v>
      </c>
      <c r="C504">
        <v>2030</v>
      </c>
      <c r="D504" t="s">
        <v>389</v>
      </c>
      <c r="E504" t="s">
        <v>390</v>
      </c>
      <c r="F504" t="s">
        <v>126</v>
      </c>
      <c r="G504" t="s">
        <v>127</v>
      </c>
      <c r="H504">
        <v>28.675881096916036</v>
      </c>
      <c r="K504" s="4" t="s">
        <v>353</v>
      </c>
      <c r="L504" s="34">
        <v>28.535163762558394</v>
      </c>
    </row>
    <row r="505" spans="1:12" x14ac:dyDescent="0.3">
      <c r="A505" t="s">
        <v>410</v>
      </c>
      <c r="B505">
        <v>0</v>
      </c>
      <c r="C505">
        <v>2040</v>
      </c>
      <c r="D505" t="s">
        <v>167</v>
      </c>
      <c r="E505" t="s">
        <v>168</v>
      </c>
      <c r="F505" t="s">
        <v>126</v>
      </c>
      <c r="G505" t="s">
        <v>127</v>
      </c>
      <c r="H505">
        <v>26.851025076947721</v>
      </c>
      <c r="K505" s="4" t="s">
        <v>355</v>
      </c>
      <c r="L505" s="34">
        <v>29.39715882401298</v>
      </c>
    </row>
    <row r="506" spans="1:12" x14ac:dyDescent="0.3">
      <c r="A506" t="s">
        <v>410</v>
      </c>
      <c r="B506">
        <v>0</v>
      </c>
      <c r="C506">
        <v>2040</v>
      </c>
      <c r="D506" t="s">
        <v>167</v>
      </c>
      <c r="E506" t="s">
        <v>183</v>
      </c>
      <c r="F506" t="s">
        <v>126</v>
      </c>
      <c r="G506" t="s">
        <v>127</v>
      </c>
      <c r="H506">
        <v>29.266423457474929</v>
      </c>
      <c r="K506" s="4" t="s">
        <v>357</v>
      </c>
      <c r="L506" s="34">
        <v>30.244821623682178</v>
      </c>
    </row>
    <row r="507" spans="1:12" x14ac:dyDescent="0.3">
      <c r="A507" t="s">
        <v>410</v>
      </c>
      <c r="B507">
        <v>0</v>
      </c>
      <c r="C507">
        <v>2040</v>
      </c>
      <c r="D507" t="s">
        <v>167</v>
      </c>
      <c r="E507" t="s">
        <v>187</v>
      </c>
      <c r="F507" t="s">
        <v>126</v>
      </c>
      <c r="G507" t="s">
        <v>127</v>
      </c>
      <c r="H507">
        <v>23.889661311617161</v>
      </c>
      <c r="K507" s="4" t="s">
        <v>359</v>
      </c>
      <c r="L507" s="34">
        <v>28.34380348905238</v>
      </c>
    </row>
    <row r="508" spans="1:12" x14ac:dyDescent="0.3">
      <c r="A508" t="s">
        <v>410</v>
      </c>
      <c r="B508">
        <v>0</v>
      </c>
      <c r="C508">
        <v>2040</v>
      </c>
      <c r="D508" t="s">
        <v>167</v>
      </c>
      <c r="E508" t="s">
        <v>191</v>
      </c>
      <c r="F508" t="s">
        <v>126</v>
      </c>
      <c r="G508" t="s">
        <v>127</v>
      </c>
      <c r="H508">
        <v>22.48292538450016</v>
      </c>
      <c r="K508" s="4" t="s">
        <v>361</v>
      </c>
      <c r="L508" s="34">
        <v>28.83722099987223</v>
      </c>
    </row>
    <row r="509" spans="1:12" x14ac:dyDescent="0.3">
      <c r="A509" t="s">
        <v>410</v>
      </c>
      <c r="B509">
        <v>0</v>
      </c>
      <c r="C509">
        <v>2040</v>
      </c>
      <c r="D509" t="s">
        <v>167</v>
      </c>
      <c r="E509" t="s">
        <v>194</v>
      </c>
      <c r="F509" t="s">
        <v>126</v>
      </c>
      <c r="G509" t="s">
        <v>127</v>
      </c>
      <c r="H509">
        <v>26.612404050990097</v>
      </c>
      <c r="K509" s="4" t="s">
        <v>363</v>
      </c>
      <c r="L509" s="34">
        <v>28.861916645948398</v>
      </c>
    </row>
    <row r="510" spans="1:12" x14ac:dyDescent="0.3">
      <c r="A510" t="s">
        <v>410</v>
      </c>
      <c r="B510">
        <v>0</v>
      </c>
      <c r="C510">
        <v>2040</v>
      </c>
      <c r="D510" t="s">
        <v>197</v>
      </c>
      <c r="E510" t="s">
        <v>198</v>
      </c>
      <c r="F510" t="s">
        <v>126</v>
      </c>
      <c r="G510" t="s">
        <v>127</v>
      </c>
      <c r="H510">
        <v>28.949082368118422</v>
      </c>
      <c r="K510" s="4" t="s">
        <v>365</v>
      </c>
      <c r="L510" s="34">
        <v>28.05648706520568</v>
      </c>
    </row>
    <row r="511" spans="1:12" x14ac:dyDescent="0.3">
      <c r="A511" t="s">
        <v>410</v>
      </c>
      <c r="B511">
        <v>0</v>
      </c>
      <c r="C511">
        <v>2040</v>
      </c>
      <c r="D511" t="s">
        <v>197</v>
      </c>
      <c r="E511" t="s">
        <v>231</v>
      </c>
      <c r="F511" t="s">
        <v>126</v>
      </c>
      <c r="G511" t="s">
        <v>127</v>
      </c>
      <c r="H511">
        <v>28.508013411469296</v>
      </c>
      <c r="K511" s="4" t="s">
        <v>367</v>
      </c>
      <c r="L511" s="34">
        <v>28.075618848884112</v>
      </c>
    </row>
    <row r="512" spans="1:12" x14ac:dyDescent="0.3">
      <c r="A512" t="s">
        <v>410</v>
      </c>
      <c r="B512">
        <v>0</v>
      </c>
      <c r="C512">
        <v>2040</v>
      </c>
      <c r="D512" t="s">
        <v>250</v>
      </c>
      <c r="E512" t="s">
        <v>251</v>
      </c>
      <c r="F512" t="s">
        <v>126</v>
      </c>
      <c r="G512" t="s">
        <v>127</v>
      </c>
      <c r="H512">
        <v>24.518740948649459</v>
      </c>
      <c r="K512" s="4" t="s">
        <v>369</v>
      </c>
      <c r="L512" s="34">
        <v>28.000379216791192</v>
      </c>
    </row>
    <row r="513" spans="1:12" x14ac:dyDescent="0.3">
      <c r="A513" t="s">
        <v>410</v>
      </c>
      <c r="B513">
        <v>0</v>
      </c>
      <c r="C513">
        <v>2040</v>
      </c>
      <c r="D513" t="s">
        <v>255</v>
      </c>
      <c r="E513" t="s">
        <v>256</v>
      </c>
      <c r="F513" t="s">
        <v>126</v>
      </c>
      <c r="G513" t="s">
        <v>127</v>
      </c>
      <c r="H513">
        <v>28.479729909670681</v>
      </c>
      <c r="K513" s="4" t="s">
        <v>371</v>
      </c>
      <c r="L513" s="34">
        <v>27.541474486208628</v>
      </c>
    </row>
    <row r="514" spans="1:12" x14ac:dyDescent="0.3">
      <c r="A514" t="s">
        <v>410</v>
      </c>
      <c r="B514">
        <v>0</v>
      </c>
      <c r="C514">
        <v>2040</v>
      </c>
      <c r="D514" t="s">
        <v>255</v>
      </c>
      <c r="E514" t="s">
        <v>273</v>
      </c>
      <c r="F514" t="s">
        <v>126</v>
      </c>
      <c r="G514" t="s">
        <v>127</v>
      </c>
      <c r="H514">
        <v>29.268624649708102</v>
      </c>
      <c r="K514" s="4" t="s">
        <v>374</v>
      </c>
      <c r="L514" s="34">
        <v>24.810430402242304</v>
      </c>
    </row>
    <row r="515" spans="1:12" x14ac:dyDescent="0.3">
      <c r="A515" t="s">
        <v>410</v>
      </c>
      <c r="B515">
        <v>0</v>
      </c>
      <c r="C515">
        <v>2040</v>
      </c>
      <c r="D515" t="s">
        <v>255</v>
      </c>
      <c r="E515" t="s">
        <v>277</v>
      </c>
      <c r="F515" t="s">
        <v>126</v>
      </c>
      <c r="G515" t="s">
        <v>127</v>
      </c>
      <c r="H515">
        <v>28.778881888544383</v>
      </c>
      <c r="K515" s="4" t="s">
        <v>376</v>
      </c>
      <c r="L515" s="34">
        <v>30.400053417566337</v>
      </c>
    </row>
    <row r="516" spans="1:12" x14ac:dyDescent="0.3">
      <c r="A516" t="s">
        <v>410</v>
      </c>
      <c r="B516">
        <v>0</v>
      </c>
      <c r="C516">
        <v>2040</v>
      </c>
      <c r="D516" t="s">
        <v>255</v>
      </c>
      <c r="E516" t="s">
        <v>289</v>
      </c>
      <c r="F516" t="s">
        <v>126</v>
      </c>
      <c r="G516" t="s">
        <v>127</v>
      </c>
      <c r="H516">
        <v>29.549927360891633</v>
      </c>
      <c r="K516" s="4" t="s">
        <v>378</v>
      </c>
      <c r="L516" s="34">
        <v>27.017664644021728</v>
      </c>
    </row>
    <row r="517" spans="1:12" x14ac:dyDescent="0.3">
      <c r="A517" t="s">
        <v>410</v>
      </c>
      <c r="B517">
        <v>0</v>
      </c>
      <c r="C517">
        <v>2040</v>
      </c>
      <c r="D517" t="s">
        <v>305</v>
      </c>
      <c r="E517" t="s">
        <v>306</v>
      </c>
      <c r="F517" t="s">
        <v>126</v>
      </c>
      <c r="G517" t="s">
        <v>127</v>
      </c>
      <c r="H517">
        <v>30.649857512761145</v>
      </c>
      <c r="K517" s="4" t="s">
        <v>380</v>
      </c>
      <c r="L517" s="34">
        <v>28.264131809926859</v>
      </c>
    </row>
    <row r="518" spans="1:12" x14ac:dyDescent="0.3">
      <c r="A518" t="s">
        <v>410</v>
      </c>
      <c r="B518">
        <v>0</v>
      </c>
      <c r="C518">
        <v>2040</v>
      </c>
      <c r="D518" t="s">
        <v>309</v>
      </c>
      <c r="E518" t="s">
        <v>310</v>
      </c>
      <c r="F518" t="s">
        <v>126</v>
      </c>
      <c r="G518" t="s">
        <v>127</v>
      </c>
      <c r="H518">
        <v>22.76176656829729</v>
      </c>
      <c r="K518" s="4" t="s">
        <v>382</v>
      </c>
      <c r="L518" s="34">
        <v>28.273354913914527</v>
      </c>
    </row>
    <row r="519" spans="1:12" x14ac:dyDescent="0.3">
      <c r="A519" t="s">
        <v>410</v>
      </c>
      <c r="B519">
        <v>0</v>
      </c>
      <c r="C519">
        <v>2040</v>
      </c>
      <c r="D519" t="s">
        <v>309</v>
      </c>
      <c r="E519" t="s">
        <v>311</v>
      </c>
      <c r="F519" t="s">
        <v>126</v>
      </c>
      <c r="G519" t="s">
        <v>127</v>
      </c>
      <c r="H519">
        <v>23.27799338445551</v>
      </c>
      <c r="K519" s="4" t="s">
        <v>384</v>
      </c>
      <c r="L519" s="34">
        <v>29.196229473341713</v>
      </c>
    </row>
    <row r="520" spans="1:12" x14ac:dyDescent="0.3">
      <c r="A520" t="s">
        <v>410</v>
      </c>
      <c r="B520">
        <v>0</v>
      </c>
      <c r="C520">
        <v>2040</v>
      </c>
      <c r="D520" t="s">
        <v>309</v>
      </c>
      <c r="E520" t="s">
        <v>312</v>
      </c>
      <c r="F520" t="s">
        <v>126</v>
      </c>
      <c r="G520" t="s">
        <v>127</v>
      </c>
      <c r="H520">
        <v>27.007697611426185</v>
      </c>
      <c r="K520" s="4" t="s">
        <v>386</v>
      </c>
      <c r="L520" s="34">
        <v>29.221361030694833</v>
      </c>
    </row>
    <row r="521" spans="1:12" x14ac:dyDescent="0.3">
      <c r="A521" t="s">
        <v>410</v>
      </c>
      <c r="B521">
        <v>0</v>
      </c>
      <c r="C521">
        <v>2040</v>
      </c>
      <c r="D521" t="s">
        <v>309</v>
      </c>
      <c r="E521" t="s">
        <v>313</v>
      </c>
      <c r="F521" t="s">
        <v>126</v>
      </c>
      <c r="G521" t="s">
        <v>127</v>
      </c>
      <c r="H521">
        <v>27.816238047388421</v>
      </c>
      <c r="K521" s="4" t="s">
        <v>388</v>
      </c>
      <c r="L521" s="34">
        <v>35.296760570921663</v>
      </c>
    </row>
    <row r="522" spans="1:12" x14ac:dyDescent="0.3">
      <c r="A522" t="s">
        <v>410</v>
      </c>
      <c r="B522">
        <v>0</v>
      </c>
      <c r="C522">
        <v>2040</v>
      </c>
      <c r="D522" t="s">
        <v>314</v>
      </c>
      <c r="E522" t="s">
        <v>315</v>
      </c>
      <c r="F522" t="s">
        <v>126</v>
      </c>
      <c r="G522" t="s">
        <v>127</v>
      </c>
      <c r="H522">
        <v>28.35533465609722</v>
      </c>
      <c r="K522" s="4" t="s">
        <v>390</v>
      </c>
      <c r="L522" s="34">
        <v>28.675881096916036</v>
      </c>
    </row>
    <row r="523" spans="1:12" x14ac:dyDescent="0.3">
      <c r="A523" t="s">
        <v>410</v>
      </c>
      <c r="B523">
        <v>0</v>
      </c>
      <c r="C523">
        <v>2040</v>
      </c>
      <c r="D523" t="s">
        <v>328</v>
      </c>
      <c r="E523" t="s">
        <v>329</v>
      </c>
      <c r="F523" t="s">
        <v>126</v>
      </c>
      <c r="G523" t="s">
        <v>127</v>
      </c>
      <c r="H523">
        <v>27.956728968735099</v>
      </c>
      <c r="K523" s="3">
        <v>2040</v>
      </c>
      <c r="L523" s="34">
        <v>27.698814888597262</v>
      </c>
    </row>
    <row r="524" spans="1:12" x14ac:dyDescent="0.3">
      <c r="A524" t="s">
        <v>410</v>
      </c>
      <c r="B524">
        <v>0</v>
      </c>
      <c r="C524">
        <v>2040</v>
      </c>
      <c r="D524" t="s">
        <v>330</v>
      </c>
      <c r="E524" t="s">
        <v>331</v>
      </c>
      <c r="F524" t="s">
        <v>126</v>
      </c>
      <c r="G524" t="s">
        <v>127</v>
      </c>
      <c r="H524">
        <v>26.049856964069384</v>
      </c>
      <c r="K524" s="4" t="s">
        <v>56</v>
      </c>
      <c r="L524" s="34">
        <v>26.642640369783521</v>
      </c>
    </row>
    <row r="525" spans="1:12" x14ac:dyDescent="0.3">
      <c r="A525" t="s">
        <v>410</v>
      </c>
      <c r="B525">
        <v>0</v>
      </c>
      <c r="C525">
        <v>2040</v>
      </c>
      <c r="D525" t="s">
        <v>332</v>
      </c>
      <c r="E525" t="s">
        <v>333</v>
      </c>
      <c r="F525" t="s">
        <v>126</v>
      </c>
      <c r="G525" t="s">
        <v>127</v>
      </c>
      <c r="H525">
        <v>23.725652266585996</v>
      </c>
      <c r="K525" s="4" t="s">
        <v>198</v>
      </c>
      <c r="L525" s="34">
        <v>28.949082368118422</v>
      </c>
    </row>
    <row r="526" spans="1:12" x14ac:dyDescent="0.3">
      <c r="A526" t="s">
        <v>410</v>
      </c>
      <c r="B526">
        <v>0</v>
      </c>
      <c r="C526">
        <v>2040</v>
      </c>
      <c r="D526" t="s">
        <v>336</v>
      </c>
      <c r="E526" t="s">
        <v>337</v>
      </c>
      <c r="F526" t="s">
        <v>126</v>
      </c>
      <c r="G526" t="s">
        <v>127</v>
      </c>
      <c r="H526">
        <v>26.078248807296266</v>
      </c>
      <c r="K526" s="4" t="s">
        <v>231</v>
      </c>
      <c r="L526" s="34">
        <v>28.508013411469296</v>
      </c>
    </row>
    <row r="527" spans="1:12" x14ac:dyDescent="0.3">
      <c r="A527" t="s">
        <v>410</v>
      </c>
      <c r="B527">
        <v>0</v>
      </c>
      <c r="C527">
        <v>2040</v>
      </c>
      <c r="D527" t="s">
        <v>338</v>
      </c>
      <c r="E527" t="s">
        <v>339</v>
      </c>
      <c r="F527" t="s">
        <v>126</v>
      </c>
      <c r="G527" t="s">
        <v>127</v>
      </c>
      <c r="H527">
        <v>30.063829994955586</v>
      </c>
      <c r="K527" s="4" t="s">
        <v>168</v>
      </c>
      <c r="L527" s="34">
        <v>26.851025076947721</v>
      </c>
    </row>
    <row r="528" spans="1:12" x14ac:dyDescent="0.3">
      <c r="A528" t="s">
        <v>410</v>
      </c>
      <c r="B528">
        <v>0</v>
      </c>
      <c r="C528">
        <v>2040</v>
      </c>
      <c r="D528" t="s">
        <v>340</v>
      </c>
      <c r="E528" t="s">
        <v>341</v>
      </c>
      <c r="F528" t="s">
        <v>126</v>
      </c>
      <c r="G528" t="s">
        <v>127</v>
      </c>
      <c r="H528">
        <v>26.15132660378573</v>
      </c>
      <c r="K528" s="4" t="s">
        <v>183</v>
      </c>
      <c r="L528" s="34">
        <v>29.266423457474929</v>
      </c>
    </row>
    <row r="529" spans="1:12" x14ac:dyDescent="0.3">
      <c r="A529" t="s">
        <v>410</v>
      </c>
      <c r="B529">
        <v>0</v>
      </c>
      <c r="C529">
        <v>2040</v>
      </c>
      <c r="D529" t="s">
        <v>346</v>
      </c>
      <c r="E529" t="s">
        <v>347</v>
      </c>
      <c r="F529" t="s">
        <v>126</v>
      </c>
      <c r="G529" t="s">
        <v>127</v>
      </c>
      <c r="H529">
        <v>28.654575959802813</v>
      </c>
      <c r="K529" s="4" t="s">
        <v>187</v>
      </c>
      <c r="L529" s="34">
        <v>23.889661311617161</v>
      </c>
    </row>
    <row r="530" spans="1:12" x14ac:dyDescent="0.3">
      <c r="A530" t="s">
        <v>410</v>
      </c>
      <c r="B530">
        <v>0</v>
      </c>
      <c r="C530">
        <v>2040</v>
      </c>
      <c r="D530" t="s">
        <v>348</v>
      </c>
      <c r="E530" t="s">
        <v>349</v>
      </c>
      <c r="F530" t="s">
        <v>126</v>
      </c>
      <c r="G530" t="s">
        <v>127</v>
      </c>
      <c r="H530">
        <v>27.891044508049486</v>
      </c>
      <c r="K530" s="4" t="s">
        <v>191</v>
      </c>
      <c r="L530" s="34">
        <v>22.48292538450016</v>
      </c>
    </row>
    <row r="531" spans="1:12" x14ac:dyDescent="0.3">
      <c r="A531" t="s">
        <v>410</v>
      </c>
      <c r="B531">
        <v>0</v>
      </c>
      <c r="C531">
        <v>2040</v>
      </c>
      <c r="D531" t="s">
        <v>350</v>
      </c>
      <c r="E531" t="s">
        <v>351</v>
      </c>
      <c r="F531" t="s">
        <v>126</v>
      </c>
      <c r="G531" t="s">
        <v>127</v>
      </c>
      <c r="H531">
        <v>27.964397111131859</v>
      </c>
      <c r="K531" s="4" t="s">
        <v>194</v>
      </c>
      <c r="L531" s="34">
        <v>26.612404050990097</v>
      </c>
    </row>
    <row r="532" spans="1:12" x14ac:dyDescent="0.3">
      <c r="A532" t="s">
        <v>410</v>
      </c>
      <c r="B532">
        <v>0</v>
      </c>
      <c r="C532">
        <v>2040</v>
      </c>
      <c r="D532" t="s">
        <v>352</v>
      </c>
      <c r="E532" t="s">
        <v>353</v>
      </c>
      <c r="F532" t="s">
        <v>126</v>
      </c>
      <c r="G532" t="s">
        <v>127</v>
      </c>
      <c r="H532">
        <v>26.810882176058477</v>
      </c>
      <c r="K532" s="4" t="s">
        <v>251</v>
      </c>
      <c r="L532" s="34">
        <v>24.518740948649459</v>
      </c>
    </row>
    <row r="533" spans="1:12" x14ac:dyDescent="0.3">
      <c r="A533" t="s">
        <v>410</v>
      </c>
      <c r="B533">
        <v>0</v>
      </c>
      <c r="C533">
        <v>2040</v>
      </c>
      <c r="D533" t="s">
        <v>354</v>
      </c>
      <c r="E533" t="s">
        <v>355</v>
      </c>
      <c r="F533" t="s">
        <v>126</v>
      </c>
      <c r="G533" t="s">
        <v>127</v>
      </c>
      <c r="H533">
        <v>28.539084999110461</v>
      </c>
      <c r="K533" s="4" t="s">
        <v>256</v>
      </c>
      <c r="L533" s="34">
        <v>28.479729909670681</v>
      </c>
    </row>
    <row r="534" spans="1:12" x14ac:dyDescent="0.3">
      <c r="A534" t="s">
        <v>410</v>
      </c>
      <c r="B534">
        <v>0</v>
      </c>
      <c r="C534">
        <v>2040</v>
      </c>
      <c r="D534" t="s">
        <v>356</v>
      </c>
      <c r="E534" t="s">
        <v>357</v>
      </c>
      <c r="F534" t="s">
        <v>126</v>
      </c>
      <c r="G534" t="s">
        <v>127</v>
      </c>
      <c r="H534">
        <v>30.339115704468824</v>
      </c>
      <c r="K534" s="4" t="s">
        <v>273</v>
      </c>
      <c r="L534" s="34">
        <v>29.268624649708102</v>
      </c>
    </row>
    <row r="535" spans="1:12" x14ac:dyDescent="0.3">
      <c r="A535" t="s">
        <v>410</v>
      </c>
      <c r="B535">
        <v>0</v>
      </c>
      <c r="C535">
        <v>2040</v>
      </c>
      <c r="D535" t="s">
        <v>358</v>
      </c>
      <c r="E535" t="s">
        <v>359</v>
      </c>
      <c r="F535" t="s">
        <v>126</v>
      </c>
      <c r="G535" t="s">
        <v>127</v>
      </c>
      <c r="H535">
        <v>27.213624476012505</v>
      </c>
      <c r="K535" s="4" t="s">
        <v>277</v>
      </c>
      <c r="L535" s="34">
        <v>28.778881888544383</v>
      </c>
    </row>
    <row r="536" spans="1:12" x14ac:dyDescent="0.3">
      <c r="A536" t="s">
        <v>410</v>
      </c>
      <c r="B536">
        <v>0</v>
      </c>
      <c r="C536">
        <v>2040</v>
      </c>
      <c r="D536" t="s">
        <v>360</v>
      </c>
      <c r="E536" t="s">
        <v>361</v>
      </c>
      <c r="F536" t="s">
        <v>126</v>
      </c>
      <c r="G536" t="s">
        <v>127</v>
      </c>
      <c r="H536">
        <v>27.483351082133165</v>
      </c>
      <c r="K536" s="4" t="s">
        <v>289</v>
      </c>
      <c r="L536" s="34">
        <v>29.549927360891633</v>
      </c>
    </row>
    <row r="537" spans="1:12" x14ac:dyDescent="0.3">
      <c r="A537" t="s">
        <v>410</v>
      </c>
      <c r="B537">
        <v>0</v>
      </c>
      <c r="C537">
        <v>2040</v>
      </c>
      <c r="D537" t="s">
        <v>362</v>
      </c>
      <c r="E537" t="s">
        <v>363</v>
      </c>
      <c r="F537" t="s">
        <v>126</v>
      </c>
      <c r="G537" t="s">
        <v>127</v>
      </c>
      <c r="H537">
        <v>27.584618166371847</v>
      </c>
      <c r="K537" s="4" t="s">
        <v>306</v>
      </c>
      <c r="L537" s="34">
        <v>30.649857512761145</v>
      </c>
    </row>
    <row r="538" spans="1:12" x14ac:dyDescent="0.3">
      <c r="A538" t="s">
        <v>410</v>
      </c>
      <c r="B538">
        <v>0</v>
      </c>
      <c r="C538">
        <v>2040</v>
      </c>
      <c r="D538" t="s">
        <v>364</v>
      </c>
      <c r="E538" t="s">
        <v>365</v>
      </c>
      <c r="F538" t="s">
        <v>126</v>
      </c>
      <c r="G538" t="s">
        <v>127</v>
      </c>
      <c r="H538">
        <v>27.53342368012207</v>
      </c>
      <c r="K538" s="4" t="s">
        <v>310</v>
      </c>
      <c r="L538" s="34">
        <v>22.76176656829729</v>
      </c>
    </row>
    <row r="539" spans="1:12" x14ac:dyDescent="0.3">
      <c r="A539" t="s">
        <v>410</v>
      </c>
      <c r="B539">
        <v>0</v>
      </c>
      <c r="C539">
        <v>2040</v>
      </c>
      <c r="D539" t="s">
        <v>366</v>
      </c>
      <c r="E539" t="s">
        <v>367</v>
      </c>
      <c r="F539" t="s">
        <v>126</v>
      </c>
      <c r="G539" t="s">
        <v>127</v>
      </c>
      <c r="H539">
        <v>26.458781573938616</v>
      </c>
      <c r="K539" s="4" t="s">
        <v>311</v>
      </c>
      <c r="L539" s="34">
        <v>23.27799338445551</v>
      </c>
    </row>
    <row r="540" spans="1:12" x14ac:dyDescent="0.3">
      <c r="A540" t="s">
        <v>410</v>
      </c>
      <c r="B540">
        <v>0</v>
      </c>
      <c r="C540">
        <v>2040</v>
      </c>
      <c r="D540" t="s">
        <v>368</v>
      </c>
      <c r="E540" t="s">
        <v>369</v>
      </c>
      <c r="F540" t="s">
        <v>126</v>
      </c>
      <c r="G540" t="s">
        <v>127</v>
      </c>
      <c r="H540">
        <v>27.588749279590374</v>
      </c>
      <c r="K540" s="4" t="s">
        <v>312</v>
      </c>
      <c r="L540" s="34">
        <v>27.007697611426185</v>
      </c>
    </row>
    <row r="541" spans="1:12" x14ac:dyDescent="0.3">
      <c r="A541" t="s">
        <v>410</v>
      </c>
      <c r="B541">
        <v>0</v>
      </c>
      <c r="C541">
        <v>2040</v>
      </c>
      <c r="D541" t="s">
        <v>370</v>
      </c>
      <c r="E541" t="s">
        <v>371</v>
      </c>
      <c r="F541" t="s">
        <v>126</v>
      </c>
      <c r="G541" t="s">
        <v>127</v>
      </c>
      <c r="H541">
        <v>29.960947560628732</v>
      </c>
      <c r="K541" s="4" t="s">
        <v>313</v>
      </c>
      <c r="L541" s="34">
        <v>27.816238047388421</v>
      </c>
    </row>
    <row r="542" spans="1:12" x14ac:dyDescent="0.3">
      <c r="A542" t="s">
        <v>410</v>
      </c>
      <c r="B542">
        <v>0</v>
      </c>
      <c r="C542">
        <v>2040</v>
      </c>
      <c r="D542" t="s">
        <v>373</v>
      </c>
      <c r="E542" t="s">
        <v>374</v>
      </c>
      <c r="F542" t="s">
        <v>126</v>
      </c>
      <c r="G542" t="s">
        <v>127</v>
      </c>
      <c r="H542">
        <v>25.735344447297109</v>
      </c>
      <c r="K542" s="4" t="s">
        <v>315</v>
      </c>
      <c r="L542" s="34">
        <v>28.35533465609722</v>
      </c>
    </row>
    <row r="543" spans="1:12" x14ac:dyDescent="0.3">
      <c r="A543" t="s">
        <v>410</v>
      </c>
      <c r="B543">
        <v>0</v>
      </c>
      <c r="C543">
        <v>2040</v>
      </c>
      <c r="D543" t="s">
        <v>375</v>
      </c>
      <c r="E543" t="s">
        <v>376</v>
      </c>
      <c r="F543" t="s">
        <v>126</v>
      </c>
      <c r="G543" t="s">
        <v>127</v>
      </c>
      <c r="H543">
        <v>29.348548809718039</v>
      </c>
      <c r="K543" s="4" t="s">
        <v>329</v>
      </c>
      <c r="L543" s="34">
        <v>27.956728968735099</v>
      </c>
    </row>
    <row r="544" spans="1:12" x14ac:dyDescent="0.3">
      <c r="A544" t="s">
        <v>410</v>
      </c>
      <c r="B544">
        <v>0</v>
      </c>
      <c r="C544">
        <v>2040</v>
      </c>
      <c r="D544" t="s">
        <v>377</v>
      </c>
      <c r="E544" t="s">
        <v>378</v>
      </c>
      <c r="F544" t="s">
        <v>126</v>
      </c>
      <c r="G544" t="s">
        <v>127</v>
      </c>
      <c r="H544">
        <v>27.639845721314696</v>
      </c>
      <c r="K544" s="4" t="s">
        <v>331</v>
      </c>
      <c r="L544" s="34">
        <v>26.049856964069384</v>
      </c>
    </row>
    <row r="545" spans="1:12" x14ac:dyDescent="0.3">
      <c r="A545" t="s">
        <v>410</v>
      </c>
      <c r="B545">
        <v>0</v>
      </c>
      <c r="C545">
        <v>2040</v>
      </c>
      <c r="D545" t="s">
        <v>379</v>
      </c>
      <c r="E545" t="s">
        <v>380</v>
      </c>
      <c r="F545" t="s">
        <v>126</v>
      </c>
      <c r="G545" t="s">
        <v>127</v>
      </c>
      <c r="H545">
        <v>28.548170438539444</v>
      </c>
      <c r="K545" s="4" t="s">
        <v>333</v>
      </c>
      <c r="L545" s="34">
        <v>23.725652266585996</v>
      </c>
    </row>
    <row r="546" spans="1:12" x14ac:dyDescent="0.3">
      <c r="A546" t="s">
        <v>410</v>
      </c>
      <c r="B546">
        <v>0</v>
      </c>
      <c r="C546">
        <v>2040</v>
      </c>
      <c r="D546" t="s">
        <v>381</v>
      </c>
      <c r="E546" t="s">
        <v>382</v>
      </c>
      <c r="F546" t="s">
        <v>126</v>
      </c>
      <c r="G546" t="s">
        <v>127</v>
      </c>
      <c r="H546">
        <v>28.662613278369726</v>
      </c>
      <c r="K546" s="4" t="s">
        <v>337</v>
      </c>
      <c r="L546" s="34">
        <v>26.078248807296266</v>
      </c>
    </row>
    <row r="547" spans="1:12" x14ac:dyDescent="0.3">
      <c r="A547" t="s">
        <v>410</v>
      </c>
      <c r="B547">
        <v>0</v>
      </c>
      <c r="C547">
        <v>2040</v>
      </c>
      <c r="D547" t="s">
        <v>383</v>
      </c>
      <c r="E547" t="s">
        <v>384</v>
      </c>
      <c r="F547" t="s">
        <v>126</v>
      </c>
      <c r="G547" t="s">
        <v>127</v>
      </c>
      <c r="H547">
        <v>28.61649781260045</v>
      </c>
      <c r="K547" s="4" t="s">
        <v>339</v>
      </c>
      <c r="L547" s="34">
        <v>30.063829994955586</v>
      </c>
    </row>
    <row r="548" spans="1:12" x14ac:dyDescent="0.3">
      <c r="A548" t="s">
        <v>410</v>
      </c>
      <c r="B548">
        <v>0</v>
      </c>
      <c r="C548">
        <v>2040</v>
      </c>
      <c r="D548" t="s">
        <v>385</v>
      </c>
      <c r="E548" t="s">
        <v>386</v>
      </c>
      <c r="F548" t="s">
        <v>126</v>
      </c>
      <c r="G548" t="s">
        <v>127</v>
      </c>
      <c r="H548">
        <v>28.935504459851245</v>
      </c>
      <c r="K548" s="4" t="s">
        <v>341</v>
      </c>
      <c r="L548" s="34">
        <v>26.15132660378573</v>
      </c>
    </row>
    <row r="549" spans="1:12" x14ac:dyDescent="0.3">
      <c r="A549" t="s">
        <v>410</v>
      </c>
      <c r="B549">
        <v>0</v>
      </c>
      <c r="C549">
        <v>2040</v>
      </c>
      <c r="D549" t="s">
        <v>55</v>
      </c>
      <c r="E549" t="s">
        <v>56</v>
      </c>
      <c r="F549" t="s">
        <v>126</v>
      </c>
      <c r="G549" t="s">
        <v>127</v>
      </c>
      <c r="H549">
        <v>26.642640369783521</v>
      </c>
      <c r="K549" s="4" t="s">
        <v>347</v>
      </c>
      <c r="L549" s="34">
        <v>28.654575959802813</v>
      </c>
    </row>
    <row r="550" spans="1:12" x14ac:dyDescent="0.3">
      <c r="A550" t="s">
        <v>410</v>
      </c>
      <c r="B550">
        <v>0</v>
      </c>
      <c r="C550">
        <v>2040</v>
      </c>
      <c r="D550" t="s">
        <v>387</v>
      </c>
      <c r="E550" t="s">
        <v>388</v>
      </c>
      <c r="F550" t="s">
        <v>126</v>
      </c>
      <c r="G550" t="s">
        <v>127</v>
      </c>
      <c r="H550">
        <v>36.211276264982246</v>
      </c>
      <c r="K550" s="4" t="s">
        <v>349</v>
      </c>
      <c r="L550" s="34">
        <v>27.891044508049486</v>
      </c>
    </row>
    <row r="551" spans="1:12" x14ac:dyDescent="0.3">
      <c r="A551" t="s">
        <v>410</v>
      </c>
      <c r="B551">
        <v>0</v>
      </c>
      <c r="C551">
        <v>2040</v>
      </c>
      <c r="D551" t="s">
        <v>389</v>
      </c>
      <c r="E551" t="s">
        <v>390</v>
      </c>
      <c r="F551" t="s">
        <v>126</v>
      </c>
      <c r="G551" t="s">
        <v>127</v>
      </c>
      <c r="H551">
        <v>30.431290679759744</v>
      </c>
      <c r="K551" s="4" t="s">
        <v>351</v>
      </c>
      <c r="L551" s="34">
        <v>27.964397111131859</v>
      </c>
    </row>
    <row r="552" spans="1:12" x14ac:dyDescent="0.3">
      <c r="A552" t="s">
        <v>410</v>
      </c>
      <c r="B552">
        <v>0</v>
      </c>
      <c r="C552">
        <v>2050</v>
      </c>
      <c r="D552" t="s">
        <v>167</v>
      </c>
      <c r="E552" t="s">
        <v>168</v>
      </c>
      <c r="F552" t="s">
        <v>126</v>
      </c>
      <c r="G552" t="s">
        <v>127</v>
      </c>
      <c r="H552">
        <v>27.042782318878711</v>
      </c>
      <c r="K552" s="4" t="s">
        <v>353</v>
      </c>
      <c r="L552" s="34">
        <v>26.810882176058477</v>
      </c>
    </row>
    <row r="553" spans="1:12" x14ac:dyDescent="0.3">
      <c r="A553" t="s">
        <v>410</v>
      </c>
      <c r="B553">
        <v>0</v>
      </c>
      <c r="C553">
        <v>2050</v>
      </c>
      <c r="D553" t="s">
        <v>167</v>
      </c>
      <c r="E553" t="s">
        <v>183</v>
      </c>
      <c r="F553" t="s">
        <v>126</v>
      </c>
      <c r="G553" t="s">
        <v>127</v>
      </c>
      <c r="H553">
        <v>28.389673151782532</v>
      </c>
      <c r="K553" s="4" t="s">
        <v>355</v>
      </c>
      <c r="L553" s="34">
        <v>28.539084999110461</v>
      </c>
    </row>
    <row r="554" spans="1:12" x14ac:dyDescent="0.3">
      <c r="A554" t="s">
        <v>410</v>
      </c>
      <c r="B554">
        <v>0</v>
      </c>
      <c r="C554">
        <v>2050</v>
      </c>
      <c r="D554" t="s">
        <v>167</v>
      </c>
      <c r="E554" t="s">
        <v>187</v>
      </c>
      <c r="F554" t="s">
        <v>126</v>
      </c>
      <c r="G554" t="s">
        <v>127</v>
      </c>
      <c r="H554">
        <v>26.0937460491078</v>
      </c>
      <c r="K554" s="4" t="s">
        <v>357</v>
      </c>
      <c r="L554" s="34">
        <v>30.339115704468824</v>
      </c>
    </row>
    <row r="555" spans="1:12" x14ac:dyDescent="0.3">
      <c r="A555" t="s">
        <v>410</v>
      </c>
      <c r="B555">
        <v>0</v>
      </c>
      <c r="C555">
        <v>2050</v>
      </c>
      <c r="D555" t="s">
        <v>167</v>
      </c>
      <c r="E555" t="s">
        <v>191</v>
      </c>
      <c r="F555" t="s">
        <v>126</v>
      </c>
      <c r="G555" t="s">
        <v>127</v>
      </c>
      <c r="H555">
        <v>23.272168529100732</v>
      </c>
      <c r="K555" s="4" t="s">
        <v>359</v>
      </c>
      <c r="L555" s="34">
        <v>27.213624476012505</v>
      </c>
    </row>
    <row r="556" spans="1:12" x14ac:dyDescent="0.3">
      <c r="A556" t="s">
        <v>410</v>
      </c>
      <c r="B556">
        <v>0</v>
      </c>
      <c r="C556">
        <v>2050</v>
      </c>
      <c r="D556" t="s">
        <v>167</v>
      </c>
      <c r="E556" t="s">
        <v>194</v>
      </c>
      <c r="F556" t="s">
        <v>126</v>
      </c>
      <c r="G556" t="s">
        <v>127</v>
      </c>
      <c r="H556">
        <v>26.858148989567557</v>
      </c>
      <c r="K556" s="4" t="s">
        <v>361</v>
      </c>
      <c r="L556" s="34">
        <v>27.483351082133165</v>
      </c>
    </row>
    <row r="557" spans="1:12" x14ac:dyDescent="0.3">
      <c r="A557" t="s">
        <v>410</v>
      </c>
      <c r="B557">
        <v>0</v>
      </c>
      <c r="C557">
        <v>2050</v>
      </c>
      <c r="D557" t="s">
        <v>197</v>
      </c>
      <c r="E557" t="s">
        <v>198</v>
      </c>
      <c r="F557" t="s">
        <v>126</v>
      </c>
      <c r="G557" t="s">
        <v>127</v>
      </c>
      <c r="H557">
        <v>27.705001401060109</v>
      </c>
      <c r="K557" s="4" t="s">
        <v>363</v>
      </c>
      <c r="L557" s="34">
        <v>27.584618166371847</v>
      </c>
    </row>
    <row r="558" spans="1:12" x14ac:dyDescent="0.3">
      <c r="A558" t="s">
        <v>410</v>
      </c>
      <c r="B558">
        <v>0</v>
      </c>
      <c r="C558">
        <v>2050</v>
      </c>
      <c r="D558" t="s">
        <v>197</v>
      </c>
      <c r="E558" t="s">
        <v>231</v>
      </c>
      <c r="F558" t="s">
        <v>126</v>
      </c>
      <c r="G558" t="s">
        <v>127</v>
      </c>
      <c r="H558">
        <v>26.198941987156822</v>
      </c>
      <c r="K558" s="4" t="s">
        <v>365</v>
      </c>
      <c r="L558" s="34">
        <v>27.53342368012207</v>
      </c>
    </row>
    <row r="559" spans="1:12" x14ac:dyDescent="0.3">
      <c r="A559" t="s">
        <v>410</v>
      </c>
      <c r="B559">
        <v>0</v>
      </c>
      <c r="C559">
        <v>2050</v>
      </c>
      <c r="D559" t="s">
        <v>250</v>
      </c>
      <c r="E559" t="s">
        <v>251</v>
      </c>
      <c r="F559" t="s">
        <v>126</v>
      </c>
      <c r="G559" t="s">
        <v>127</v>
      </c>
      <c r="H559">
        <v>24.471250937026117</v>
      </c>
      <c r="K559" s="4" t="s">
        <v>367</v>
      </c>
      <c r="L559" s="34">
        <v>26.458781573938616</v>
      </c>
    </row>
    <row r="560" spans="1:12" x14ac:dyDescent="0.3">
      <c r="A560" t="s">
        <v>410</v>
      </c>
      <c r="B560">
        <v>0</v>
      </c>
      <c r="C560">
        <v>2050</v>
      </c>
      <c r="D560" t="s">
        <v>255</v>
      </c>
      <c r="E560" t="s">
        <v>256</v>
      </c>
      <c r="F560" t="s">
        <v>126</v>
      </c>
      <c r="G560" t="s">
        <v>127</v>
      </c>
      <c r="H560">
        <v>25.979010256369538</v>
      </c>
      <c r="K560" s="4" t="s">
        <v>369</v>
      </c>
      <c r="L560" s="34">
        <v>27.588749279590374</v>
      </c>
    </row>
    <row r="561" spans="1:12" x14ac:dyDescent="0.3">
      <c r="A561" t="s">
        <v>410</v>
      </c>
      <c r="B561">
        <v>0</v>
      </c>
      <c r="C561">
        <v>2050</v>
      </c>
      <c r="D561" t="s">
        <v>255</v>
      </c>
      <c r="E561" t="s">
        <v>273</v>
      </c>
      <c r="F561" t="s">
        <v>126</v>
      </c>
      <c r="G561" t="s">
        <v>127</v>
      </c>
      <c r="H561">
        <v>28.223116486709074</v>
      </c>
      <c r="K561" s="4" t="s">
        <v>371</v>
      </c>
      <c r="L561" s="34">
        <v>29.960947560628732</v>
      </c>
    </row>
    <row r="562" spans="1:12" x14ac:dyDescent="0.3">
      <c r="A562" t="s">
        <v>410</v>
      </c>
      <c r="B562">
        <v>0</v>
      </c>
      <c r="C562">
        <v>2050</v>
      </c>
      <c r="D562" t="s">
        <v>255</v>
      </c>
      <c r="E562" t="s">
        <v>277</v>
      </c>
      <c r="F562" t="s">
        <v>126</v>
      </c>
      <c r="G562" t="s">
        <v>127</v>
      </c>
      <c r="H562">
        <v>27.339192885519761</v>
      </c>
      <c r="K562" s="4" t="s">
        <v>374</v>
      </c>
      <c r="L562" s="34">
        <v>25.735344447297109</v>
      </c>
    </row>
    <row r="563" spans="1:12" x14ac:dyDescent="0.3">
      <c r="A563" t="s">
        <v>410</v>
      </c>
      <c r="B563">
        <v>0</v>
      </c>
      <c r="C563">
        <v>2050</v>
      </c>
      <c r="D563" t="s">
        <v>255</v>
      </c>
      <c r="E563" t="s">
        <v>289</v>
      </c>
      <c r="F563" t="s">
        <v>126</v>
      </c>
      <c r="G563" t="s">
        <v>127</v>
      </c>
      <c r="H563">
        <v>28.420808781190754</v>
      </c>
      <c r="K563" s="4" t="s">
        <v>376</v>
      </c>
      <c r="L563" s="34">
        <v>29.348548809718039</v>
      </c>
    </row>
    <row r="564" spans="1:12" x14ac:dyDescent="0.3">
      <c r="A564" t="s">
        <v>410</v>
      </c>
      <c r="B564">
        <v>0</v>
      </c>
      <c r="C564">
        <v>2050</v>
      </c>
      <c r="D564" t="s">
        <v>305</v>
      </c>
      <c r="E564" t="s">
        <v>306</v>
      </c>
      <c r="F564" t="s">
        <v>126</v>
      </c>
      <c r="G564" t="s">
        <v>127</v>
      </c>
      <c r="H564">
        <v>29.289590170672806</v>
      </c>
      <c r="K564" s="4" t="s">
        <v>378</v>
      </c>
      <c r="L564" s="34">
        <v>27.639845721314696</v>
      </c>
    </row>
    <row r="565" spans="1:12" x14ac:dyDescent="0.3">
      <c r="A565" t="s">
        <v>410</v>
      </c>
      <c r="B565">
        <v>0</v>
      </c>
      <c r="C565">
        <v>2050</v>
      </c>
      <c r="D565" t="s">
        <v>309</v>
      </c>
      <c r="E565" t="s">
        <v>310</v>
      </c>
      <c r="F565" t="s">
        <v>126</v>
      </c>
      <c r="G565" t="s">
        <v>127</v>
      </c>
      <c r="H565">
        <v>23.502625183525581</v>
      </c>
      <c r="K565" s="4" t="s">
        <v>380</v>
      </c>
      <c r="L565" s="34">
        <v>28.548170438539444</v>
      </c>
    </row>
    <row r="566" spans="1:12" x14ac:dyDescent="0.3">
      <c r="A566" t="s">
        <v>410</v>
      </c>
      <c r="B566">
        <v>0</v>
      </c>
      <c r="C566">
        <v>2050</v>
      </c>
      <c r="D566" t="s">
        <v>309</v>
      </c>
      <c r="E566" t="s">
        <v>311</v>
      </c>
      <c r="F566" t="s">
        <v>126</v>
      </c>
      <c r="G566" t="s">
        <v>127</v>
      </c>
      <c r="H566">
        <v>24.133461578759725</v>
      </c>
      <c r="K566" s="4" t="s">
        <v>382</v>
      </c>
      <c r="L566" s="34">
        <v>28.662613278369726</v>
      </c>
    </row>
    <row r="567" spans="1:12" x14ac:dyDescent="0.3">
      <c r="A567" t="s">
        <v>410</v>
      </c>
      <c r="B567">
        <v>0</v>
      </c>
      <c r="C567">
        <v>2050</v>
      </c>
      <c r="D567" t="s">
        <v>309</v>
      </c>
      <c r="E567" t="s">
        <v>312</v>
      </c>
      <c r="F567" t="s">
        <v>126</v>
      </c>
      <c r="G567" t="s">
        <v>127</v>
      </c>
      <c r="H567">
        <v>26.572190458813509</v>
      </c>
      <c r="K567" s="4" t="s">
        <v>384</v>
      </c>
      <c r="L567" s="34">
        <v>28.61649781260045</v>
      </c>
    </row>
    <row r="568" spans="1:12" x14ac:dyDescent="0.3">
      <c r="A568" t="s">
        <v>410</v>
      </c>
      <c r="B568">
        <v>0</v>
      </c>
      <c r="C568">
        <v>2050</v>
      </c>
      <c r="D568" t="s">
        <v>309</v>
      </c>
      <c r="E568" t="s">
        <v>313</v>
      </c>
      <c r="F568" t="s">
        <v>126</v>
      </c>
      <c r="G568" t="s">
        <v>127</v>
      </c>
      <c r="H568">
        <v>26.17273079204902</v>
      </c>
      <c r="K568" s="4" t="s">
        <v>386</v>
      </c>
      <c r="L568" s="34">
        <v>28.935504459851245</v>
      </c>
    </row>
    <row r="569" spans="1:12" x14ac:dyDescent="0.3">
      <c r="A569" t="s">
        <v>410</v>
      </c>
      <c r="B569">
        <v>0</v>
      </c>
      <c r="C569">
        <v>2050</v>
      </c>
      <c r="D569" t="s">
        <v>314</v>
      </c>
      <c r="E569" t="s">
        <v>315</v>
      </c>
      <c r="F569" t="s">
        <v>126</v>
      </c>
      <c r="G569" t="s">
        <v>127</v>
      </c>
      <c r="H569">
        <v>27.318779775019294</v>
      </c>
      <c r="K569" s="4" t="s">
        <v>388</v>
      </c>
      <c r="L569" s="34">
        <v>36.211276264982246</v>
      </c>
    </row>
    <row r="570" spans="1:12" x14ac:dyDescent="0.3">
      <c r="A570" t="s">
        <v>410</v>
      </c>
      <c r="B570">
        <v>0</v>
      </c>
      <c r="C570">
        <v>2050</v>
      </c>
      <c r="D570" t="s">
        <v>328</v>
      </c>
      <c r="E570" t="s">
        <v>329</v>
      </c>
      <c r="F570" t="s">
        <v>126</v>
      </c>
      <c r="G570" t="s">
        <v>127</v>
      </c>
      <c r="H570">
        <v>25.851776771793151</v>
      </c>
      <c r="K570" s="4" t="s">
        <v>390</v>
      </c>
      <c r="L570" s="34">
        <v>30.431290679759744</v>
      </c>
    </row>
    <row r="571" spans="1:12" x14ac:dyDescent="0.3">
      <c r="A571" t="s">
        <v>410</v>
      </c>
      <c r="B571">
        <v>0</v>
      </c>
      <c r="C571">
        <v>2050</v>
      </c>
      <c r="D571" t="s">
        <v>330</v>
      </c>
      <c r="E571" t="s">
        <v>331</v>
      </c>
      <c r="F571" t="s">
        <v>126</v>
      </c>
      <c r="G571" t="s">
        <v>127</v>
      </c>
      <c r="H571">
        <v>24.686752389773137</v>
      </c>
      <c r="K571" s="3">
        <v>2050</v>
      </c>
      <c r="L571" s="34">
        <v>26.757562351929984</v>
      </c>
    </row>
    <row r="572" spans="1:12" x14ac:dyDescent="0.3">
      <c r="A572" t="s">
        <v>410</v>
      </c>
      <c r="B572">
        <v>0</v>
      </c>
      <c r="C572">
        <v>2050</v>
      </c>
      <c r="D572" t="s">
        <v>332</v>
      </c>
      <c r="E572" t="s">
        <v>333</v>
      </c>
      <c r="F572" t="s">
        <v>126</v>
      </c>
      <c r="G572" t="s">
        <v>127</v>
      </c>
      <c r="H572">
        <v>23.573095201593087</v>
      </c>
      <c r="K572" s="4" t="s">
        <v>56</v>
      </c>
      <c r="L572" s="34">
        <v>26.030000386826842</v>
      </c>
    </row>
    <row r="573" spans="1:12" x14ac:dyDescent="0.3">
      <c r="A573" t="s">
        <v>410</v>
      </c>
      <c r="B573">
        <v>0</v>
      </c>
      <c r="C573">
        <v>2050</v>
      </c>
      <c r="D573" t="s">
        <v>336</v>
      </c>
      <c r="E573" t="s">
        <v>337</v>
      </c>
      <c r="F573" t="s">
        <v>126</v>
      </c>
      <c r="G573" t="s">
        <v>127</v>
      </c>
      <c r="H573">
        <v>24.869715100705697</v>
      </c>
      <c r="K573" s="4" t="s">
        <v>198</v>
      </c>
      <c r="L573" s="34">
        <v>27.705001401060109</v>
      </c>
    </row>
    <row r="574" spans="1:12" x14ac:dyDescent="0.3">
      <c r="A574" t="s">
        <v>410</v>
      </c>
      <c r="B574">
        <v>0</v>
      </c>
      <c r="C574">
        <v>2050</v>
      </c>
      <c r="D574" t="s">
        <v>338</v>
      </c>
      <c r="E574" t="s">
        <v>339</v>
      </c>
      <c r="F574" t="s">
        <v>126</v>
      </c>
      <c r="G574" t="s">
        <v>127</v>
      </c>
      <c r="H574">
        <v>29.21176407636581</v>
      </c>
      <c r="K574" s="4" t="s">
        <v>231</v>
      </c>
      <c r="L574" s="34">
        <v>26.198941987156822</v>
      </c>
    </row>
    <row r="575" spans="1:12" x14ac:dyDescent="0.3">
      <c r="A575" t="s">
        <v>410</v>
      </c>
      <c r="B575">
        <v>0</v>
      </c>
      <c r="C575">
        <v>2050</v>
      </c>
      <c r="D575" t="s">
        <v>340</v>
      </c>
      <c r="E575" t="s">
        <v>341</v>
      </c>
      <c r="F575" t="s">
        <v>126</v>
      </c>
      <c r="G575" t="s">
        <v>127</v>
      </c>
      <c r="H575">
        <v>25.503101909688628</v>
      </c>
      <c r="K575" s="4" t="s">
        <v>168</v>
      </c>
      <c r="L575" s="34">
        <v>27.042782318878711</v>
      </c>
    </row>
    <row r="576" spans="1:12" x14ac:dyDescent="0.3">
      <c r="A576" t="s">
        <v>410</v>
      </c>
      <c r="B576">
        <v>0</v>
      </c>
      <c r="C576">
        <v>2050</v>
      </c>
      <c r="D576" t="s">
        <v>346</v>
      </c>
      <c r="E576" t="s">
        <v>347</v>
      </c>
      <c r="F576" t="s">
        <v>126</v>
      </c>
      <c r="G576" t="s">
        <v>127</v>
      </c>
      <c r="H576">
        <v>27.615560908768234</v>
      </c>
      <c r="K576" s="4" t="s">
        <v>183</v>
      </c>
      <c r="L576" s="34">
        <v>28.389673151782532</v>
      </c>
    </row>
    <row r="577" spans="1:12" x14ac:dyDescent="0.3">
      <c r="A577" t="s">
        <v>410</v>
      </c>
      <c r="B577">
        <v>0</v>
      </c>
      <c r="C577">
        <v>2050</v>
      </c>
      <c r="D577" t="s">
        <v>348</v>
      </c>
      <c r="E577" t="s">
        <v>349</v>
      </c>
      <c r="F577" t="s">
        <v>126</v>
      </c>
      <c r="G577" t="s">
        <v>127</v>
      </c>
      <c r="H577">
        <v>26.605423796270664</v>
      </c>
      <c r="K577" s="4" t="s">
        <v>187</v>
      </c>
      <c r="L577" s="34">
        <v>26.0937460491078</v>
      </c>
    </row>
    <row r="578" spans="1:12" x14ac:dyDescent="0.3">
      <c r="A578" t="s">
        <v>410</v>
      </c>
      <c r="B578">
        <v>0</v>
      </c>
      <c r="C578">
        <v>2050</v>
      </c>
      <c r="D578" t="s">
        <v>350</v>
      </c>
      <c r="E578" t="s">
        <v>351</v>
      </c>
      <c r="F578" t="s">
        <v>126</v>
      </c>
      <c r="G578" t="s">
        <v>127</v>
      </c>
      <c r="H578">
        <v>26.423282660335744</v>
      </c>
      <c r="K578" s="4" t="s">
        <v>191</v>
      </c>
      <c r="L578" s="34">
        <v>23.272168529100732</v>
      </c>
    </row>
    <row r="579" spans="1:12" x14ac:dyDescent="0.3">
      <c r="A579" t="s">
        <v>410</v>
      </c>
      <c r="B579">
        <v>0</v>
      </c>
      <c r="C579">
        <v>2050</v>
      </c>
      <c r="D579" t="s">
        <v>352</v>
      </c>
      <c r="E579" t="s">
        <v>353</v>
      </c>
      <c r="F579" t="s">
        <v>126</v>
      </c>
      <c r="G579" t="s">
        <v>127</v>
      </c>
      <c r="H579">
        <v>25.294542436542852</v>
      </c>
      <c r="K579" s="4" t="s">
        <v>194</v>
      </c>
      <c r="L579" s="34">
        <v>26.858148989567557</v>
      </c>
    </row>
    <row r="580" spans="1:12" x14ac:dyDescent="0.3">
      <c r="A580" t="s">
        <v>410</v>
      </c>
      <c r="B580">
        <v>0</v>
      </c>
      <c r="C580">
        <v>2050</v>
      </c>
      <c r="D580" t="s">
        <v>354</v>
      </c>
      <c r="E580" t="s">
        <v>355</v>
      </c>
      <c r="F580" t="s">
        <v>126</v>
      </c>
      <c r="G580" t="s">
        <v>127</v>
      </c>
      <c r="H580">
        <v>27.056689224588986</v>
      </c>
      <c r="K580" s="4" t="s">
        <v>251</v>
      </c>
      <c r="L580" s="34">
        <v>24.471250937026117</v>
      </c>
    </row>
    <row r="581" spans="1:12" x14ac:dyDescent="0.3">
      <c r="A581" t="s">
        <v>410</v>
      </c>
      <c r="B581">
        <v>0</v>
      </c>
      <c r="C581">
        <v>2050</v>
      </c>
      <c r="D581" t="s">
        <v>356</v>
      </c>
      <c r="E581" t="s">
        <v>357</v>
      </c>
      <c r="F581" t="s">
        <v>126</v>
      </c>
      <c r="G581" t="s">
        <v>127</v>
      </c>
      <c r="H581">
        <v>30.389087104862615</v>
      </c>
      <c r="K581" s="4" t="s">
        <v>256</v>
      </c>
      <c r="L581" s="34">
        <v>25.979010256369538</v>
      </c>
    </row>
    <row r="582" spans="1:12" x14ac:dyDescent="0.3">
      <c r="A582" t="s">
        <v>410</v>
      </c>
      <c r="B582">
        <v>0</v>
      </c>
      <c r="C582">
        <v>2050</v>
      </c>
      <c r="D582" t="s">
        <v>358</v>
      </c>
      <c r="E582" t="s">
        <v>359</v>
      </c>
      <c r="F582" t="s">
        <v>126</v>
      </c>
      <c r="G582" t="s">
        <v>127</v>
      </c>
      <c r="H582">
        <v>25.912918043142053</v>
      </c>
      <c r="K582" s="4" t="s">
        <v>273</v>
      </c>
      <c r="L582" s="34">
        <v>28.223116486709074</v>
      </c>
    </row>
    <row r="583" spans="1:12" x14ac:dyDescent="0.3">
      <c r="A583" t="s">
        <v>410</v>
      </c>
      <c r="B583">
        <v>0</v>
      </c>
      <c r="C583">
        <v>2050</v>
      </c>
      <c r="D583" t="s">
        <v>360</v>
      </c>
      <c r="E583" t="s">
        <v>361</v>
      </c>
      <c r="F583" t="s">
        <v>126</v>
      </c>
      <c r="G583" t="s">
        <v>127</v>
      </c>
      <c r="H583">
        <v>25.872330295101037</v>
      </c>
      <c r="K583" s="4" t="s">
        <v>277</v>
      </c>
      <c r="L583" s="34">
        <v>27.339192885519761</v>
      </c>
    </row>
    <row r="584" spans="1:12" x14ac:dyDescent="0.3">
      <c r="A584" t="s">
        <v>410</v>
      </c>
      <c r="B584">
        <v>0</v>
      </c>
      <c r="C584">
        <v>2050</v>
      </c>
      <c r="D584" t="s">
        <v>362</v>
      </c>
      <c r="E584" t="s">
        <v>363</v>
      </c>
      <c r="F584" t="s">
        <v>126</v>
      </c>
      <c r="G584" t="s">
        <v>127</v>
      </c>
      <c r="H584">
        <v>26.480601280739261</v>
      </c>
      <c r="K584" s="4" t="s">
        <v>289</v>
      </c>
      <c r="L584" s="34">
        <v>28.420808781190754</v>
      </c>
    </row>
    <row r="585" spans="1:12" x14ac:dyDescent="0.3">
      <c r="A585" t="s">
        <v>410</v>
      </c>
      <c r="B585">
        <v>0</v>
      </c>
      <c r="C585">
        <v>2050</v>
      </c>
      <c r="D585" t="s">
        <v>364</v>
      </c>
      <c r="E585" t="s">
        <v>365</v>
      </c>
      <c r="F585" t="s">
        <v>126</v>
      </c>
      <c r="G585" t="s">
        <v>127</v>
      </c>
      <c r="H585">
        <v>26.001602828147174</v>
      </c>
      <c r="K585" s="4" t="s">
        <v>306</v>
      </c>
      <c r="L585" s="34">
        <v>29.289590170672806</v>
      </c>
    </row>
    <row r="586" spans="1:12" x14ac:dyDescent="0.3">
      <c r="A586" t="s">
        <v>410</v>
      </c>
      <c r="B586">
        <v>0</v>
      </c>
      <c r="C586">
        <v>2050</v>
      </c>
      <c r="D586" t="s">
        <v>366</v>
      </c>
      <c r="E586" t="s">
        <v>367</v>
      </c>
      <c r="F586" t="s">
        <v>126</v>
      </c>
      <c r="G586" t="s">
        <v>127</v>
      </c>
      <c r="H586">
        <v>25.560331862594982</v>
      </c>
      <c r="K586" s="4" t="s">
        <v>310</v>
      </c>
      <c r="L586" s="34">
        <v>23.502625183525581</v>
      </c>
    </row>
    <row r="587" spans="1:12" x14ac:dyDescent="0.3">
      <c r="A587" t="s">
        <v>410</v>
      </c>
      <c r="B587">
        <v>0</v>
      </c>
      <c r="C587">
        <v>2050</v>
      </c>
      <c r="D587" t="s">
        <v>368</v>
      </c>
      <c r="E587" t="s">
        <v>369</v>
      </c>
      <c r="F587" t="s">
        <v>126</v>
      </c>
      <c r="G587" t="s">
        <v>127</v>
      </c>
      <c r="H587">
        <v>26.336973123643922</v>
      </c>
      <c r="K587" s="4" t="s">
        <v>311</v>
      </c>
      <c r="L587" s="34">
        <v>24.133461578759725</v>
      </c>
    </row>
    <row r="588" spans="1:12" x14ac:dyDescent="0.3">
      <c r="A588" t="s">
        <v>410</v>
      </c>
      <c r="B588">
        <v>0</v>
      </c>
      <c r="C588">
        <v>2050</v>
      </c>
      <c r="D588" t="s">
        <v>370</v>
      </c>
      <c r="E588" t="s">
        <v>371</v>
      </c>
      <c r="F588" t="s">
        <v>126</v>
      </c>
      <c r="G588" t="s">
        <v>127</v>
      </c>
      <c r="H588">
        <v>30.009876312551917</v>
      </c>
      <c r="K588" s="4" t="s">
        <v>312</v>
      </c>
      <c r="L588" s="34">
        <v>26.572190458813509</v>
      </c>
    </row>
    <row r="589" spans="1:12" x14ac:dyDescent="0.3">
      <c r="A589" t="s">
        <v>410</v>
      </c>
      <c r="B589">
        <v>0</v>
      </c>
      <c r="C589">
        <v>2050</v>
      </c>
      <c r="D589" t="s">
        <v>373</v>
      </c>
      <c r="E589" t="s">
        <v>374</v>
      </c>
      <c r="F589" t="s">
        <v>126</v>
      </c>
      <c r="G589" t="s">
        <v>127</v>
      </c>
      <c r="H589">
        <v>25.378886492609134</v>
      </c>
      <c r="K589" s="4" t="s">
        <v>313</v>
      </c>
      <c r="L589" s="34">
        <v>26.17273079204902</v>
      </c>
    </row>
    <row r="590" spans="1:12" x14ac:dyDescent="0.3">
      <c r="A590" t="s">
        <v>410</v>
      </c>
      <c r="B590">
        <v>0</v>
      </c>
      <c r="C590">
        <v>2050</v>
      </c>
      <c r="D590" t="s">
        <v>375</v>
      </c>
      <c r="E590" t="s">
        <v>376</v>
      </c>
      <c r="F590" t="s">
        <v>126</v>
      </c>
      <c r="G590" t="s">
        <v>127</v>
      </c>
      <c r="H590">
        <v>28.318580145552286</v>
      </c>
      <c r="K590" s="4" t="s">
        <v>315</v>
      </c>
      <c r="L590" s="34">
        <v>27.318779775019294</v>
      </c>
    </row>
    <row r="591" spans="1:12" x14ac:dyDescent="0.3">
      <c r="A591" t="s">
        <v>410</v>
      </c>
      <c r="B591">
        <v>0</v>
      </c>
      <c r="C591">
        <v>2050</v>
      </c>
      <c r="D591" t="s">
        <v>377</v>
      </c>
      <c r="E591" t="s">
        <v>378</v>
      </c>
      <c r="F591" t="s">
        <v>126</v>
      </c>
      <c r="G591" t="s">
        <v>127</v>
      </c>
      <c r="H591">
        <v>26.134516437903791</v>
      </c>
      <c r="K591" s="4" t="s">
        <v>329</v>
      </c>
      <c r="L591" s="34">
        <v>25.851776771793151</v>
      </c>
    </row>
    <row r="592" spans="1:12" x14ac:dyDescent="0.3">
      <c r="A592" t="s">
        <v>410</v>
      </c>
      <c r="B592">
        <v>0</v>
      </c>
      <c r="C592">
        <v>2050</v>
      </c>
      <c r="D592" t="s">
        <v>379</v>
      </c>
      <c r="E592" t="s">
        <v>380</v>
      </c>
      <c r="F592" t="s">
        <v>126</v>
      </c>
      <c r="G592" t="s">
        <v>127</v>
      </c>
      <c r="H592">
        <v>26.28217027559759</v>
      </c>
      <c r="K592" s="4" t="s">
        <v>331</v>
      </c>
      <c r="L592" s="34">
        <v>24.686752389773137</v>
      </c>
    </row>
    <row r="593" spans="1:12" x14ac:dyDescent="0.3">
      <c r="A593" t="s">
        <v>410</v>
      </c>
      <c r="B593">
        <v>0</v>
      </c>
      <c r="C593">
        <v>2050</v>
      </c>
      <c r="D593" t="s">
        <v>381</v>
      </c>
      <c r="E593" t="s">
        <v>382</v>
      </c>
      <c r="F593" t="s">
        <v>126</v>
      </c>
      <c r="G593" t="s">
        <v>127</v>
      </c>
      <c r="H593">
        <v>26.801671316089724</v>
      </c>
      <c r="K593" s="4" t="s">
        <v>333</v>
      </c>
      <c r="L593" s="34">
        <v>23.573095201593087</v>
      </c>
    </row>
    <row r="594" spans="1:12" x14ac:dyDescent="0.3">
      <c r="A594" t="s">
        <v>410</v>
      </c>
      <c r="B594">
        <v>0</v>
      </c>
      <c r="C594">
        <v>2050</v>
      </c>
      <c r="D594" t="s">
        <v>383</v>
      </c>
      <c r="E594" t="s">
        <v>384</v>
      </c>
      <c r="F594" t="s">
        <v>126</v>
      </c>
      <c r="G594" t="s">
        <v>127</v>
      </c>
      <c r="H594">
        <v>26.482736883472537</v>
      </c>
      <c r="K594" s="4" t="s">
        <v>337</v>
      </c>
      <c r="L594" s="34">
        <v>24.869715100705697</v>
      </c>
    </row>
    <row r="595" spans="1:12" x14ac:dyDescent="0.3">
      <c r="A595" t="s">
        <v>410</v>
      </c>
      <c r="B595">
        <v>0</v>
      </c>
      <c r="C595">
        <v>2050</v>
      </c>
      <c r="D595" t="s">
        <v>385</v>
      </c>
      <c r="E595" t="s">
        <v>386</v>
      </c>
      <c r="F595" t="s">
        <v>126</v>
      </c>
      <c r="G595" t="s">
        <v>127</v>
      </c>
      <c r="H595">
        <v>26.974471342157333</v>
      </c>
      <c r="K595" s="4" t="s">
        <v>339</v>
      </c>
      <c r="L595" s="34">
        <v>29.21176407636581</v>
      </c>
    </row>
    <row r="596" spans="1:12" x14ac:dyDescent="0.3">
      <c r="A596" t="s">
        <v>410</v>
      </c>
      <c r="B596">
        <v>0</v>
      </c>
      <c r="C596">
        <v>2050</v>
      </c>
      <c r="D596" t="s">
        <v>55</v>
      </c>
      <c r="E596" t="s">
        <v>56</v>
      </c>
      <c r="F596" t="s">
        <v>126</v>
      </c>
      <c r="G596" t="s">
        <v>127</v>
      </c>
      <c r="H596">
        <v>26.030000386826842</v>
      </c>
      <c r="K596" s="4" t="s">
        <v>341</v>
      </c>
      <c r="L596" s="34">
        <v>25.503101909688628</v>
      </c>
    </row>
    <row r="597" spans="1:12" x14ac:dyDescent="0.3">
      <c r="A597" t="s">
        <v>410</v>
      </c>
      <c r="B597">
        <v>0</v>
      </c>
      <c r="C597">
        <v>2050</v>
      </c>
      <c r="D597" t="s">
        <v>387</v>
      </c>
      <c r="E597" t="s">
        <v>388</v>
      </c>
      <c r="F597" t="s">
        <v>126</v>
      </c>
      <c r="G597" t="s">
        <v>127</v>
      </c>
      <c r="H597">
        <v>34.790672054843128</v>
      </c>
      <c r="K597" s="4" t="s">
        <v>347</v>
      </c>
      <c r="L597" s="34">
        <v>27.615560908768234</v>
      </c>
    </row>
    <row r="598" spans="1:12" x14ac:dyDescent="0.3">
      <c r="A598" t="s">
        <v>410</v>
      </c>
      <c r="B598">
        <v>0</v>
      </c>
      <c r="C598">
        <v>2050</v>
      </c>
      <c r="D598" t="s">
        <v>389</v>
      </c>
      <c r="E598" t="s">
        <v>390</v>
      </c>
      <c r="F598" t="s">
        <v>126</v>
      </c>
      <c r="G598" t="s">
        <v>127</v>
      </c>
      <c r="H598">
        <v>30.173080146138116</v>
      </c>
      <c r="K598" s="4" t="s">
        <v>349</v>
      </c>
      <c r="L598" s="34">
        <v>26.605423796270664</v>
      </c>
    </row>
    <row r="599" spans="1:12" x14ac:dyDescent="0.3">
      <c r="K599" s="4" t="s">
        <v>351</v>
      </c>
      <c r="L599" s="34">
        <v>26.423282660335744</v>
      </c>
    </row>
    <row r="600" spans="1:12" x14ac:dyDescent="0.3">
      <c r="K600" s="4" t="s">
        <v>353</v>
      </c>
      <c r="L600" s="34">
        <v>25.294542436542852</v>
      </c>
    </row>
    <row r="601" spans="1:12" x14ac:dyDescent="0.3">
      <c r="K601" s="4" t="s">
        <v>355</v>
      </c>
      <c r="L601" s="34">
        <v>27.056689224588986</v>
      </c>
    </row>
    <row r="602" spans="1:12" x14ac:dyDescent="0.3">
      <c r="K602" s="4" t="s">
        <v>357</v>
      </c>
      <c r="L602" s="34">
        <v>30.389087104862615</v>
      </c>
    </row>
    <row r="603" spans="1:12" x14ac:dyDescent="0.3">
      <c r="K603" s="4" t="s">
        <v>359</v>
      </c>
      <c r="L603" s="34">
        <v>25.912918043142053</v>
      </c>
    </row>
    <row r="604" spans="1:12" x14ac:dyDescent="0.3">
      <c r="K604" s="4" t="s">
        <v>361</v>
      </c>
      <c r="L604" s="34">
        <v>25.872330295101037</v>
      </c>
    </row>
    <row r="605" spans="1:12" x14ac:dyDescent="0.3">
      <c r="K605" s="4" t="s">
        <v>363</v>
      </c>
      <c r="L605" s="34">
        <v>26.480601280739261</v>
      </c>
    </row>
    <row r="606" spans="1:12" x14ac:dyDescent="0.3">
      <c r="K606" s="4" t="s">
        <v>365</v>
      </c>
      <c r="L606" s="34">
        <v>26.001602828147174</v>
      </c>
    </row>
    <row r="607" spans="1:12" x14ac:dyDescent="0.3">
      <c r="K607" s="4" t="s">
        <v>367</v>
      </c>
      <c r="L607" s="34">
        <v>25.560331862594982</v>
      </c>
    </row>
    <row r="608" spans="1:12" x14ac:dyDescent="0.3">
      <c r="K608" s="4" t="s">
        <v>369</v>
      </c>
      <c r="L608" s="34">
        <v>26.336973123643922</v>
      </c>
    </row>
    <row r="609" spans="11:12" x14ac:dyDescent="0.3">
      <c r="K609" s="4" t="s">
        <v>371</v>
      </c>
      <c r="L609" s="34">
        <v>30.009876312551917</v>
      </c>
    </row>
    <row r="610" spans="11:12" x14ac:dyDescent="0.3">
      <c r="K610" s="4" t="s">
        <v>374</v>
      </c>
      <c r="L610" s="34">
        <v>25.378886492609134</v>
      </c>
    </row>
    <row r="611" spans="11:12" x14ac:dyDescent="0.3">
      <c r="K611" s="4" t="s">
        <v>376</v>
      </c>
      <c r="L611" s="34">
        <v>28.318580145552286</v>
      </c>
    </row>
    <row r="612" spans="11:12" x14ac:dyDescent="0.3">
      <c r="K612" s="4" t="s">
        <v>378</v>
      </c>
      <c r="L612" s="34">
        <v>26.134516437903791</v>
      </c>
    </row>
    <row r="613" spans="11:12" x14ac:dyDescent="0.3">
      <c r="K613" s="4" t="s">
        <v>380</v>
      </c>
      <c r="L613" s="34">
        <v>26.28217027559759</v>
      </c>
    </row>
    <row r="614" spans="11:12" x14ac:dyDescent="0.3">
      <c r="K614" s="4" t="s">
        <v>382</v>
      </c>
      <c r="L614" s="34">
        <v>26.801671316089724</v>
      </c>
    </row>
    <row r="615" spans="11:12" x14ac:dyDescent="0.3">
      <c r="K615" s="4" t="s">
        <v>384</v>
      </c>
      <c r="L615" s="34">
        <v>26.482736883472537</v>
      </c>
    </row>
    <row r="616" spans="11:12" x14ac:dyDescent="0.3">
      <c r="K616" s="4" t="s">
        <v>386</v>
      </c>
      <c r="L616" s="34">
        <v>26.974471342157333</v>
      </c>
    </row>
    <row r="617" spans="11:12" x14ac:dyDescent="0.3">
      <c r="K617" s="4" t="s">
        <v>388</v>
      </c>
      <c r="L617" s="34">
        <v>34.790672054843128</v>
      </c>
    </row>
    <row r="618" spans="11:12" x14ac:dyDescent="0.3">
      <c r="K618" s="4" t="s">
        <v>390</v>
      </c>
      <c r="L618" s="34">
        <v>30.173080146138116</v>
      </c>
    </row>
    <row r="619" spans="11:12" x14ac:dyDescent="0.3">
      <c r="K619" s="2" t="s">
        <v>34</v>
      </c>
      <c r="L619" s="34">
        <v>32.271173472541584</v>
      </c>
    </row>
  </sheetData>
  <phoneticPr fontId="1" type="noConversion"/>
  <pageMargins left="0.7" right="0.7" top="0.75" bottom="0.75" header="0.3" footer="0.3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B78D6-7E49-4397-97E8-AAE4083B54A5}">
  <sheetPr codeName="Sheet9">
    <tabColor theme="4" tint="0.59999389629810485"/>
  </sheetPr>
  <dimension ref="A1:Z10"/>
  <sheetViews>
    <sheetView workbookViewId="0">
      <selection activeCell="P19" sqref="P19"/>
    </sheetView>
  </sheetViews>
  <sheetFormatPr defaultRowHeight="14.4" x14ac:dyDescent="0.3"/>
  <cols>
    <col min="1" max="1" width="17.44140625" bestFit="1" customWidth="1"/>
    <col min="2" max="2" width="10.6640625" bestFit="1" customWidth="1"/>
    <col min="3" max="3" width="5" bestFit="1" customWidth="1"/>
    <col min="4" max="4" width="10.21875" bestFit="1" customWidth="1"/>
    <col min="5" max="5" width="5" bestFit="1" customWidth="1"/>
    <col min="6" max="6" width="6.88671875" bestFit="1" customWidth="1"/>
    <col min="7" max="7" width="41.6640625" bestFit="1" customWidth="1"/>
    <col min="8" max="8" width="8" bestFit="1" customWidth="1"/>
    <col min="9" max="9" width="13.44140625" bestFit="1" customWidth="1"/>
    <col min="10" max="10" width="6.77734375" bestFit="1" customWidth="1"/>
    <col min="11" max="11" width="12.6640625" bestFit="1" customWidth="1"/>
    <col min="16" max="16" width="18.88671875" bestFit="1" customWidth="1"/>
    <col min="17" max="17" width="16.33203125" bestFit="1" customWidth="1"/>
    <col min="18" max="18" width="12.6640625" bestFit="1" customWidth="1"/>
    <col min="19" max="21" width="12" bestFit="1" customWidth="1"/>
    <col min="22" max="22" width="12.6640625" bestFit="1" customWidth="1"/>
    <col min="23" max="23" width="12" bestFit="1" customWidth="1"/>
    <col min="24" max="25" width="12.6640625" bestFit="1" customWidth="1"/>
    <col min="26" max="76" width="12" bestFit="1" customWidth="1"/>
  </cols>
  <sheetData>
    <row r="1" spans="1:26" x14ac:dyDescent="0.3">
      <c r="A1" t="s">
        <v>1</v>
      </c>
      <c r="B1" t="s">
        <v>37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9</v>
      </c>
      <c r="J1" t="s">
        <v>10</v>
      </c>
      <c r="K1" t="s">
        <v>0</v>
      </c>
    </row>
    <row r="2" spans="1:26" x14ac:dyDescent="0.3">
      <c r="A2" t="s">
        <v>662</v>
      </c>
      <c r="B2">
        <v>-1</v>
      </c>
      <c r="C2">
        <v>2050</v>
      </c>
      <c r="D2" t="s">
        <v>346</v>
      </c>
      <c r="E2" t="s">
        <v>401</v>
      </c>
      <c r="F2" t="s">
        <v>614</v>
      </c>
      <c r="G2" t="s">
        <v>43</v>
      </c>
      <c r="H2" t="s">
        <v>40</v>
      </c>
      <c r="I2" t="s">
        <v>27</v>
      </c>
      <c r="J2" t="s">
        <v>157</v>
      </c>
      <c r="K2">
        <v>-5.9860505124171529E-14</v>
      </c>
    </row>
    <row r="3" spans="1:26" x14ac:dyDescent="0.3">
      <c r="A3" t="s">
        <v>662</v>
      </c>
      <c r="B3">
        <v>-1</v>
      </c>
      <c r="C3">
        <v>2050</v>
      </c>
      <c r="D3" t="s">
        <v>346</v>
      </c>
      <c r="E3" t="s">
        <v>404</v>
      </c>
      <c r="F3" t="s">
        <v>617</v>
      </c>
      <c r="G3" t="s">
        <v>43</v>
      </c>
      <c r="H3" t="s">
        <v>40</v>
      </c>
      <c r="I3" t="s">
        <v>27</v>
      </c>
      <c r="J3" t="s">
        <v>157</v>
      </c>
      <c r="K3">
        <v>9.5776808198674446E-13</v>
      </c>
      <c r="P3" s="1" t="s">
        <v>35</v>
      </c>
      <c r="Q3" s="1" t="s">
        <v>36</v>
      </c>
    </row>
    <row r="4" spans="1:26" x14ac:dyDescent="0.3">
      <c r="A4" t="s">
        <v>662</v>
      </c>
      <c r="B4">
        <v>-1</v>
      </c>
      <c r="C4">
        <v>2050</v>
      </c>
      <c r="D4" t="s">
        <v>346</v>
      </c>
      <c r="E4" t="s">
        <v>405</v>
      </c>
      <c r="F4" t="s">
        <v>618</v>
      </c>
      <c r="G4" t="s">
        <v>43</v>
      </c>
      <c r="H4" t="s">
        <v>40</v>
      </c>
      <c r="I4" t="s">
        <v>27</v>
      </c>
      <c r="J4" t="s">
        <v>157</v>
      </c>
      <c r="K4">
        <v>-5.9860505124171529E-14</v>
      </c>
      <c r="P4" s="1" t="s">
        <v>33</v>
      </c>
      <c r="Q4" t="s">
        <v>357</v>
      </c>
      <c r="R4" t="s">
        <v>359</v>
      </c>
      <c r="S4" t="s">
        <v>365</v>
      </c>
      <c r="T4" t="s">
        <v>388</v>
      </c>
      <c r="U4" t="s">
        <v>404</v>
      </c>
      <c r="V4" t="s">
        <v>405</v>
      </c>
      <c r="W4" t="s">
        <v>406</v>
      </c>
      <c r="X4" t="s">
        <v>407</v>
      </c>
      <c r="Y4" t="s">
        <v>401</v>
      </c>
      <c r="Z4" t="s">
        <v>34</v>
      </c>
    </row>
    <row r="5" spans="1:26" x14ac:dyDescent="0.3">
      <c r="A5" t="s">
        <v>662</v>
      </c>
      <c r="B5">
        <v>-1</v>
      </c>
      <c r="C5">
        <v>2050</v>
      </c>
      <c r="D5" t="s">
        <v>346</v>
      </c>
      <c r="E5" t="s">
        <v>406</v>
      </c>
      <c r="F5" t="s">
        <v>619</v>
      </c>
      <c r="G5" t="s">
        <v>43</v>
      </c>
      <c r="H5" t="s">
        <v>40</v>
      </c>
      <c r="I5" t="s">
        <v>27</v>
      </c>
      <c r="J5" t="s">
        <v>157</v>
      </c>
      <c r="K5">
        <v>2.9930252562085764E-14</v>
      </c>
      <c r="P5" s="2" t="s">
        <v>662</v>
      </c>
      <c r="Q5" s="34">
        <v>1.1972101024834306E-13</v>
      </c>
      <c r="R5" s="34">
        <v>-1.4965126281042882E-14</v>
      </c>
      <c r="S5" s="34">
        <v>7.4825631405214411E-15</v>
      </c>
      <c r="T5" s="34">
        <v>18.685088679114198</v>
      </c>
      <c r="U5" s="34">
        <v>9.5776808198674446E-13</v>
      </c>
      <c r="V5" s="34">
        <v>-5.9860505124171529E-14</v>
      </c>
      <c r="W5" s="34">
        <v>2.9930252562085764E-14</v>
      </c>
      <c r="X5" s="34">
        <v>-5.9860505124171529E-14</v>
      </c>
      <c r="Y5" s="34">
        <v>-5.9860505124171529E-14</v>
      </c>
      <c r="Z5" s="34">
        <v>18.685088679115118</v>
      </c>
    </row>
    <row r="6" spans="1:26" x14ac:dyDescent="0.3">
      <c r="A6" t="s">
        <v>662</v>
      </c>
      <c r="B6">
        <v>-1</v>
      </c>
      <c r="C6">
        <v>2050</v>
      </c>
      <c r="D6" t="s">
        <v>346</v>
      </c>
      <c r="E6" t="s">
        <v>407</v>
      </c>
      <c r="F6" t="s">
        <v>620</v>
      </c>
      <c r="G6" t="s">
        <v>43</v>
      </c>
      <c r="H6" t="s">
        <v>40</v>
      </c>
      <c r="I6" t="s">
        <v>27</v>
      </c>
      <c r="J6" t="s">
        <v>157</v>
      </c>
      <c r="K6">
        <v>-5.9860505124171529E-14</v>
      </c>
      <c r="P6" s="3">
        <v>-1</v>
      </c>
      <c r="Q6" s="34">
        <v>1.1972101024834306E-13</v>
      </c>
      <c r="R6" s="34">
        <v>-1.4965126281042882E-14</v>
      </c>
      <c r="S6" s="34">
        <v>7.4825631405214411E-15</v>
      </c>
      <c r="T6" s="34">
        <v>18.685088679114198</v>
      </c>
      <c r="U6" s="34">
        <v>9.5776808198674446E-13</v>
      </c>
      <c r="V6" s="34">
        <v>-5.9860505124171529E-14</v>
      </c>
      <c r="W6" s="34">
        <v>2.9930252562085764E-14</v>
      </c>
      <c r="X6" s="34">
        <v>-5.9860505124171529E-14</v>
      </c>
      <c r="Y6" s="34">
        <v>-5.9860505124171529E-14</v>
      </c>
      <c r="Z6" s="34">
        <v>18.685088679115118</v>
      </c>
    </row>
    <row r="7" spans="1:26" x14ac:dyDescent="0.3">
      <c r="A7" t="s">
        <v>662</v>
      </c>
      <c r="B7">
        <v>-1</v>
      </c>
      <c r="C7">
        <v>2050</v>
      </c>
      <c r="D7" t="s">
        <v>356</v>
      </c>
      <c r="E7" t="s">
        <v>357</v>
      </c>
      <c r="F7" t="s">
        <v>573</v>
      </c>
      <c r="G7" t="s">
        <v>43</v>
      </c>
      <c r="H7" t="s">
        <v>40</v>
      </c>
      <c r="I7" t="s">
        <v>27</v>
      </c>
      <c r="J7" t="s">
        <v>157</v>
      </c>
      <c r="K7">
        <v>1.1972101024834306E-13</v>
      </c>
      <c r="P7" s="4">
        <v>2050</v>
      </c>
      <c r="Q7" s="34">
        <v>1.1972101024834306E-13</v>
      </c>
      <c r="R7" s="34">
        <v>-1.4965126281042882E-14</v>
      </c>
      <c r="S7" s="34">
        <v>7.4825631405214411E-15</v>
      </c>
      <c r="T7" s="34">
        <v>18.685088679114198</v>
      </c>
      <c r="U7" s="34">
        <v>9.5776808198674446E-13</v>
      </c>
      <c r="V7" s="34">
        <v>-5.9860505124171529E-14</v>
      </c>
      <c r="W7" s="34">
        <v>2.9930252562085764E-14</v>
      </c>
      <c r="X7" s="34">
        <v>-5.9860505124171529E-14</v>
      </c>
      <c r="Y7" s="34">
        <v>-5.9860505124171529E-14</v>
      </c>
      <c r="Z7" s="34">
        <v>18.685088679115118</v>
      </c>
    </row>
    <row r="8" spans="1:26" x14ac:dyDescent="0.3">
      <c r="A8" t="s">
        <v>662</v>
      </c>
      <c r="B8">
        <v>-1</v>
      </c>
      <c r="C8">
        <v>2050</v>
      </c>
      <c r="D8" t="s">
        <v>358</v>
      </c>
      <c r="E8" t="s">
        <v>359</v>
      </c>
      <c r="F8" t="s">
        <v>574</v>
      </c>
      <c r="G8" t="s">
        <v>43</v>
      </c>
      <c r="H8" t="s">
        <v>40</v>
      </c>
      <c r="I8" t="s">
        <v>27</v>
      </c>
      <c r="J8" t="s">
        <v>157</v>
      </c>
      <c r="K8">
        <v>-1.4965126281042882E-14</v>
      </c>
      <c r="P8" s="2" t="s">
        <v>34</v>
      </c>
      <c r="Q8" s="34">
        <v>1.1972101024834306E-13</v>
      </c>
      <c r="R8" s="34">
        <v>-1.4965126281042882E-14</v>
      </c>
      <c r="S8" s="34">
        <v>7.4825631405214411E-15</v>
      </c>
      <c r="T8" s="34">
        <v>18.685088679114198</v>
      </c>
      <c r="U8" s="34">
        <v>9.5776808198674446E-13</v>
      </c>
      <c r="V8" s="34">
        <v>-5.9860505124171529E-14</v>
      </c>
      <c r="W8" s="34">
        <v>2.9930252562085764E-14</v>
      </c>
      <c r="X8" s="34">
        <v>-5.9860505124171529E-14</v>
      </c>
      <c r="Y8" s="34">
        <v>-5.9860505124171529E-14</v>
      </c>
      <c r="Z8" s="34">
        <v>18.685088679115118</v>
      </c>
    </row>
    <row r="9" spans="1:26" x14ac:dyDescent="0.3">
      <c r="A9" t="s">
        <v>662</v>
      </c>
      <c r="B9">
        <v>-1</v>
      </c>
      <c r="C9">
        <v>2050</v>
      </c>
      <c r="D9" t="s">
        <v>364</v>
      </c>
      <c r="E9" t="s">
        <v>365</v>
      </c>
      <c r="F9" t="s">
        <v>577</v>
      </c>
      <c r="G9" t="s">
        <v>43</v>
      </c>
      <c r="H9" t="s">
        <v>40</v>
      </c>
      <c r="I9" t="s">
        <v>27</v>
      </c>
      <c r="J9" t="s">
        <v>157</v>
      </c>
      <c r="K9">
        <v>7.4825631405214411E-15</v>
      </c>
    </row>
    <row r="10" spans="1:26" x14ac:dyDescent="0.3">
      <c r="A10" t="s">
        <v>662</v>
      </c>
      <c r="B10">
        <v>-1</v>
      </c>
      <c r="C10">
        <v>2050</v>
      </c>
      <c r="D10" t="s">
        <v>387</v>
      </c>
      <c r="E10" t="s">
        <v>388</v>
      </c>
      <c r="F10" t="s">
        <v>589</v>
      </c>
      <c r="G10" t="s">
        <v>591</v>
      </c>
      <c r="H10" t="s">
        <v>40</v>
      </c>
      <c r="I10" t="s">
        <v>27</v>
      </c>
      <c r="J10" t="s">
        <v>157</v>
      </c>
      <c r="K10">
        <v>18.685088679114198</v>
      </c>
    </row>
  </sheetData>
  <pageMargins left="0.7" right="0.7" top="0.75" bottom="0.75" header="0.3" footer="0.3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CFA05-4F32-4A37-80BB-C4DB100AB778}">
  <sheetPr codeName="Sheet10">
    <tabColor theme="7" tint="0.59999389629810485"/>
  </sheetPr>
  <dimension ref="A1:R192"/>
  <sheetViews>
    <sheetView topLeftCell="E1" workbookViewId="0">
      <selection activeCell="L17" sqref="L17"/>
    </sheetView>
  </sheetViews>
  <sheetFormatPr defaultRowHeight="14.4" x14ac:dyDescent="0.3"/>
  <cols>
    <col min="1" max="1" width="17.44140625" bestFit="1" customWidth="1"/>
    <col min="2" max="2" width="10.6640625" bestFit="1" customWidth="1"/>
    <col min="3" max="3" width="5" bestFit="1" customWidth="1"/>
    <col min="4" max="4" width="26.21875" bestFit="1" customWidth="1"/>
    <col min="5" max="5" width="5.44140625" bestFit="1" customWidth="1"/>
    <col min="6" max="6" width="15.6640625" bestFit="1" customWidth="1"/>
    <col min="7" max="7" width="6.77734375" bestFit="1" customWidth="1"/>
    <col min="8" max="8" width="12.6640625" bestFit="1" customWidth="1"/>
    <col min="12" max="12" width="31.21875" bestFit="1" customWidth="1"/>
    <col min="13" max="13" width="16.33203125" bestFit="1" customWidth="1"/>
    <col min="14" max="14" width="14.5546875" bestFit="1" customWidth="1"/>
    <col min="15" max="15" width="12.77734375" bestFit="1" customWidth="1"/>
    <col min="16" max="16" width="16" bestFit="1" customWidth="1"/>
    <col min="17" max="17" width="12.6640625" bestFit="1" customWidth="1"/>
    <col min="18" max="18" width="12" bestFit="1" customWidth="1"/>
  </cols>
  <sheetData>
    <row r="1" spans="1:18" x14ac:dyDescent="0.3">
      <c r="A1" t="s">
        <v>1</v>
      </c>
      <c r="B1" t="s">
        <v>37</v>
      </c>
      <c r="C1" t="s">
        <v>2</v>
      </c>
      <c r="D1" t="s">
        <v>3</v>
      </c>
      <c r="E1" t="s">
        <v>4</v>
      </c>
      <c r="F1" t="s">
        <v>50</v>
      </c>
      <c r="G1" t="s">
        <v>10</v>
      </c>
      <c r="H1" t="s">
        <v>0</v>
      </c>
    </row>
    <row r="2" spans="1:18" x14ac:dyDescent="0.3">
      <c r="A2" t="s">
        <v>662</v>
      </c>
      <c r="B2">
        <v>-1</v>
      </c>
      <c r="C2">
        <v>2050</v>
      </c>
      <c r="D2" t="s">
        <v>167</v>
      </c>
      <c r="E2" t="s">
        <v>187</v>
      </c>
      <c r="F2" t="s">
        <v>46</v>
      </c>
      <c r="G2" t="s">
        <v>15</v>
      </c>
      <c r="H2">
        <v>23.391560711871932</v>
      </c>
    </row>
    <row r="3" spans="1:18" x14ac:dyDescent="0.3">
      <c r="A3" t="s">
        <v>662</v>
      </c>
      <c r="B3">
        <v>-1</v>
      </c>
      <c r="C3">
        <v>2050</v>
      </c>
      <c r="D3" t="s">
        <v>167</v>
      </c>
      <c r="E3" t="s">
        <v>187</v>
      </c>
      <c r="F3" t="s">
        <v>420</v>
      </c>
      <c r="G3" t="s">
        <v>15</v>
      </c>
      <c r="H3">
        <v>1.2232121037337513</v>
      </c>
    </row>
    <row r="4" spans="1:18" x14ac:dyDescent="0.3">
      <c r="A4" t="s">
        <v>662</v>
      </c>
      <c r="B4">
        <v>-1</v>
      </c>
      <c r="C4">
        <v>2050</v>
      </c>
      <c r="D4" t="s">
        <v>167</v>
      </c>
      <c r="E4" t="s">
        <v>187</v>
      </c>
      <c r="F4" t="s">
        <v>421</v>
      </c>
      <c r="G4" t="s">
        <v>15</v>
      </c>
      <c r="H4">
        <v>0.23355289030621235</v>
      </c>
    </row>
    <row r="5" spans="1:18" x14ac:dyDescent="0.3">
      <c r="A5" t="s">
        <v>662</v>
      </c>
      <c r="B5">
        <v>-1</v>
      </c>
      <c r="C5">
        <v>2050</v>
      </c>
      <c r="D5" t="s">
        <v>167</v>
      </c>
      <c r="E5" t="s">
        <v>187</v>
      </c>
      <c r="F5" t="s">
        <v>422</v>
      </c>
      <c r="G5" t="s">
        <v>15</v>
      </c>
      <c r="H5">
        <v>3.9149101968913125</v>
      </c>
    </row>
    <row r="6" spans="1:18" x14ac:dyDescent="0.3">
      <c r="A6" t="s">
        <v>662</v>
      </c>
      <c r="B6">
        <v>-1</v>
      </c>
      <c r="C6">
        <v>2050</v>
      </c>
      <c r="D6" t="s">
        <v>167</v>
      </c>
      <c r="E6" t="s">
        <v>191</v>
      </c>
      <c r="F6" t="s">
        <v>46</v>
      </c>
      <c r="G6" t="s">
        <v>15</v>
      </c>
      <c r="H6">
        <v>16.774104522047079</v>
      </c>
    </row>
    <row r="7" spans="1:18" x14ac:dyDescent="0.3">
      <c r="A7" t="s">
        <v>662</v>
      </c>
      <c r="B7">
        <v>-1</v>
      </c>
      <c r="C7">
        <v>2050</v>
      </c>
      <c r="D7" t="s">
        <v>167</v>
      </c>
      <c r="E7" t="s">
        <v>191</v>
      </c>
      <c r="F7" t="s">
        <v>420</v>
      </c>
      <c r="G7" t="s">
        <v>15</v>
      </c>
      <c r="H7">
        <v>0.87716625382116498</v>
      </c>
    </row>
    <row r="8" spans="1:18" x14ac:dyDescent="0.3">
      <c r="A8" t="s">
        <v>662</v>
      </c>
      <c r="B8">
        <v>-1</v>
      </c>
      <c r="C8">
        <v>2050</v>
      </c>
      <c r="D8" t="s">
        <v>167</v>
      </c>
      <c r="E8" t="s">
        <v>191</v>
      </c>
      <c r="F8" t="s">
        <v>421</v>
      </c>
      <c r="G8" t="s">
        <v>15</v>
      </c>
      <c r="H8">
        <v>7.0398199094703309E-2</v>
      </c>
      <c r="L8" s="1" t="s">
        <v>35</v>
      </c>
      <c r="M8" s="1" t="s">
        <v>36</v>
      </c>
    </row>
    <row r="9" spans="1:18" x14ac:dyDescent="0.3">
      <c r="A9" t="s">
        <v>662</v>
      </c>
      <c r="B9">
        <v>-1</v>
      </c>
      <c r="C9">
        <v>2050</v>
      </c>
      <c r="D9" t="s">
        <v>167</v>
      </c>
      <c r="E9" t="s">
        <v>191</v>
      </c>
      <c r="F9" t="s">
        <v>422</v>
      </c>
      <c r="G9" t="s">
        <v>15</v>
      </c>
      <c r="H9">
        <v>20.128730014883303</v>
      </c>
      <c r="L9" s="1" t="s">
        <v>33</v>
      </c>
      <c r="M9" t="s">
        <v>46</v>
      </c>
      <c r="N9" t="s">
        <v>421</v>
      </c>
      <c r="O9" t="s">
        <v>420</v>
      </c>
      <c r="P9" t="s">
        <v>423</v>
      </c>
      <c r="Q9" t="s">
        <v>422</v>
      </c>
      <c r="R9" t="s">
        <v>34</v>
      </c>
    </row>
    <row r="10" spans="1:18" x14ac:dyDescent="0.3">
      <c r="A10" t="s">
        <v>662</v>
      </c>
      <c r="B10">
        <v>-1</v>
      </c>
      <c r="C10">
        <v>2050</v>
      </c>
      <c r="D10" t="s">
        <v>167</v>
      </c>
      <c r="E10" t="s">
        <v>395</v>
      </c>
      <c r="F10" t="s">
        <v>46</v>
      </c>
      <c r="G10" t="s">
        <v>15</v>
      </c>
      <c r="H10">
        <v>77.543334766080989</v>
      </c>
      <c r="L10" s="2" t="s">
        <v>662</v>
      </c>
      <c r="M10" s="34">
        <v>3167.5989685750451</v>
      </c>
      <c r="N10" s="34">
        <v>33.931337949039239</v>
      </c>
      <c r="O10" s="34">
        <v>161.57025373240225</v>
      </c>
      <c r="P10" s="34">
        <v>6.8819576785714251E-2</v>
      </c>
      <c r="Q10" s="34">
        <v>1895.4791417650197</v>
      </c>
      <c r="R10" s="34">
        <v>5258.6485215982902</v>
      </c>
    </row>
    <row r="11" spans="1:18" x14ac:dyDescent="0.3">
      <c r="A11" t="s">
        <v>662</v>
      </c>
      <c r="B11">
        <v>-1</v>
      </c>
      <c r="C11">
        <v>2050</v>
      </c>
      <c r="D11" t="s">
        <v>167</v>
      </c>
      <c r="E11" t="s">
        <v>395</v>
      </c>
      <c r="F11" t="s">
        <v>420</v>
      </c>
      <c r="G11" t="s">
        <v>15</v>
      </c>
      <c r="H11">
        <v>4.0549620832921169</v>
      </c>
      <c r="L11" s="3">
        <v>2050</v>
      </c>
      <c r="M11" s="34">
        <v>3167.5989685750451</v>
      </c>
      <c r="N11" s="34">
        <v>33.931337949039239</v>
      </c>
      <c r="O11" s="34">
        <v>161.57025373240225</v>
      </c>
      <c r="P11" s="34">
        <v>6.8819576785714251E-2</v>
      </c>
      <c r="Q11" s="34">
        <v>1895.4791417650197</v>
      </c>
      <c r="R11" s="34">
        <v>5258.6485215982902</v>
      </c>
    </row>
    <row r="12" spans="1:18" x14ac:dyDescent="0.3">
      <c r="A12" t="s">
        <v>662</v>
      </c>
      <c r="B12">
        <v>-1</v>
      </c>
      <c r="C12">
        <v>2050</v>
      </c>
      <c r="D12" t="s">
        <v>167</v>
      </c>
      <c r="E12" t="s">
        <v>395</v>
      </c>
      <c r="F12" t="s">
        <v>421</v>
      </c>
      <c r="G12" t="s">
        <v>15</v>
      </c>
      <c r="H12">
        <v>0.50714477806919389</v>
      </c>
      <c r="L12" s="4" t="s">
        <v>197</v>
      </c>
      <c r="M12" s="34">
        <v>41.809333333333427</v>
      </c>
      <c r="N12" s="34">
        <v>0.23373948612336956</v>
      </c>
      <c r="O12" s="34">
        <v>1.7899467473898796</v>
      </c>
      <c r="P12" s="34"/>
      <c r="Q12" s="34">
        <v>10.612526680915316</v>
      </c>
      <c r="R12" s="34">
        <v>54.445546247761989</v>
      </c>
    </row>
    <row r="13" spans="1:18" x14ac:dyDescent="0.3">
      <c r="A13" t="s">
        <v>662</v>
      </c>
      <c r="B13">
        <v>-1</v>
      </c>
      <c r="C13">
        <v>2050</v>
      </c>
      <c r="D13" t="s">
        <v>197</v>
      </c>
      <c r="E13" t="s">
        <v>198</v>
      </c>
      <c r="F13" t="s">
        <v>46</v>
      </c>
      <c r="G13" t="s">
        <v>15</v>
      </c>
      <c r="H13">
        <v>29.446147506214366</v>
      </c>
      <c r="L13" s="4" t="s">
        <v>340</v>
      </c>
      <c r="M13" s="34">
        <v>427.05499999999995</v>
      </c>
      <c r="N13" s="34">
        <v>2.6858579426747511</v>
      </c>
      <c r="O13" s="34">
        <v>22.567013798308295</v>
      </c>
      <c r="P13" s="34"/>
      <c r="Q13" s="34">
        <v>251.36073551083109</v>
      </c>
      <c r="R13" s="34">
        <v>703.66860725181414</v>
      </c>
    </row>
    <row r="14" spans="1:18" x14ac:dyDescent="0.3">
      <c r="A14" t="s">
        <v>662</v>
      </c>
      <c r="B14">
        <v>-1</v>
      </c>
      <c r="C14">
        <v>2050</v>
      </c>
      <c r="D14" t="s">
        <v>197</v>
      </c>
      <c r="E14" t="s">
        <v>198</v>
      </c>
      <c r="F14" t="s">
        <v>420</v>
      </c>
      <c r="G14" t="s">
        <v>15</v>
      </c>
      <c r="H14">
        <v>1.2606523890657</v>
      </c>
      <c r="L14" s="4" t="s">
        <v>255</v>
      </c>
      <c r="M14" s="34">
        <v>491.45399999999967</v>
      </c>
      <c r="N14" s="34">
        <v>6.1712622701228534</v>
      </c>
      <c r="O14" s="34">
        <v>24.934489521586155</v>
      </c>
      <c r="P14" s="34"/>
      <c r="Q14" s="34">
        <v>20.226964996297692</v>
      </c>
      <c r="R14" s="34">
        <v>542.7867167880064</v>
      </c>
    </row>
    <row r="15" spans="1:18" x14ac:dyDescent="0.3">
      <c r="A15" t="s">
        <v>662</v>
      </c>
      <c r="B15">
        <v>-1</v>
      </c>
      <c r="C15">
        <v>2050</v>
      </c>
      <c r="D15" t="s">
        <v>197</v>
      </c>
      <c r="E15" t="s">
        <v>198</v>
      </c>
      <c r="F15" t="s">
        <v>421</v>
      </c>
      <c r="G15" t="s">
        <v>15</v>
      </c>
      <c r="H15">
        <v>0.20427098534628294</v>
      </c>
      <c r="L15" s="4" t="s">
        <v>370</v>
      </c>
      <c r="M15" s="34">
        <v>52.956548572254782</v>
      </c>
      <c r="N15" s="34">
        <v>1.2638149260147691</v>
      </c>
      <c r="O15" s="34">
        <v>2.7871867669607773</v>
      </c>
      <c r="P15" s="34"/>
      <c r="Q15" s="34"/>
      <c r="R15" s="34">
        <v>57.007550265230329</v>
      </c>
    </row>
    <row r="16" spans="1:18" x14ac:dyDescent="0.3">
      <c r="A16" t="s">
        <v>662</v>
      </c>
      <c r="B16">
        <v>-1</v>
      </c>
      <c r="C16">
        <v>2050</v>
      </c>
      <c r="D16" t="s">
        <v>197</v>
      </c>
      <c r="E16" t="s">
        <v>198</v>
      </c>
      <c r="F16" t="s">
        <v>422</v>
      </c>
      <c r="G16" t="s">
        <v>15</v>
      </c>
      <c r="H16">
        <v>6.1049016827709162</v>
      </c>
      <c r="L16" s="4" t="s">
        <v>346</v>
      </c>
      <c r="M16" s="34">
        <v>289.25497810383331</v>
      </c>
      <c r="N16" s="34">
        <v>7.102824197937311</v>
      </c>
      <c r="O16" s="34">
        <v>15.223946215991223</v>
      </c>
      <c r="P16" s="34"/>
      <c r="Q16" s="34">
        <v>131.88172123395336</v>
      </c>
      <c r="R16" s="34">
        <v>443.46346975171525</v>
      </c>
    </row>
    <row r="17" spans="1:18" x14ac:dyDescent="0.3">
      <c r="A17" t="s">
        <v>662</v>
      </c>
      <c r="B17">
        <v>-1</v>
      </c>
      <c r="C17">
        <v>2050</v>
      </c>
      <c r="D17" t="s">
        <v>197</v>
      </c>
      <c r="E17" t="s">
        <v>231</v>
      </c>
      <c r="F17" t="s">
        <v>46</v>
      </c>
      <c r="G17" t="s">
        <v>15</v>
      </c>
      <c r="H17">
        <v>12.363185827119057</v>
      </c>
      <c r="L17" s="4" t="s">
        <v>167</v>
      </c>
      <c r="M17" s="34">
        <v>117.709</v>
      </c>
      <c r="N17" s="34">
        <v>0.81109586747010953</v>
      </c>
      <c r="O17" s="34">
        <v>6.1553404408470334</v>
      </c>
      <c r="P17" s="34"/>
      <c r="Q17" s="34">
        <v>24.043640211774616</v>
      </c>
      <c r="R17" s="34">
        <v>148.71907652009176</v>
      </c>
    </row>
    <row r="18" spans="1:18" x14ac:dyDescent="0.3">
      <c r="A18" t="s">
        <v>662</v>
      </c>
      <c r="B18">
        <v>-1</v>
      </c>
      <c r="C18">
        <v>2050</v>
      </c>
      <c r="D18" t="s">
        <v>197</v>
      </c>
      <c r="E18" t="s">
        <v>231</v>
      </c>
      <c r="F18" t="s">
        <v>420</v>
      </c>
      <c r="G18" t="s">
        <v>15</v>
      </c>
      <c r="H18">
        <v>0.52929435832417959</v>
      </c>
      <c r="L18" s="4" t="s">
        <v>314</v>
      </c>
      <c r="M18" s="34">
        <v>296.25133333333309</v>
      </c>
      <c r="N18" s="34">
        <v>1.2675862588414744</v>
      </c>
      <c r="O18" s="34">
        <v>15.592175438596488</v>
      </c>
      <c r="P18" s="34"/>
      <c r="Q18" s="34">
        <v>232.4503915774221</v>
      </c>
      <c r="R18" s="34">
        <v>545.56148660819315</v>
      </c>
    </row>
    <row r="19" spans="1:18" x14ac:dyDescent="0.3">
      <c r="A19" t="s">
        <v>662</v>
      </c>
      <c r="B19">
        <v>-1</v>
      </c>
      <c r="C19">
        <v>2050</v>
      </c>
      <c r="D19" t="s">
        <v>197</v>
      </c>
      <c r="E19" t="s">
        <v>231</v>
      </c>
      <c r="F19" t="s">
        <v>421</v>
      </c>
      <c r="G19" t="s">
        <v>15</v>
      </c>
      <c r="H19">
        <v>2.9468500777086619E-2</v>
      </c>
      <c r="L19" s="4" t="s">
        <v>250</v>
      </c>
      <c r="M19" s="34">
        <v>81.985999999999962</v>
      </c>
      <c r="N19" s="34">
        <v>0.68651132376881285</v>
      </c>
      <c r="O19" s="34">
        <v>1.7841912716151054</v>
      </c>
      <c r="P19" s="34"/>
      <c r="Q19" s="34">
        <v>1.4460748662765921</v>
      </c>
      <c r="R19" s="34">
        <v>85.902777461660463</v>
      </c>
    </row>
    <row r="20" spans="1:18" x14ac:dyDescent="0.3">
      <c r="A20" t="s">
        <v>662</v>
      </c>
      <c r="B20">
        <v>-1</v>
      </c>
      <c r="C20">
        <v>2050</v>
      </c>
      <c r="D20" t="s">
        <v>197</v>
      </c>
      <c r="E20" t="s">
        <v>231</v>
      </c>
      <c r="F20" t="s">
        <v>422</v>
      </c>
      <c r="G20" t="s">
        <v>15</v>
      </c>
      <c r="H20">
        <v>4.507624998144399</v>
      </c>
      <c r="L20" s="4" t="s">
        <v>305</v>
      </c>
      <c r="M20" s="34">
        <v>101.96399999999996</v>
      </c>
      <c r="N20" s="34">
        <v>0.36730089202868466</v>
      </c>
      <c r="O20" s="34">
        <v>3.1219706083860674</v>
      </c>
      <c r="P20" s="34"/>
      <c r="Q20" s="34">
        <v>16.369501885181702</v>
      </c>
      <c r="R20" s="34">
        <v>121.82277338559641</v>
      </c>
    </row>
    <row r="21" spans="1:18" x14ac:dyDescent="0.3">
      <c r="A21" t="s">
        <v>662</v>
      </c>
      <c r="B21">
        <v>-1</v>
      </c>
      <c r="C21">
        <v>2050</v>
      </c>
      <c r="D21" t="s">
        <v>250</v>
      </c>
      <c r="E21" t="s">
        <v>251</v>
      </c>
      <c r="F21" t="s">
        <v>46</v>
      </c>
      <c r="G21" t="s">
        <v>15</v>
      </c>
      <c r="H21">
        <v>81.985999999999962</v>
      </c>
      <c r="L21" s="4" t="s">
        <v>309</v>
      </c>
      <c r="M21" s="34">
        <v>125.91955555555558</v>
      </c>
      <c r="N21" s="34">
        <v>2.6523650293355132</v>
      </c>
      <c r="O21" s="34">
        <v>7.5168722482188359</v>
      </c>
      <c r="P21" s="34"/>
      <c r="Q21" s="34">
        <v>39.014873215996602</v>
      </c>
      <c r="R21" s="34">
        <v>175.10366604910652</v>
      </c>
    </row>
    <row r="22" spans="1:18" x14ac:dyDescent="0.3">
      <c r="A22" t="s">
        <v>662</v>
      </c>
      <c r="B22">
        <v>-1</v>
      </c>
      <c r="C22">
        <v>2050</v>
      </c>
      <c r="D22" t="s">
        <v>250</v>
      </c>
      <c r="E22" t="s">
        <v>251</v>
      </c>
      <c r="F22" t="s">
        <v>420</v>
      </c>
      <c r="G22" t="s">
        <v>15</v>
      </c>
      <c r="H22">
        <v>1.7841912716151054</v>
      </c>
      <c r="L22" s="4" t="s">
        <v>328</v>
      </c>
      <c r="M22" s="34">
        <v>7.4595555555555562</v>
      </c>
      <c r="N22" s="34">
        <v>0.14794666680915478</v>
      </c>
      <c r="O22" s="34">
        <v>0.39260818713450291</v>
      </c>
      <c r="P22" s="34"/>
      <c r="Q22" s="34"/>
      <c r="R22" s="34">
        <v>8.0001104094992144</v>
      </c>
    </row>
    <row r="23" spans="1:18" x14ac:dyDescent="0.3">
      <c r="A23" t="s">
        <v>662</v>
      </c>
      <c r="B23">
        <v>-1</v>
      </c>
      <c r="C23">
        <v>2050</v>
      </c>
      <c r="D23" t="s">
        <v>250</v>
      </c>
      <c r="E23" t="s">
        <v>251</v>
      </c>
      <c r="F23" t="s">
        <v>421</v>
      </c>
      <c r="G23" t="s">
        <v>15</v>
      </c>
      <c r="H23">
        <v>0.68651132376881285</v>
      </c>
      <c r="L23" s="4" t="s">
        <v>330</v>
      </c>
      <c r="M23" s="34">
        <v>6.1549999999999958</v>
      </c>
      <c r="N23" s="34">
        <v>7.673766683838816E-2</v>
      </c>
      <c r="O23" s="34">
        <v>0.32394736842105226</v>
      </c>
      <c r="P23" s="34"/>
      <c r="Q23" s="34"/>
      <c r="R23" s="34">
        <v>6.5556850352594367</v>
      </c>
    </row>
    <row r="24" spans="1:18" x14ac:dyDescent="0.3">
      <c r="A24" t="s">
        <v>662</v>
      </c>
      <c r="B24">
        <v>-1</v>
      </c>
      <c r="C24">
        <v>2050</v>
      </c>
      <c r="D24" t="s">
        <v>250</v>
      </c>
      <c r="E24" t="s">
        <v>251</v>
      </c>
      <c r="F24" t="s">
        <v>422</v>
      </c>
      <c r="G24" t="s">
        <v>15</v>
      </c>
      <c r="H24">
        <v>1.4460748662765921</v>
      </c>
      <c r="L24" s="4" t="s">
        <v>332</v>
      </c>
      <c r="M24" s="34">
        <v>9.4520000000000017</v>
      </c>
      <c r="N24" s="34">
        <v>4.5179387576333122E-2</v>
      </c>
      <c r="O24" s="34">
        <v>0.49747368421052629</v>
      </c>
      <c r="P24" s="34"/>
      <c r="Q24" s="34">
        <v>52.599389420855388</v>
      </c>
      <c r="R24" s="34">
        <v>62.594042492642245</v>
      </c>
    </row>
    <row r="25" spans="1:18" x14ac:dyDescent="0.3">
      <c r="A25" t="s">
        <v>662</v>
      </c>
      <c r="B25">
        <v>-1</v>
      </c>
      <c r="C25">
        <v>2050</v>
      </c>
      <c r="D25" t="s">
        <v>255</v>
      </c>
      <c r="E25" t="s">
        <v>396</v>
      </c>
      <c r="F25" t="s">
        <v>46</v>
      </c>
      <c r="G25" t="s">
        <v>15</v>
      </c>
      <c r="H25">
        <v>491.45399999999967</v>
      </c>
      <c r="L25" s="4" t="s">
        <v>336</v>
      </c>
      <c r="M25" s="34">
        <v>136.67411111111107</v>
      </c>
      <c r="N25" s="34">
        <v>0.70657024824005377</v>
      </c>
      <c r="O25" s="34">
        <v>7.225272855259087</v>
      </c>
      <c r="P25" s="34"/>
      <c r="Q25" s="34">
        <v>359.04008170899192</v>
      </c>
      <c r="R25" s="34">
        <v>503.64603592360208</v>
      </c>
    </row>
    <row r="26" spans="1:18" x14ac:dyDescent="0.3">
      <c r="A26" t="s">
        <v>662</v>
      </c>
      <c r="B26">
        <v>-1</v>
      </c>
      <c r="C26">
        <v>2050</v>
      </c>
      <c r="D26" t="s">
        <v>255</v>
      </c>
      <c r="E26" t="s">
        <v>396</v>
      </c>
      <c r="F26" t="s">
        <v>420</v>
      </c>
      <c r="G26" t="s">
        <v>15</v>
      </c>
      <c r="H26">
        <v>24.934489521586155</v>
      </c>
      <c r="L26" s="4" t="s">
        <v>338</v>
      </c>
      <c r="M26" s="34">
        <v>75.553333333333327</v>
      </c>
      <c r="N26" s="34">
        <v>1.3911137960908408</v>
      </c>
      <c r="O26" s="34">
        <v>3.9764912280701759</v>
      </c>
      <c r="P26" s="34"/>
      <c r="Q26" s="34"/>
      <c r="R26" s="34">
        <v>80.920938357494336</v>
      </c>
    </row>
    <row r="27" spans="1:18" x14ac:dyDescent="0.3">
      <c r="A27" t="s">
        <v>662</v>
      </c>
      <c r="B27">
        <v>-1</v>
      </c>
      <c r="C27">
        <v>2050</v>
      </c>
      <c r="D27" t="s">
        <v>255</v>
      </c>
      <c r="E27" t="s">
        <v>396</v>
      </c>
      <c r="F27" t="s">
        <v>421</v>
      </c>
      <c r="G27" t="s">
        <v>15</v>
      </c>
      <c r="H27">
        <v>6.1712622701228534</v>
      </c>
      <c r="L27" s="4" t="s">
        <v>348</v>
      </c>
      <c r="M27" s="34">
        <v>44.813024175833334</v>
      </c>
      <c r="N27" s="34">
        <v>0.67336736450686063</v>
      </c>
      <c r="O27" s="34">
        <v>2.358580219780702</v>
      </c>
      <c r="P27" s="34"/>
      <c r="Q27" s="34">
        <v>50.395416241988244</v>
      </c>
      <c r="R27" s="34">
        <v>98.240388002109142</v>
      </c>
    </row>
    <row r="28" spans="1:18" x14ac:dyDescent="0.3">
      <c r="A28" t="s">
        <v>662</v>
      </c>
      <c r="B28">
        <v>-1</v>
      </c>
      <c r="C28">
        <v>2050</v>
      </c>
      <c r="D28" t="s">
        <v>255</v>
      </c>
      <c r="E28" t="s">
        <v>396</v>
      </c>
      <c r="F28" t="s">
        <v>422</v>
      </c>
      <c r="G28" t="s">
        <v>15</v>
      </c>
      <c r="H28">
        <v>20.226964996297692</v>
      </c>
      <c r="L28" s="4" t="s">
        <v>350</v>
      </c>
      <c r="M28" s="34">
        <v>66.001900648666663</v>
      </c>
      <c r="N28" s="34">
        <v>0.63627496235589742</v>
      </c>
      <c r="O28" s="34">
        <v>3.4737842446666667</v>
      </c>
      <c r="P28" s="34"/>
      <c r="Q28" s="34">
        <v>4.4413746392749358</v>
      </c>
      <c r="R28" s="34">
        <v>74.553334494964162</v>
      </c>
    </row>
    <row r="29" spans="1:18" x14ac:dyDescent="0.3">
      <c r="A29" t="s">
        <v>662</v>
      </c>
      <c r="B29">
        <v>-1</v>
      </c>
      <c r="C29">
        <v>2050</v>
      </c>
      <c r="D29" t="s">
        <v>305</v>
      </c>
      <c r="E29" t="s">
        <v>306</v>
      </c>
      <c r="F29" t="s">
        <v>46</v>
      </c>
      <c r="G29" t="s">
        <v>15</v>
      </c>
      <c r="H29">
        <v>101.96399999999996</v>
      </c>
      <c r="L29" s="4" t="s">
        <v>352</v>
      </c>
      <c r="M29" s="34">
        <v>60.061507758333342</v>
      </c>
      <c r="N29" s="34">
        <v>0.78861215685949504</v>
      </c>
      <c r="O29" s="34">
        <v>3.1611319872807027</v>
      </c>
      <c r="P29" s="34"/>
      <c r="Q29" s="34">
        <v>11.412993077099145</v>
      </c>
      <c r="R29" s="34">
        <v>75.424244979572677</v>
      </c>
    </row>
    <row r="30" spans="1:18" x14ac:dyDescent="0.3">
      <c r="A30" t="s">
        <v>662</v>
      </c>
      <c r="B30">
        <v>-1</v>
      </c>
      <c r="C30">
        <v>2050</v>
      </c>
      <c r="D30" t="s">
        <v>305</v>
      </c>
      <c r="E30" t="s">
        <v>306</v>
      </c>
      <c r="F30" t="s">
        <v>420</v>
      </c>
      <c r="G30" t="s">
        <v>15</v>
      </c>
      <c r="H30">
        <v>3.1219706083860674</v>
      </c>
      <c r="L30" s="4" t="s">
        <v>354</v>
      </c>
      <c r="M30" s="34">
        <v>229.83865505533342</v>
      </c>
      <c r="N30" s="34">
        <v>1.4744106994439075</v>
      </c>
      <c r="O30" s="34">
        <v>12.096771318701753</v>
      </c>
      <c r="P30" s="34"/>
      <c r="Q30" s="34">
        <v>417.87657415188778</v>
      </c>
      <c r="R30" s="34">
        <v>661.28641122536681</v>
      </c>
    </row>
    <row r="31" spans="1:18" x14ac:dyDescent="0.3">
      <c r="A31" t="s">
        <v>662</v>
      </c>
      <c r="B31">
        <v>-1</v>
      </c>
      <c r="C31">
        <v>2050</v>
      </c>
      <c r="D31" t="s">
        <v>305</v>
      </c>
      <c r="E31" t="s">
        <v>306</v>
      </c>
      <c r="F31" t="s">
        <v>421</v>
      </c>
      <c r="G31" t="s">
        <v>15</v>
      </c>
      <c r="H31">
        <v>0.36730089202868466</v>
      </c>
      <c r="L31" s="4" t="s">
        <v>356</v>
      </c>
      <c r="M31" s="34">
        <v>45.872124254833373</v>
      </c>
      <c r="N31" s="34">
        <v>0.46162063221145194</v>
      </c>
      <c r="O31" s="34">
        <v>2.4143223292017542</v>
      </c>
      <c r="P31" s="34">
        <v>4.1559942857142824E-2</v>
      </c>
      <c r="Q31" s="34">
        <v>20.630503355730578</v>
      </c>
      <c r="R31" s="34">
        <v>69.420130514834298</v>
      </c>
    </row>
    <row r="32" spans="1:18" x14ac:dyDescent="0.3">
      <c r="A32" t="s">
        <v>662</v>
      </c>
      <c r="B32">
        <v>-1</v>
      </c>
      <c r="C32">
        <v>2050</v>
      </c>
      <c r="D32" t="s">
        <v>305</v>
      </c>
      <c r="E32" t="s">
        <v>306</v>
      </c>
      <c r="F32" t="s">
        <v>422</v>
      </c>
      <c r="G32" t="s">
        <v>15</v>
      </c>
      <c r="H32">
        <v>16.369501885181702</v>
      </c>
      <c r="L32" s="4" t="s">
        <v>358</v>
      </c>
      <c r="M32" s="34">
        <v>23.741276002666062</v>
      </c>
      <c r="N32" s="34">
        <v>0.41321021281864728</v>
      </c>
      <c r="O32" s="34">
        <v>1.249540842245582</v>
      </c>
      <c r="P32" s="34">
        <v>1.6119964285714286E-2</v>
      </c>
      <c r="Q32" s="34"/>
      <c r="R32" s="34">
        <v>25.420147022016007</v>
      </c>
    </row>
    <row r="33" spans="1:18" x14ac:dyDescent="0.3">
      <c r="A33" t="s">
        <v>662</v>
      </c>
      <c r="B33">
        <v>-1</v>
      </c>
      <c r="C33">
        <v>2050</v>
      </c>
      <c r="D33" t="s">
        <v>309</v>
      </c>
      <c r="E33" t="s">
        <v>310</v>
      </c>
      <c r="F33" t="s">
        <v>46</v>
      </c>
      <c r="G33" t="s">
        <v>15</v>
      </c>
      <c r="H33">
        <v>8.5405778592774642</v>
      </c>
      <c r="L33" s="4" t="s">
        <v>360</v>
      </c>
      <c r="M33" s="34">
        <v>35.316197490280082</v>
      </c>
      <c r="N33" s="34">
        <v>1.1436615169345681</v>
      </c>
      <c r="O33" s="34">
        <v>1.85874723633053</v>
      </c>
      <c r="P33" s="34"/>
      <c r="Q33" s="34"/>
      <c r="R33" s="34">
        <v>38.318606243545183</v>
      </c>
    </row>
    <row r="34" spans="1:18" x14ac:dyDescent="0.3">
      <c r="A34" t="s">
        <v>662</v>
      </c>
      <c r="B34">
        <v>-1</v>
      </c>
      <c r="C34">
        <v>2050</v>
      </c>
      <c r="D34" t="s">
        <v>309</v>
      </c>
      <c r="E34" t="s">
        <v>310</v>
      </c>
      <c r="F34" t="s">
        <v>420</v>
      </c>
      <c r="G34" t="s">
        <v>15</v>
      </c>
      <c r="H34">
        <v>0.50983687490725549</v>
      </c>
      <c r="L34" s="4" t="s">
        <v>362</v>
      </c>
      <c r="M34" s="34">
        <v>11.972383832478997</v>
      </c>
      <c r="N34" s="34">
        <v>0.40009879858313196</v>
      </c>
      <c r="O34" s="34">
        <v>0.63012546486731569</v>
      </c>
      <c r="P34" s="34"/>
      <c r="Q34" s="34"/>
      <c r="R34" s="34">
        <v>13.002608095929444</v>
      </c>
    </row>
    <row r="35" spans="1:18" x14ac:dyDescent="0.3">
      <c r="A35" t="s">
        <v>662</v>
      </c>
      <c r="B35">
        <v>-1</v>
      </c>
      <c r="C35">
        <v>2050</v>
      </c>
      <c r="D35" t="s">
        <v>309</v>
      </c>
      <c r="E35" t="s">
        <v>310</v>
      </c>
      <c r="F35" t="s">
        <v>421</v>
      </c>
      <c r="G35" t="s">
        <v>15</v>
      </c>
      <c r="H35">
        <v>0.17133045756036777</v>
      </c>
      <c r="L35" s="4" t="s">
        <v>364</v>
      </c>
      <c r="M35" s="34">
        <v>15.084308667687434</v>
      </c>
      <c r="N35" s="34">
        <v>9.2589729501691545E-2</v>
      </c>
      <c r="O35" s="34">
        <v>0.79391098250986514</v>
      </c>
      <c r="P35" s="34">
        <v>4.94509821428571E-3</v>
      </c>
      <c r="Q35" s="34"/>
      <c r="R35" s="34">
        <v>15.975754477913277</v>
      </c>
    </row>
    <row r="36" spans="1:18" x14ac:dyDescent="0.3">
      <c r="A36" t="s">
        <v>662</v>
      </c>
      <c r="B36">
        <v>-1</v>
      </c>
      <c r="C36">
        <v>2050</v>
      </c>
      <c r="D36" t="s">
        <v>309</v>
      </c>
      <c r="E36" t="s">
        <v>310</v>
      </c>
      <c r="F36" t="s">
        <v>422</v>
      </c>
      <c r="G36" t="s">
        <v>15</v>
      </c>
      <c r="H36">
        <v>2.805534871068637</v>
      </c>
      <c r="L36" s="4" t="s">
        <v>366</v>
      </c>
      <c r="M36" s="34">
        <v>43.309804512278227</v>
      </c>
      <c r="N36" s="34">
        <v>9.6171780563891113E-2</v>
      </c>
      <c r="O36" s="34">
        <v>2.2794633953830652</v>
      </c>
      <c r="P36" s="34"/>
      <c r="Q36" s="34">
        <v>11.579490124365057</v>
      </c>
      <c r="R36" s="34">
        <v>57.264929812590246</v>
      </c>
    </row>
    <row r="37" spans="1:18" x14ac:dyDescent="0.3">
      <c r="A37" t="s">
        <v>662</v>
      </c>
      <c r="B37">
        <v>-1</v>
      </c>
      <c r="C37">
        <v>2050</v>
      </c>
      <c r="D37" t="s">
        <v>309</v>
      </c>
      <c r="E37" t="s">
        <v>311</v>
      </c>
      <c r="F37" t="s">
        <v>46</v>
      </c>
      <c r="G37" t="s">
        <v>15</v>
      </c>
      <c r="H37">
        <v>15.432478671284168</v>
      </c>
      <c r="L37" s="4" t="s">
        <v>368</v>
      </c>
      <c r="M37" s="34">
        <v>28.64091424331296</v>
      </c>
      <c r="N37" s="34">
        <v>0.13023532576454117</v>
      </c>
      <c r="O37" s="34">
        <v>1.5074165391217347</v>
      </c>
      <c r="P37" s="34"/>
      <c r="Q37" s="34"/>
      <c r="R37" s="34">
        <v>30.278566108199236</v>
      </c>
    </row>
    <row r="38" spans="1:18" x14ac:dyDescent="0.3">
      <c r="A38" t="s">
        <v>662</v>
      </c>
      <c r="B38">
        <v>-1</v>
      </c>
      <c r="C38">
        <v>2050</v>
      </c>
      <c r="D38" t="s">
        <v>309</v>
      </c>
      <c r="E38" t="s">
        <v>311</v>
      </c>
      <c r="F38" t="s">
        <v>420</v>
      </c>
      <c r="G38" t="s">
        <v>15</v>
      </c>
      <c r="H38">
        <v>0.92125460682891436</v>
      </c>
      <c r="L38" s="4" t="s">
        <v>373</v>
      </c>
      <c r="M38" s="34">
        <v>25.243556511712587</v>
      </c>
      <c r="N38" s="34">
        <v>0.27289740383919114</v>
      </c>
      <c r="O38" s="34">
        <v>1.3286082374585582</v>
      </c>
      <c r="P38" s="34"/>
      <c r="Q38" s="34">
        <v>32.946763466436266</v>
      </c>
      <c r="R38" s="34">
        <v>59.791825619446598</v>
      </c>
    </row>
    <row r="39" spans="1:18" x14ac:dyDescent="0.3">
      <c r="A39" t="s">
        <v>662</v>
      </c>
      <c r="B39">
        <v>-1</v>
      </c>
      <c r="C39">
        <v>2050</v>
      </c>
      <c r="D39" t="s">
        <v>309</v>
      </c>
      <c r="E39" t="s">
        <v>311</v>
      </c>
      <c r="F39" t="s">
        <v>421</v>
      </c>
      <c r="G39" t="s">
        <v>15</v>
      </c>
      <c r="H39">
        <v>0.19032126613744668</v>
      </c>
      <c r="L39" s="4" t="s">
        <v>375</v>
      </c>
      <c r="M39" s="34">
        <v>5.7347020584336255</v>
      </c>
      <c r="N39" s="34">
        <v>0.24016770695622705</v>
      </c>
      <c r="O39" s="34">
        <v>0.30182642412808558</v>
      </c>
      <c r="P39" s="34"/>
      <c r="Q39" s="34"/>
      <c r="R39" s="34">
        <v>6.2766961895179385</v>
      </c>
    </row>
    <row r="40" spans="1:18" x14ac:dyDescent="0.3">
      <c r="A40" t="s">
        <v>662</v>
      </c>
      <c r="B40">
        <v>-1</v>
      </c>
      <c r="C40">
        <v>2050</v>
      </c>
      <c r="D40" t="s">
        <v>309</v>
      </c>
      <c r="E40" t="s">
        <v>311</v>
      </c>
      <c r="F40" t="s">
        <v>422</v>
      </c>
      <c r="G40" t="s">
        <v>15</v>
      </c>
      <c r="H40">
        <v>10.67632501909906</v>
      </c>
      <c r="L40" s="4" t="s">
        <v>377</v>
      </c>
      <c r="M40" s="34">
        <v>5.4398385840401797</v>
      </c>
      <c r="N40" s="34">
        <v>0.10871521701795669</v>
      </c>
      <c r="O40" s="34">
        <v>0.28630729389685156</v>
      </c>
      <c r="P40" s="34"/>
      <c r="Q40" s="34"/>
      <c r="R40" s="34">
        <v>5.8348610949549879</v>
      </c>
    </row>
    <row r="41" spans="1:18" x14ac:dyDescent="0.3">
      <c r="A41" t="s">
        <v>662</v>
      </c>
      <c r="B41">
        <v>-1</v>
      </c>
      <c r="C41">
        <v>2050</v>
      </c>
      <c r="D41" t="s">
        <v>309</v>
      </c>
      <c r="E41" t="s">
        <v>312</v>
      </c>
      <c r="F41" t="s">
        <v>46</v>
      </c>
      <c r="G41" t="s">
        <v>15</v>
      </c>
      <c r="H41">
        <v>78.897334872361768</v>
      </c>
      <c r="L41" s="4" t="s">
        <v>379</v>
      </c>
      <c r="M41" s="34">
        <v>2.5495003441857205</v>
      </c>
      <c r="N41" s="34">
        <v>0.2154263476932623</v>
      </c>
      <c r="O41" s="34">
        <v>0.13418422864135374</v>
      </c>
      <c r="P41" s="34"/>
      <c r="Q41" s="34"/>
      <c r="R41" s="34">
        <v>2.8991109205203363</v>
      </c>
    </row>
    <row r="42" spans="1:18" x14ac:dyDescent="0.3">
      <c r="A42" t="s">
        <v>662</v>
      </c>
      <c r="B42">
        <v>-1</v>
      </c>
      <c r="C42">
        <v>2050</v>
      </c>
      <c r="D42" t="s">
        <v>309</v>
      </c>
      <c r="E42" t="s">
        <v>312</v>
      </c>
      <c r="F42" t="s">
        <v>420</v>
      </c>
      <c r="G42" t="s">
        <v>15</v>
      </c>
      <c r="H42">
        <v>4.7098418060952136</v>
      </c>
      <c r="L42" s="4" t="s">
        <v>381</v>
      </c>
      <c r="M42" s="34">
        <v>6.0036315715348794</v>
      </c>
      <c r="N42" s="34">
        <v>3.7762151664669008E-2</v>
      </c>
      <c r="O42" s="34">
        <v>0.31598060902815167</v>
      </c>
      <c r="P42" s="34"/>
      <c r="Q42" s="34"/>
      <c r="R42" s="34">
        <v>6.3573743322277005</v>
      </c>
    </row>
    <row r="43" spans="1:18" x14ac:dyDescent="0.3">
      <c r="A43" t="s">
        <v>662</v>
      </c>
      <c r="B43">
        <v>-1</v>
      </c>
      <c r="C43">
        <v>2050</v>
      </c>
      <c r="D43" t="s">
        <v>309</v>
      </c>
      <c r="E43" t="s">
        <v>312</v>
      </c>
      <c r="F43" t="s">
        <v>421</v>
      </c>
      <c r="G43" t="s">
        <v>15</v>
      </c>
      <c r="H43">
        <v>1.8951236450433562</v>
      </c>
      <c r="L43" s="4" t="s">
        <v>383</v>
      </c>
      <c r="M43" s="34">
        <v>10.743097871658186</v>
      </c>
      <c r="N43" s="34">
        <v>0.16544561987017009</v>
      </c>
      <c r="O43" s="34">
        <v>0.56542620377148312</v>
      </c>
      <c r="P43" s="34">
        <v>6.1945714285714278E-3</v>
      </c>
      <c r="Q43" s="34"/>
      <c r="R43" s="34">
        <v>11.48016426672841</v>
      </c>
    </row>
    <row r="44" spans="1:18" x14ac:dyDescent="0.3">
      <c r="A44" t="s">
        <v>662</v>
      </c>
      <c r="B44">
        <v>-1</v>
      </c>
      <c r="C44">
        <v>2050</v>
      </c>
      <c r="D44" t="s">
        <v>309</v>
      </c>
      <c r="E44" t="s">
        <v>312</v>
      </c>
      <c r="F44" t="s">
        <v>422</v>
      </c>
      <c r="G44" t="s">
        <v>15</v>
      </c>
      <c r="H44">
        <v>19.261455167751123</v>
      </c>
      <c r="L44" s="4" t="s">
        <v>385</v>
      </c>
      <c r="M44" s="34">
        <v>27.396098745140037</v>
      </c>
      <c r="N44" s="34">
        <v>0.64700819378103358</v>
      </c>
      <c r="O44" s="34">
        <v>1.4418999339547387</v>
      </c>
      <c r="P44" s="34"/>
      <c r="Q44" s="34">
        <v>-5.5957111866349564E-17</v>
      </c>
      <c r="R44" s="34">
        <v>29.485006872875807</v>
      </c>
    </row>
    <row r="45" spans="1:18" x14ac:dyDescent="0.3">
      <c r="A45" t="s">
        <v>662</v>
      </c>
      <c r="B45">
        <v>-1</v>
      </c>
      <c r="C45">
        <v>2050</v>
      </c>
      <c r="D45" t="s">
        <v>309</v>
      </c>
      <c r="E45" t="s">
        <v>313</v>
      </c>
      <c r="F45" t="s">
        <v>46</v>
      </c>
      <c r="G45" t="s">
        <v>15</v>
      </c>
      <c r="H45">
        <v>23.04916415263218</v>
      </c>
      <c r="L45" s="4" t="s">
        <v>55</v>
      </c>
      <c r="M45" s="34">
        <v>211.82616655015298</v>
      </c>
      <c r="N45" s="34">
        <v>6.0090628656064314E-2</v>
      </c>
      <c r="O45" s="34">
        <v>11.148745607902788</v>
      </c>
      <c r="P45" s="34"/>
      <c r="Q45" s="34">
        <v>206.85182820650823</v>
      </c>
      <c r="R45" s="34">
        <v>429.88683099322009</v>
      </c>
    </row>
    <row r="46" spans="1:18" x14ac:dyDescent="0.3">
      <c r="A46" t="s">
        <v>662</v>
      </c>
      <c r="B46">
        <v>-1</v>
      </c>
      <c r="C46">
        <v>2050</v>
      </c>
      <c r="D46" t="s">
        <v>309</v>
      </c>
      <c r="E46" t="s">
        <v>313</v>
      </c>
      <c r="F46" t="s">
        <v>420</v>
      </c>
      <c r="G46" t="s">
        <v>15</v>
      </c>
      <c r="H46">
        <v>1.3759389603874519</v>
      </c>
      <c r="L46" s="4" t="s">
        <v>387</v>
      </c>
      <c r="M46" s="34">
        <v>2.0415683641149491</v>
      </c>
      <c r="N46" s="34">
        <v>5.8119736486898103E-2</v>
      </c>
      <c r="O46" s="34">
        <v>0.10745096653236573</v>
      </c>
      <c r="P46" s="34"/>
      <c r="Q46" s="34">
        <v>0.29829719323316761</v>
      </c>
      <c r="R46" s="34">
        <v>2.5054362603673805</v>
      </c>
    </row>
    <row r="47" spans="1:18" x14ac:dyDescent="0.3">
      <c r="A47" t="s">
        <v>662</v>
      </c>
      <c r="B47">
        <v>-1</v>
      </c>
      <c r="C47">
        <v>2050</v>
      </c>
      <c r="D47" t="s">
        <v>309</v>
      </c>
      <c r="E47" t="s">
        <v>313</v>
      </c>
      <c r="F47" t="s">
        <v>421</v>
      </c>
      <c r="G47" t="s">
        <v>15</v>
      </c>
      <c r="H47">
        <v>0.39558966059434247</v>
      </c>
      <c r="L47" s="4" t="s">
        <v>389</v>
      </c>
      <c r="M47" s="34">
        <v>4.3149624340587307</v>
      </c>
      <c r="N47" s="34">
        <v>0.20554580365725697</v>
      </c>
      <c r="O47" s="34">
        <v>0.22710328600309107</v>
      </c>
      <c r="P47" s="34"/>
      <c r="Q47" s="34"/>
      <c r="R47" s="34">
        <v>4.7476115237190788</v>
      </c>
    </row>
    <row r="48" spans="1:18" x14ac:dyDescent="0.3">
      <c r="A48" t="s">
        <v>662</v>
      </c>
      <c r="B48">
        <v>-1</v>
      </c>
      <c r="C48">
        <v>2050</v>
      </c>
      <c r="D48" t="s">
        <v>309</v>
      </c>
      <c r="E48" t="s">
        <v>313</v>
      </c>
      <c r="F48" t="s">
        <v>422</v>
      </c>
      <c r="G48" t="s">
        <v>15</v>
      </c>
      <c r="H48">
        <v>6.2715581580777799</v>
      </c>
      <c r="L48" s="2" t="s">
        <v>34</v>
      </c>
      <c r="M48" s="34">
        <v>3167.5989685750451</v>
      </c>
      <c r="N48" s="34">
        <v>33.931337949039239</v>
      </c>
      <c r="O48" s="34">
        <v>161.57025373240225</v>
      </c>
      <c r="P48" s="34">
        <v>6.8819576785714251E-2</v>
      </c>
      <c r="Q48" s="34">
        <v>1895.4791417650197</v>
      </c>
      <c r="R48" s="34">
        <v>5258.6485215982902</v>
      </c>
    </row>
    <row r="49" spans="1:8" x14ac:dyDescent="0.3">
      <c r="A49" t="s">
        <v>662</v>
      </c>
      <c r="B49">
        <v>-1</v>
      </c>
      <c r="C49">
        <v>2050</v>
      </c>
      <c r="D49" t="s">
        <v>314</v>
      </c>
      <c r="E49" t="s">
        <v>397</v>
      </c>
      <c r="F49" t="s">
        <v>46</v>
      </c>
      <c r="G49" t="s">
        <v>15</v>
      </c>
      <c r="H49">
        <v>290.56330773333309</v>
      </c>
    </row>
    <row r="50" spans="1:8" x14ac:dyDescent="0.3">
      <c r="A50" t="s">
        <v>662</v>
      </c>
      <c r="B50">
        <v>-1</v>
      </c>
      <c r="C50">
        <v>2050</v>
      </c>
      <c r="D50" t="s">
        <v>314</v>
      </c>
      <c r="E50" t="s">
        <v>397</v>
      </c>
      <c r="F50" t="s">
        <v>420</v>
      </c>
      <c r="G50" t="s">
        <v>15</v>
      </c>
      <c r="H50">
        <v>15.292805670175435</v>
      </c>
    </row>
    <row r="51" spans="1:8" x14ac:dyDescent="0.3">
      <c r="A51" t="s">
        <v>662</v>
      </c>
      <c r="B51">
        <v>-1</v>
      </c>
      <c r="C51">
        <v>2050</v>
      </c>
      <c r="D51" t="s">
        <v>314</v>
      </c>
      <c r="E51" t="s">
        <v>397</v>
      </c>
      <c r="F51" t="s">
        <v>421</v>
      </c>
      <c r="G51" t="s">
        <v>15</v>
      </c>
      <c r="H51">
        <v>1.1063434793472173</v>
      </c>
    </row>
    <row r="52" spans="1:8" x14ac:dyDescent="0.3">
      <c r="A52" t="s">
        <v>662</v>
      </c>
      <c r="B52">
        <v>-1</v>
      </c>
      <c r="C52">
        <v>2050</v>
      </c>
      <c r="D52" t="s">
        <v>314</v>
      </c>
      <c r="E52" t="s">
        <v>397</v>
      </c>
      <c r="F52" t="s">
        <v>422</v>
      </c>
      <c r="G52" t="s">
        <v>15</v>
      </c>
      <c r="H52">
        <v>232.42057729538999</v>
      </c>
    </row>
    <row r="53" spans="1:8" x14ac:dyDescent="0.3">
      <c r="A53" t="s">
        <v>662</v>
      </c>
      <c r="B53">
        <v>-1</v>
      </c>
      <c r="C53">
        <v>2050</v>
      </c>
      <c r="D53" t="s">
        <v>314</v>
      </c>
      <c r="E53" t="s">
        <v>398</v>
      </c>
      <c r="F53" t="s">
        <v>46</v>
      </c>
      <c r="G53" t="s">
        <v>15</v>
      </c>
      <c r="H53">
        <v>5.6880255999999996</v>
      </c>
    </row>
    <row r="54" spans="1:8" x14ac:dyDescent="0.3">
      <c r="A54" t="s">
        <v>662</v>
      </c>
      <c r="B54">
        <v>-1</v>
      </c>
      <c r="C54">
        <v>2050</v>
      </c>
      <c r="D54" t="s">
        <v>314</v>
      </c>
      <c r="E54" t="s">
        <v>398</v>
      </c>
      <c r="F54" t="s">
        <v>420</v>
      </c>
      <c r="G54" t="s">
        <v>15</v>
      </c>
      <c r="H54">
        <v>0.29936976842105284</v>
      </c>
    </row>
    <row r="55" spans="1:8" x14ac:dyDescent="0.3">
      <c r="A55" t="s">
        <v>662</v>
      </c>
      <c r="B55">
        <v>-1</v>
      </c>
      <c r="C55">
        <v>2050</v>
      </c>
      <c r="D55" t="s">
        <v>314</v>
      </c>
      <c r="E55" t="s">
        <v>398</v>
      </c>
      <c r="F55" t="s">
        <v>421</v>
      </c>
      <c r="G55" t="s">
        <v>15</v>
      </c>
      <c r="H55">
        <v>0.16124277949425697</v>
      </c>
    </row>
    <row r="56" spans="1:8" x14ac:dyDescent="0.3">
      <c r="A56" t="s">
        <v>662</v>
      </c>
      <c r="B56">
        <v>-1</v>
      </c>
      <c r="C56">
        <v>2050</v>
      </c>
      <c r="D56" t="s">
        <v>314</v>
      </c>
      <c r="E56" t="s">
        <v>398</v>
      </c>
      <c r="F56" t="s">
        <v>422</v>
      </c>
      <c r="G56" t="s">
        <v>15</v>
      </c>
      <c r="H56">
        <v>2.9814282032100729E-2</v>
      </c>
    </row>
    <row r="57" spans="1:8" x14ac:dyDescent="0.3">
      <c r="A57" t="s">
        <v>662</v>
      </c>
      <c r="B57">
        <v>-1</v>
      </c>
      <c r="C57">
        <v>2050</v>
      </c>
      <c r="D57" t="s">
        <v>328</v>
      </c>
      <c r="E57" t="s">
        <v>329</v>
      </c>
      <c r="F57" t="s">
        <v>46</v>
      </c>
      <c r="G57" t="s">
        <v>15</v>
      </c>
      <c r="H57">
        <v>7.4595555555555562</v>
      </c>
    </row>
    <row r="58" spans="1:8" x14ac:dyDescent="0.3">
      <c r="A58" t="s">
        <v>662</v>
      </c>
      <c r="B58">
        <v>-1</v>
      </c>
      <c r="C58">
        <v>2050</v>
      </c>
      <c r="D58" t="s">
        <v>328</v>
      </c>
      <c r="E58" t="s">
        <v>329</v>
      </c>
      <c r="F58" t="s">
        <v>420</v>
      </c>
      <c r="G58" t="s">
        <v>15</v>
      </c>
      <c r="H58">
        <v>0.39260818713450291</v>
      </c>
    </row>
    <row r="59" spans="1:8" x14ac:dyDescent="0.3">
      <c r="A59" t="s">
        <v>662</v>
      </c>
      <c r="B59">
        <v>-1</v>
      </c>
      <c r="C59">
        <v>2050</v>
      </c>
      <c r="D59" t="s">
        <v>328</v>
      </c>
      <c r="E59" t="s">
        <v>329</v>
      </c>
      <c r="F59" t="s">
        <v>421</v>
      </c>
      <c r="G59" t="s">
        <v>15</v>
      </c>
      <c r="H59">
        <v>0.14794666680915478</v>
      </c>
    </row>
    <row r="60" spans="1:8" x14ac:dyDescent="0.3">
      <c r="A60" t="s">
        <v>662</v>
      </c>
      <c r="B60">
        <v>-1</v>
      </c>
      <c r="C60">
        <v>2050</v>
      </c>
      <c r="D60" t="s">
        <v>330</v>
      </c>
      <c r="E60" t="s">
        <v>331</v>
      </c>
      <c r="F60" t="s">
        <v>46</v>
      </c>
      <c r="G60" t="s">
        <v>15</v>
      </c>
      <c r="H60">
        <v>6.1549999999999958</v>
      </c>
    </row>
    <row r="61" spans="1:8" x14ac:dyDescent="0.3">
      <c r="A61" t="s">
        <v>662</v>
      </c>
      <c r="B61">
        <v>-1</v>
      </c>
      <c r="C61">
        <v>2050</v>
      </c>
      <c r="D61" t="s">
        <v>330</v>
      </c>
      <c r="E61" t="s">
        <v>331</v>
      </c>
      <c r="F61" t="s">
        <v>420</v>
      </c>
      <c r="G61" t="s">
        <v>15</v>
      </c>
      <c r="H61">
        <v>0.32394736842105226</v>
      </c>
    </row>
    <row r="62" spans="1:8" x14ac:dyDescent="0.3">
      <c r="A62" t="s">
        <v>662</v>
      </c>
      <c r="B62">
        <v>-1</v>
      </c>
      <c r="C62">
        <v>2050</v>
      </c>
      <c r="D62" t="s">
        <v>330</v>
      </c>
      <c r="E62" t="s">
        <v>331</v>
      </c>
      <c r="F62" t="s">
        <v>421</v>
      </c>
      <c r="G62" t="s">
        <v>15</v>
      </c>
      <c r="H62">
        <v>7.673766683838816E-2</v>
      </c>
    </row>
    <row r="63" spans="1:8" x14ac:dyDescent="0.3">
      <c r="A63" t="s">
        <v>662</v>
      </c>
      <c r="B63">
        <v>-1</v>
      </c>
      <c r="C63">
        <v>2050</v>
      </c>
      <c r="D63" t="s">
        <v>332</v>
      </c>
      <c r="E63" t="s">
        <v>333</v>
      </c>
      <c r="F63" t="s">
        <v>46</v>
      </c>
      <c r="G63" t="s">
        <v>15</v>
      </c>
      <c r="H63">
        <v>9.4520000000000017</v>
      </c>
    </row>
    <row r="64" spans="1:8" x14ac:dyDescent="0.3">
      <c r="A64" t="s">
        <v>662</v>
      </c>
      <c r="B64">
        <v>-1</v>
      </c>
      <c r="C64">
        <v>2050</v>
      </c>
      <c r="D64" t="s">
        <v>332</v>
      </c>
      <c r="E64" t="s">
        <v>333</v>
      </c>
      <c r="F64" t="s">
        <v>420</v>
      </c>
      <c r="G64" t="s">
        <v>15</v>
      </c>
      <c r="H64">
        <v>0.49747368421052629</v>
      </c>
    </row>
    <row r="65" spans="1:8" x14ac:dyDescent="0.3">
      <c r="A65" t="s">
        <v>662</v>
      </c>
      <c r="B65">
        <v>-1</v>
      </c>
      <c r="C65">
        <v>2050</v>
      </c>
      <c r="D65" t="s">
        <v>332</v>
      </c>
      <c r="E65" t="s">
        <v>333</v>
      </c>
      <c r="F65" t="s">
        <v>421</v>
      </c>
      <c r="G65" t="s">
        <v>15</v>
      </c>
      <c r="H65">
        <v>4.5179387576333122E-2</v>
      </c>
    </row>
    <row r="66" spans="1:8" x14ac:dyDescent="0.3">
      <c r="A66" t="s">
        <v>662</v>
      </c>
      <c r="B66">
        <v>-1</v>
      </c>
      <c r="C66">
        <v>2050</v>
      </c>
      <c r="D66" t="s">
        <v>332</v>
      </c>
      <c r="E66" t="s">
        <v>333</v>
      </c>
      <c r="F66" t="s">
        <v>422</v>
      </c>
      <c r="G66" t="s">
        <v>15</v>
      </c>
      <c r="H66">
        <v>52.599389420855388</v>
      </c>
    </row>
    <row r="67" spans="1:8" x14ac:dyDescent="0.3">
      <c r="A67" t="s">
        <v>662</v>
      </c>
      <c r="B67">
        <v>-1</v>
      </c>
      <c r="C67">
        <v>2050</v>
      </c>
      <c r="D67" t="s">
        <v>336</v>
      </c>
      <c r="E67" t="s">
        <v>337</v>
      </c>
      <c r="F67" t="s">
        <v>46</v>
      </c>
      <c r="G67" t="s">
        <v>15</v>
      </c>
      <c r="H67">
        <v>136.67411111111107</v>
      </c>
    </row>
    <row r="68" spans="1:8" x14ac:dyDescent="0.3">
      <c r="A68" t="s">
        <v>662</v>
      </c>
      <c r="B68">
        <v>-1</v>
      </c>
      <c r="C68">
        <v>2050</v>
      </c>
      <c r="D68" t="s">
        <v>336</v>
      </c>
      <c r="E68" t="s">
        <v>337</v>
      </c>
      <c r="F68" t="s">
        <v>420</v>
      </c>
      <c r="G68" t="s">
        <v>15</v>
      </c>
      <c r="H68">
        <v>7.225272855259087</v>
      </c>
    </row>
    <row r="69" spans="1:8" x14ac:dyDescent="0.3">
      <c r="A69" t="s">
        <v>662</v>
      </c>
      <c r="B69">
        <v>-1</v>
      </c>
      <c r="C69">
        <v>2050</v>
      </c>
      <c r="D69" t="s">
        <v>336</v>
      </c>
      <c r="E69" t="s">
        <v>337</v>
      </c>
      <c r="F69" t="s">
        <v>421</v>
      </c>
      <c r="G69" t="s">
        <v>15</v>
      </c>
      <c r="H69">
        <v>0.70657024824005377</v>
      </c>
    </row>
    <row r="70" spans="1:8" x14ac:dyDescent="0.3">
      <c r="A70" t="s">
        <v>662</v>
      </c>
      <c r="B70">
        <v>-1</v>
      </c>
      <c r="C70">
        <v>2050</v>
      </c>
      <c r="D70" t="s">
        <v>336</v>
      </c>
      <c r="E70" t="s">
        <v>337</v>
      </c>
      <c r="F70" t="s">
        <v>422</v>
      </c>
      <c r="G70" t="s">
        <v>15</v>
      </c>
      <c r="H70">
        <v>359.04008170899192</v>
      </c>
    </row>
    <row r="71" spans="1:8" x14ac:dyDescent="0.3">
      <c r="A71" t="s">
        <v>662</v>
      </c>
      <c r="B71">
        <v>-1</v>
      </c>
      <c r="C71">
        <v>2050</v>
      </c>
      <c r="D71" t="s">
        <v>338</v>
      </c>
      <c r="E71" t="s">
        <v>339</v>
      </c>
      <c r="F71" t="s">
        <v>46</v>
      </c>
      <c r="G71" t="s">
        <v>15</v>
      </c>
      <c r="H71">
        <v>75.553333333333327</v>
      </c>
    </row>
    <row r="72" spans="1:8" x14ac:dyDescent="0.3">
      <c r="A72" t="s">
        <v>662</v>
      </c>
      <c r="B72">
        <v>-1</v>
      </c>
      <c r="C72">
        <v>2050</v>
      </c>
      <c r="D72" t="s">
        <v>338</v>
      </c>
      <c r="E72" t="s">
        <v>339</v>
      </c>
      <c r="F72" t="s">
        <v>420</v>
      </c>
      <c r="G72" t="s">
        <v>15</v>
      </c>
      <c r="H72">
        <v>3.9764912280701759</v>
      </c>
    </row>
    <row r="73" spans="1:8" x14ac:dyDescent="0.3">
      <c r="A73" t="s">
        <v>662</v>
      </c>
      <c r="B73">
        <v>-1</v>
      </c>
      <c r="C73">
        <v>2050</v>
      </c>
      <c r="D73" t="s">
        <v>338</v>
      </c>
      <c r="E73" t="s">
        <v>339</v>
      </c>
      <c r="F73" t="s">
        <v>421</v>
      </c>
      <c r="G73" t="s">
        <v>15</v>
      </c>
      <c r="H73">
        <v>1.3911137960908408</v>
      </c>
    </row>
    <row r="74" spans="1:8" x14ac:dyDescent="0.3">
      <c r="A74" t="s">
        <v>662</v>
      </c>
      <c r="B74">
        <v>-1</v>
      </c>
      <c r="C74">
        <v>2050</v>
      </c>
      <c r="D74" t="s">
        <v>340</v>
      </c>
      <c r="E74" t="s">
        <v>399</v>
      </c>
      <c r="F74" t="s">
        <v>46</v>
      </c>
      <c r="G74" t="s">
        <v>15</v>
      </c>
      <c r="H74">
        <v>422.78444999999994</v>
      </c>
    </row>
    <row r="75" spans="1:8" x14ac:dyDescent="0.3">
      <c r="A75" t="s">
        <v>662</v>
      </c>
      <c r="B75">
        <v>-1</v>
      </c>
      <c r="C75">
        <v>2050</v>
      </c>
      <c r="D75" t="s">
        <v>340</v>
      </c>
      <c r="E75" t="s">
        <v>399</v>
      </c>
      <c r="F75" t="s">
        <v>420</v>
      </c>
      <c r="G75" t="s">
        <v>15</v>
      </c>
      <c r="H75">
        <v>22.342248008834613</v>
      </c>
    </row>
    <row r="76" spans="1:8" x14ac:dyDescent="0.3">
      <c r="A76" t="s">
        <v>662</v>
      </c>
      <c r="B76">
        <v>-1</v>
      </c>
      <c r="C76">
        <v>2050</v>
      </c>
      <c r="D76" t="s">
        <v>340</v>
      </c>
      <c r="E76" t="s">
        <v>399</v>
      </c>
      <c r="F76" t="s">
        <v>421</v>
      </c>
      <c r="G76" t="s">
        <v>15</v>
      </c>
      <c r="H76">
        <v>2.6655615149548839</v>
      </c>
    </row>
    <row r="77" spans="1:8" x14ac:dyDescent="0.3">
      <c r="A77" t="s">
        <v>662</v>
      </c>
      <c r="B77">
        <v>-1</v>
      </c>
      <c r="C77">
        <v>2050</v>
      </c>
      <c r="D77" t="s">
        <v>340</v>
      </c>
      <c r="E77" t="s">
        <v>399</v>
      </c>
      <c r="F77" t="s">
        <v>422</v>
      </c>
      <c r="G77" t="s">
        <v>15</v>
      </c>
      <c r="H77">
        <v>249.13524698203187</v>
      </c>
    </row>
    <row r="78" spans="1:8" x14ac:dyDescent="0.3">
      <c r="A78" t="s">
        <v>662</v>
      </c>
      <c r="B78">
        <v>-1</v>
      </c>
      <c r="C78">
        <v>2050</v>
      </c>
      <c r="D78" t="s">
        <v>340</v>
      </c>
      <c r="E78" t="s">
        <v>400</v>
      </c>
      <c r="F78" t="s">
        <v>46</v>
      </c>
      <c r="G78" t="s">
        <v>15</v>
      </c>
      <c r="H78">
        <v>4.2705499999999992</v>
      </c>
    </row>
    <row r="79" spans="1:8" x14ac:dyDescent="0.3">
      <c r="A79" t="s">
        <v>662</v>
      </c>
      <c r="B79">
        <v>-1</v>
      </c>
      <c r="C79">
        <v>2050</v>
      </c>
      <c r="D79" t="s">
        <v>340</v>
      </c>
      <c r="E79" t="s">
        <v>400</v>
      </c>
      <c r="F79" t="s">
        <v>420</v>
      </c>
      <c r="G79" t="s">
        <v>15</v>
      </c>
      <c r="H79">
        <v>0.22476578947368417</v>
      </c>
    </row>
    <row r="80" spans="1:8" x14ac:dyDescent="0.3">
      <c r="A80" t="s">
        <v>662</v>
      </c>
      <c r="B80">
        <v>-1</v>
      </c>
      <c r="C80">
        <v>2050</v>
      </c>
      <c r="D80" t="s">
        <v>340</v>
      </c>
      <c r="E80" t="s">
        <v>400</v>
      </c>
      <c r="F80" t="s">
        <v>421</v>
      </c>
      <c r="G80" t="s">
        <v>15</v>
      </c>
      <c r="H80">
        <v>2.029642771986712E-2</v>
      </c>
    </row>
    <row r="81" spans="1:8" x14ac:dyDescent="0.3">
      <c r="A81" t="s">
        <v>662</v>
      </c>
      <c r="B81">
        <v>-1</v>
      </c>
      <c r="C81">
        <v>2050</v>
      </c>
      <c r="D81" t="s">
        <v>340</v>
      </c>
      <c r="E81" t="s">
        <v>400</v>
      </c>
      <c r="F81" t="s">
        <v>422</v>
      </c>
      <c r="G81" t="s">
        <v>15</v>
      </c>
      <c r="H81">
        <v>2.2254885287992114</v>
      </c>
    </row>
    <row r="82" spans="1:8" x14ac:dyDescent="0.3">
      <c r="A82" t="s">
        <v>662</v>
      </c>
      <c r="B82">
        <v>-1</v>
      </c>
      <c r="C82">
        <v>2050</v>
      </c>
      <c r="D82" t="s">
        <v>346</v>
      </c>
      <c r="E82" t="s">
        <v>401</v>
      </c>
      <c r="F82" t="s">
        <v>46</v>
      </c>
      <c r="G82" t="s">
        <v>15</v>
      </c>
      <c r="H82">
        <v>5.7899964187344217</v>
      </c>
    </row>
    <row r="83" spans="1:8" x14ac:dyDescent="0.3">
      <c r="A83" t="s">
        <v>662</v>
      </c>
      <c r="B83">
        <v>-1</v>
      </c>
      <c r="C83">
        <v>2050</v>
      </c>
      <c r="D83" t="s">
        <v>346</v>
      </c>
      <c r="E83" t="s">
        <v>401</v>
      </c>
      <c r="F83" t="s">
        <v>420</v>
      </c>
      <c r="G83" t="s">
        <v>15</v>
      </c>
      <c r="H83">
        <v>0.30473665361760133</v>
      </c>
    </row>
    <row r="84" spans="1:8" x14ac:dyDescent="0.3">
      <c r="A84" t="s">
        <v>662</v>
      </c>
      <c r="B84">
        <v>-1</v>
      </c>
      <c r="C84">
        <v>2050</v>
      </c>
      <c r="D84" t="s">
        <v>346</v>
      </c>
      <c r="E84" t="s">
        <v>401</v>
      </c>
      <c r="F84" t="s">
        <v>421</v>
      </c>
      <c r="G84" t="s">
        <v>15</v>
      </c>
      <c r="H84">
        <v>0.42958884613586634</v>
      </c>
    </row>
    <row r="85" spans="1:8" x14ac:dyDescent="0.3">
      <c r="A85" t="s">
        <v>662</v>
      </c>
      <c r="B85">
        <v>-1</v>
      </c>
      <c r="C85">
        <v>2050</v>
      </c>
      <c r="D85" t="s">
        <v>346</v>
      </c>
      <c r="E85" t="s">
        <v>401</v>
      </c>
      <c r="F85" t="s">
        <v>422</v>
      </c>
      <c r="G85" t="s">
        <v>15</v>
      </c>
      <c r="H85">
        <v>1.1752133703561214</v>
      </c>
    </row>
    <row r="86" spans="1:8" x14ac:dyDescent="0.3">
      <c r="A86" t="s">
        <v>662</v>
      </c>
      <c r="B86">
        <v>-1</v>
      </c>
      <c r="C86">
        <v>2050</v>
      </c>
      <c r="D86" t="s">
        <v>346</v>
      </c>
      <c r="E86" t="s">
        <v>402</v>
      </c>
      <c r="F86" t="s">
        <v>46</v>
      </c>
      <c r="G86" t="s">
        <v>15</v>
      </c>
      <c r="H86">
        <v>26.200973414135508</v>
      </c>
    </row>
    <row r="87" spans="1:8" x14ac:dyDescent="0.3">
      <c r="A87" t="s">
        <v>662</v>
      </c>
      <c r="B87">
        <v>-1</v>
      </c>
      <c r="C87">
        <v>2050</v>
      </c>
      <c r="D87" t="s">
        <v>346</v>
      </c>
      <c r="E87" t="s">
        <v>402</v>
      </c>
      <c r="F87" t="s">
        <v>420</v>
      </c>
      <c r="G87" t="s">
        <v>15</v>
      </c>
      <c r="H87">
        <v>1.3789986007439747</v>
      </c>
    </row>
    <row r="88" spans="1:8" x14ac:dyDescent="0.3">
      <c r="A88" t="s">
        <v>662</v>
      </c>
      <c r="B88">
        <v>-1</v>
      </c>
      <c r="C88">
        <v>2050</v>
      </c>
      <c r="D88" t="s">
        <v>346</v>
      </c>
      <c r="E88" t="s">
        <v>402</v>
      </c>
      <c r="F88" t="s">
        <v>421</v>
      </c>
      <c r="G88" t="s">
        <v>15</v>
      </c>
      <c r="H88">
        <v>0.92594723179445648</v>
      </c>
    </row>
    <row r="89" spans="1:8" x14ac:dyDescent="0.3">
      <c r="A89" t="s">
        <v>662</v>
      </c>
      <c r="B89">
        <v>-1</v>
      </c>
      <c r="C89">
        <v>2050</v>
      </c>
      <c r="D89" t="s">
        <v>346</v>
      </c>
      <c r="E89" t="s">
        <v>402</v>
      </c>
      <c r="F89" t="s">
        <v>422</v>
      </c>
      <c r="G89" t="s">
        <v>15</v>
      </c>
      <c r="H89">
        <v>0.93995413321004584</v>
      </c>
    </row>
    <row r="90" spans="1:8" x14ac:dyDescent="0.3">
      <c r="A90" t="s">
        <v>662</v>
      </c>
      <c r="B90">
        <v>-1</v>
      </c>
      <c r="C90">
        <v>2050</v>
      </c>
      <c r="D90" t="s">
        <v>346</v>
      </c>
      <c r="E90" t="s">
        <v>415</v>
      </c>
      <c r="F90" t="s">
        <v>421</v>
      </c>
      <c r="G90" t="s">
        <v>15</v>
      </c>
      <c r="H90">
        <v>5.3021011704181692E-2</v>
      </c>
    </row>
    <row r="91" spans="1:8" x14ac:dyDescent="0.3">
      <c r="A91" t="s">
        <v>662</v>
      </c>
      <c r="B91">
        <v>-1</v>
      </c>
      <c r="C91">
        <v>2050</v>
      </c>
      <c r="D91" t="s">
        <v>346</v>
      </c>
      <c r="E91" t="s">
        <v>403</v>
      </c>
      <c r="F91" t="s">
        <v>46</v>
      </c>
      <c r="G91" t="s">
        <v>15</v>
      </c>
      <c r="H91">
        <v>48.904563450139378</v>
      </c>
    </row>
    <row r="92" spans="1:8" x14ac:dyDescent="0.3">
      <c r="A92" t="s">
        <v>662</v>
      </c>
      <c r="B92">
        <v>-1</v>
      </c>
      <c r="C92">
        <v>2050</v>
      </c>
      <c r="D92" t="s">
        <v>346</v>
      </c>
      <c r="E92" t="s">
        <v>403</v>
      </c>
      <c r="F92" t="s">
        <v>420</v>
      </c>
      <c r="G92" t="s">
        <v>15</v>
      </c>
      <c r="H92">
        <v>2.5739243921125987</v>
      </c>
    </row>
    <row r="93" spans="1:8" x14ac:dyDescent="0.3">
      <c r="A93" t="s">
        <v>662</v>
      </c>
      <c r="B93">
        <v>-1</v>
      </c>
      <c r="C93">
        <v>2050</v>
      </c>
      <c r="D93" t="s">
        <v>346</v>
      </c>
      <c r="E93" t="s">
        <v>403</v>
      </c>
      <c r="F93" t="s">
        <v>421</v>
      </c>
      <c r="G93" t="s">
        <v>15</v>
      </c>
      <c r="H93">
        <v>1.156527731646096</v>
      </c>
    </row>
    <row r="94" spans="1:8" x14ac:dyDescent="0.3">
      <c r="A94" t="s">
        <v>662</v>
      </c>
      <c r="B94">
        <v>-1</v>
      </c>
      <c r="C94">
        <v>2050</v>
      </c>
      <c r="D94" t="s">
        <v>346</v>
      </c>
      <c r="E94" t="s">
        <v>403</v>
      </c>
      <c r="F94" t="s">
        <v>422</v>
      </c>
      <c r="G94" t="s">
        <v>15</v>
      </c>
      <c r="H94">
        <v>2.222280468846185</v>
      </c>
    </row>
    <row r="95" spans="1:8" x14ac:dyDescent="0.3">
      <c r="A95" t="s">
        <v>662</v>
      </c>
      <c r="B95">
        <v>-1</v>
      </c>
      <c r="C95">
        <v>2050</v>
      </c>
      <c r="D95" t="s">
        <v>346</v>
      </c>
      <c r="E95" t="s">
        <v>404</v>
      </c>
      <c r="F95" t="s">
        <v>46</v>
      </c>
      <c r="G95" t="s">
        <v>15</v>
      </c>
      <c r="H95">
        <v>159.18001633167373</v>
      </c>
    </row>
    <row r="96" spans="1:8" x14ac:dyDescent="0.3">
      <c r="A96" t="s">
        <v>662</v>
      </c>
      <c r="B96">
        <v>-1</v>
      </c>
      <c r="C96">
        <v>2050</v>
      </c>
      <c r="D96" t="s">
        <v>346</v>
      </c>
      <c r="E96" t="s">
        <v>404</v>
      </c>
      <c r="F96" t="s">
        <v>420</v>
      </c>
      <c r="G96" t="s">
        <v>15</v>
      </c>
      <c r="H96">
        <v>8.3778955964038815</v>
      </c>
    </row>
    <row r="97" spans="1:8" x14ac:dyDescent="0.3">
      <c r="A97" t="s">
        <v>662</v>
      </c>
      <c r="B97">
        <v>-1</v>
      </c>
      <c r="C97">
        <v>2050</v>
      </c>
      <c r="D97" t="s">
        <v>346</v>
      </c>
      <c r="E97" t="s">
        <v>404</v>
      </c>
      <c r="F97" t="s">
        <v>421</v>
      </c>
      <c r="G97" t="s">
        <v>15</v>
      </c>
      <c r="H97">
        <v>3.5660284181306259</v>
      </c>
    </row>
    <row r="98" spans="1:8" x14ac:dyDescent="0.3">
      <c r="A98" t="s">
        <v>662</v>
      </c>
      <c r="B98">
        <v>-1</v>
      </c>
      <c r="C98">
        <v>2050</v>
      </c>
      <c r="D98" t="s">
        <v>346</v>
      </c>
      <c r="E98" t="s">
        <v>404</v>
      </c>
      <c r="F98" t="s">
        <v>422</v>
      </c>
      <c r="G98" t="s">
        <v>15</v>
      </c>
      <c r="H98">
        <v>12.770165565601582</v>
      </c>
    </row>
    <row r="99" spans="1:8" x14ac:dyDescent="0.3">
      <c r="A99" t="s">
        <v>662</v>
      </c>
      <c r="B99">
        <v>-1</v>
      </c>
      <c r="C99">
        <v>2050</v>
      </c>
      <c r="D99" t="s">
        <v>346</v>
      </c>
      <c r="E99" t="s">
        <v>405</v>
      </c>
      <c r="F99" t="s">
        <v>46</v>
      </c>
      <c r="G99" t="s">
        <v>15</v>
      </c>
      <c r="H99">
        <v>21.905336505734663</v>
      </c>
    </row>
    <row r="100" spans="1:8" x14ac:dyDescent="0.3">
      <c r="A100" t="s">
        <v>662</v>
      </c>
      <c r="B100">
        <v>-1</v>
      </c>
      <c r="C100">
        <v>2050</v>
      </c>
      <c r="D100" t="s">
        <v>346</v>
      </c>
      <c r="E100" t="s">
        <v>405</v>
      </c>
      <c r="F100" t="s">
        <v>420</v>
      </c>
      <c r="G100" t="s">
        <v>15</v>
      </c>
      <c r="H100">
        <v>1.152912447670245</v>
      </c>
    </row>
    <row r="101" spans="1:8" x14ac:dyDescent="0.3">
      <c r="A101" t="s">
        <v>662</v>
      </c>
      <c r="B101">
        <v>-1</v>
      </c>
      <c r="C101">
        <v>2050</v>
      </c>
      <c r="D101" t="s">
        <v>346</v>
      </c>
      <c r="E101" t="s">
        <v>405</v>
      </c>
      <c r="F101" t="s">
        <v>421</v>
      </c>
      <c r="G101" t="s">
        <v>15</v>
      </c>
      <c r="H101">
        <v>0.57814328423318928</v>
      </c>
    </row>
    <row r="102" spans="1:8" x14ac:dyDescent="0.3">
      <c r="A102" t="s">
        <v>662</v>
      </c>
      <c r="B102">
        <v>-1</v>
      </c>
      <c r="C102">
        <v>2050</v>
      </c>
      <c r="D102" t="s">
        <v>346</v>
      </c>
      <c r="E102" t="s">
        <v>405</v>
      </c>
      <c r="F102" t="s">
        <v>422</v>
      </c>
      <c r="G102" t="s">
        <v>15</v>
      </c>
      <c r="H102">
        <v>83.128063947838157</v>
      </c>
    </row>
    <row r="103" spans="1:8" x14ac:dyDescent="0.3">
      <c r="A103" t="s">
        <v>662</v>
      </c>
      <c r="B103">
        <v>-1</v>
      </c>
      <c r="C103">
        <v>2050</v>
      </c>
      <c r="D103" t="s">
        <v>346</v>
      </c>
      <c r="E103" t="s">
        <v>406</v>
      </c>
      <c r="F103" t="s">
        <v>46</v>
      </c>
      <c r="G103" t="s">
        <v>15</v>
      </c>
      <c r="H103">
        <v>8.7200490303251783</v>
      </c>
    </row>
    <row r="104" spans="1:8" x14ac:dyDescent="0.3">
      <c r="A104" t="s">
        <v>662</v>
      </c>
      <c r="B104">
        <v>-1</v>
      </c>
      <c r="C104">
        <v>2050</v>
      </c>
      <c r="D104" t="s">
        <v>346</v>
      </c>
      <c r="E104" t="s">
        <v>406</v>
      </c>
      <c r="F104" t="s">
        <v>420</v>
      </c>
      <c r="G104" t="s">
        <v>15</v>
      </c>
      <c r="H104">
        <v>0.45894994896448305</v>
      </c>
    </row>
    <row r="105" spans="1:8" x14ac:dyDescent="0.3">
      <c r="A105" t="s">
        <v>662</v>
      </c>
      <c r="B105">
        <v>-1</v>
      </c>
      <c r="C105">
        <v>2050</v>
      </c>
      <c r="D105" t="s">
        <v>346</v>
      </c>
      <c r="E105" t="s">
        <v>406</v>
      </c>
      <c r="F105" t="s">
        <v>421</v>
      </c>
      <c r="G105" t="s">
        <v>15</v>
      </c>
      <c r="H105">
        <v>7.5333805003199916E-2</v>
      </c>
    </row>
    <row r="106" spans="1:8" x14ac:dyDescent="0.3">
      <c r="A106" t="s">
        <v>662</v>
      </c>
      <c r="B106">
        <v>-1</v>
      </c>
      <c r="C106">
        <v>2050</v>
      </c>
      <c r="D106" t="s">
        <v>346</v>
      </c>
      <c r="E106" t="s">
        <v>407</v>
      </c>
      <c r="F106" t="s">
        <v>46</v>
      </c>
      <c r="G106" t="s">
        <v>15</v>
      </c>
      <c r="H106">
        <v>18.554042953090381</v>
      </c>
    </row>
    <row r="107" spans="1:8" x14ac:dyDescent="0.3">
      <c r="A107" t="s">
        <v>662</v>
      </c>
      <c r="B107">
        <v>-1</v>
      </c>
      <c r="C107">
        <v>2050</v>
      </c>
      <c r="D107" t="s">
        <v>346</v>
      </c>
      <c r="E107" t="s">
        <v>407</v>
      </c>
      <c r="F107" t="s">
        <v>420</v>
      </c>
      <c r="G107" t="s">
        <v>15</v>
      </c>
      <c r="H107">
        <v>0.97652857647844049</v>
      </c>
    </row>
    <row r="108" spans="1:8" x14ac:dyDescent="0.3">
      <c r="A108" t="s">
        <v>662</v>
      </c>
      <c r="B108">
        <v>-1</v>
      </c>
      <c r="C108">
        <v>2050</v>
      </c>
      <c r="D108" t="s">
        <v>346</v>
      </c>
      <c r="E108" t="s">
        <v>407</v>
      </c>
      <c r="F108" t="s">
        <v>421</v>
      </c>
      <c r="G108" t="s">
        <v>15</v>
      </c>
      <c r="H108">
        <v>0.31823386928969605</v>
      </c>
    </row>
    <row r="109" spans="1:8" x14ac:dyDescent="0.3">
      <c r="A109" t="s">
        <v>662</v>
      </c>
      <c r="B109">
        <v>-1</v>
      </c>
      <c r="C109">
        <v>2050</v>
      </c>
      <c r="D109" t="s">
        <v>346</v>
      </c>
      <c r="E109" t="s">
        <v>407</v>
      </c>
      <c r="F109" t="s">
        <v>422</v>
      </c>
      <c r="G109" t="s">
        <v>15</v>
      </c>
      <c r="H109">
        <v>31.646043748101267</v>
      </c>
    </row>
    <row r="110" spans="1:8" x14ac:dyDescent="0.3">
      <c r="A110" t="s">
        <v>662</v>
      </c>
      <c r="B110">
        <v>-1</v>
      </c>
      <c r="C110">
        <v>2050</v>
      </c>
      <c r="D110" t="s">
        <v>348</v>
      </c>
      <c r="E110" t="s">
        <v>349</v>
      </c>
      <c r="F110" t="s">
        <v>46</v>
      </c>
      <c r="G110" t="s">
        <v>15</v>
      </c>
      <c r="H110">
        <v>44.813024175833334</v>
      </c>
    </row>
    <row r="111" spans="1:8" x14ac:dyDescent="0.3">
      <c r="A111" t="s">
        <v>662</v>
      </c>
      <c r="B111">
        <v>-1</v>
      </c>
      <c r="C111">
        <v>2050</v>
      </c>
      <c r="D111" t="s">
        <v>348</v>
      </c>
      <c r="E111" t="s">
        <v>349</v>
      </c>
      <c r="F111" t="s">
        <v>420</v>
      </c>
      <c r="G111" t="s">
        <v>15</v>
      </c>
      <c r="H111">
        <v>2.358580219780702</v>
      </c>
    </row>
    <row r="112" spans="1:8" x14ac:dyDescent="0.3">
      <c r="A112" t="s">
        <v>662</v>
      </c>
      <c r="B112">
        <v>-1</v>
      </c>
      <c r="C112">
        <v>2050</v>
      </c>
      <c r="D112" t="s">
        <v>348</v>
      </c>
      <c r="E112" t="s">
        <v>349</v>
      </c>
      <c r="F112" t="s">
        <v>421</v>
      </c>
      <c r="G112" t="s">
        <v>15</v>
      </c>
      <c r="H112">
        <v>0.67336736450686063</v>
      </c>
    </row>
    <row r="113" spans="1:8" x14ac:dyDescent="0.3">
      <c r="A113" t="s">
        <v>662</v>
      </c>
      <c r="B113">
        <v>-1</v>
      </c>
      <c r="C113">
        <v>2050</v>
      </c>
      <c r="D113" t="s">
        <v>348</v>
      </c>
      <c r="E113" t="s">
        <v>349</v>
      </c>
      <c r="F113" t="s">
        <v>422</v>
      </c>
      <c r="G113" t="s">
        <v>15</v>
      </c>
      <c r="H113">
        <v>50.395416241988244</v>
      </c>
    </row>
    <row r="114" spans="1:8" x14ac:dyDescent="0.3">
      <c r="A114" t="s">
        <v>662</v>
      </c>
      <c r="B114">
        <v>-1</v>
      </c>
      <c r="C114">
        <v>2050</v>
      </c>
      <c r="D114" t="s">
        <v>350</v>
      </c>
      <c r="E114" t="s">
        <v>351</v>
      </c>
      <c r="F114" t="s">
        <v>46</v>
      </c>
      <c r="G114" t="s">
        <v>15</v>
      </c>
      <c r="H114">
        <v>66.001900648666663</v>
      </c>
    </row>
    <row r="115" spans="1:8" x14ac:dyDescent="0.3">
      <c r="A115" t="s">
        <v>662</v>
      </c>
      <c r="B115">
        <v>-1</v>
      </c>
      <c r="C115">
        <v>2050</v>
      </c>
      <c r="D115" t="s">
        <v>350</v>
      </c>
      <c r="E115" t="s">
        <v>351</v>
      </c>
      <c r="F115" t="s">
        <v>420</v>
      </c>
      <c r="G115" t="s">
        <v>15</v>
      </c>
      <c r="H115">
        <v>3.4737842446666667</v>
      </c>
    </row>
    <row r="116" spans="1:8" x14ac:dyDescent="0.3">
      <c r="A116" t="s">
        <v>662</v>
      </c>
      <c r="B116">
        <v>-1</v>
      </c>
      <c r="C116">
        <v>2050</v>
      </c>
      <c r="D116" t="s">
        <v>350</v>
      </c>
      <c r="E116" t="s">
        <v>351</v>
      </c>
      <c r="F116" t="s">
        <v>421</v>
      </c>
      <c r="G116" t="s">
        <v>15</v>
      </c>
      <c r="H116">
        <v>0.63627496235589742</v>
      </c>
    </row>
    <row r="117" spans="1:8" x14ac:dyDescent="0.3">
      <c r="A117" t="s">
        <v>662</v>
      </c>
      <c r="B117">
        <v>-1</v>
      </c>
      <c r="C117">
        <v>2050</v>
      </c>
      <c r="D117" t="s">
        <v>350</v>
      </c>
      <c r="E117" t="s">
        <v>351</v>
      </c>
      <c r="F117" t="s">
        <v>422</v>
      </c>
      <c r="G117" t="s">
        <v>15</v>
      </c>
      <c r="H117">
        <v>4.4413746392749358</v>
      </c>
    </row>
    <row r="118" spans="1:8" x14ac:dyDescent="0.3">
      <c r="A118" t="s">
        <v>662</v>
      </c>
      <c r="B118">
        <v>-1</v>
      </c>
      <c r="C118">
        <v>2050</v>
      </c>
      <c r="D118" t="s">
        <v>352</v>
      </c>
      <c r="E118" t="s">
        <v>353</v>
      </c>
      <c r="F118" t="s">
        <v>46</v>
      </c>
      <c r="G118" t="s">
        <v>15</v>
      </c>
      <c r="H118">
        <v>60.061507758333342</v>
      </c>
    </row>
    <row r="119" spans="1:8" x14ac:dyDescent="0.3">
      <c r="A119" t="s">
        <v>662</v>
      </c>
      <c r="B119">
        <v>-1</v>
      </c>
      <c r="C119">
        <v>2050</v>
      </c>
      <c r="D119" t="s">
        <v>352</v>
      </c>
      <c r="E119" t="s">
        <v>353</v>
      </c>
      <c r="F119" t="s">
        <v>420</v>
      </c>
      <c r="G119" t="s">
        <v>15</v>
      </c>
      <c r="H119">
        <v>3.1611319872807027</v>
      </c>
    </row>
    <row r="120" spans="1:8" x14ac:dyDescent="0.3">
      <c r="A120" t="s">
        <v>662</v>
      </c>
      <c r="B120">
        <v>-1</v>
      </c>
      <c r="C120">
        <v>2050</v>
      </c>
      <c r="D120" t="s">
        <v>352</v>
      </c>
      <c r="E120" t="s">
        <v>353</v>
      </c>
      <c r="F120" t="s">
        <v>421</v>
      </c>
      <c r="G120" t="s">
        <v>15</v>
      </c>
      <c r="H120">
        <v>0.78861215685949504</v>
      </c>
    </row>
    <row r="121" spans="1:8" x14ac:dyDescent="0.3">
      <c r="A121" t="s">
        <v>662</v>
      </c>
      <c r="B121">
        <v>-1</v>
      </c>
      <c r="C121">
        <v>2050</v>
      </c>
      <c r="D121" t="s">
        <v>352</v>
      </c>
      <c r="E121" t="s">
        <v>353</v>
      </c>
      <c r="F121" t="s">
        <v>422</v>
      </c>
      <c r="G121" t="s">
        <v>15</v>
      </c>
      <c r="H121">
        <v>11.412993077099145</v>
      </c>
    </row>
    <row r="122" spans="1:8" x14ac:dyDescent="0.3">
      <c r="A122" t="s">
        <v>662</v>
      </c>
      <c r="B122">
        <v>-1</v>
      </c>
      <c r="C122">
        <v>2050</v>
      </c>
      <c r="D122" t="s">
        <v>354</v>
      </c>
      <c r="E122" t="s">
        <v>355</v>
      </c>
      <c r="F122" t="s">
        <v>46</v>
      </c>
      <c r="G122" t="s">
        <v>15</v>
      </c>
      <c r="H122">
        <v>229.83865505533342</v>
      </c>
    </row>
    <row r="123" spans="1:8" x14ac:dyDescent="0.3">
      <c r="A123" t="s">
        <v>662</v>
      </c>
      <c r="B123">
        <v>-1</v>
      </c>
      <c r="C123">
        <v>2050</v>
      </c>
      <c r="D123" t="s">
        <v>354</v>
      </c>
      <c r="E123" t="s">
        <v>355</v>
      </c>
      <c r="F123" t="s">
        <v>420</v>
      </c>
      <c r="G123" t="s">
        <v>15</v>
      </c>
      <c r="H123">
        <v>12.096771318701753</v>
      </c>
    </row>
    <row r="124" spans="1:8" x14ac:dyDescent="0.3">
      <c r="A124" t="s">
        <v>662</v>
      </c>
      <c r="B124">
        <v>-1</v>
      </c>
      <c r="C124">
        <v>2050</v>
      </c>
      <c r="D124" t="s">
        <v>354</v>
      </c>
      <c r="E124" t="s">
        <v>355</v>
      </c>
      <c r="F124" t="s">
        <v>421</v>
      </c>
      <c r="G124" t="s">
        <v>15</v>
      </c>
      <c r="H124">
        <v>1.4744106994439075</v>
      </c>
    </row>
    <row r="125" spans="1:8" x14ac:dyDescent="0.3">
      <c r="A125" t="s">
        <v>662</v>
      </c>
      <c r="B125">
        <v>-1</v>
      </c>
      <c r="C125">
        <v>2050</v>
      </c>
      <c r="D125" t="s">
        <v>354</v>
      </c>
      <c r="E125" t="s">
        <v>355</v>
      </c>
      <c r="F125" t="s">
        <v>422</v>
      </c>
      <c r="G125" t="s">
        <v>15</v>
      </c>
      <c r="H125">
        <v>417.87657415188778</v>
      </c>
    </row>
    <row r="126" spans="1:8" x14ac:dyDescent="0.3">
      <c r="A126" t="s">
        <v>662</v>
      </c>
      <c r="B126">
        <v>-1</v>
      </c>
      <c r="C126">
        <v>2050</v>
      </c>
      <c r="D126" t="s">
        <v>356</v>
      </c>
      <c r="E126" t="s">
        <v>357</v>
      </c>
      <c r="F126" t="s">
        <v>46</v>
      </c>
      <c r="G126" t="s">
        <v>15</v>
      </c>
      <c r="H126">
        <v>45.872124254833373</v>
      </c>
    </row>
    <row r="127" spans="1:8" x14ac:dyDescent="0.3">
      <c r="A127" t="s">
        <v>662</v>
      </c>
      <c r="B127">
        <v>-1</v>
      </c>
      <c r="C127">
        <v>2050</v>
      </c>
      <c r="D127" t="s">
        <v>356</v>
      </c>
      <c r="E127" t="s">
        <v>357</v>
      </c>
      <c r="F127" t="s">
        <v>423</v>
      </c>
      <c r="G127" t="s">
        <v>15</v>
      </c>
      <c r="H127">
        <v>4.1559942857142824E-2</v>
      </c>
    </row>
    <row r="128" spans="1:8" x14ac:dyDescent="0.3">
      <c r="A128" t="s">
        <v>662</v>
      </c>
      <c r="B128">
        <v>-1</v>
      </c>
      <c r="C128">
        <v>2050</v>
      </c>
      <c r="D128" t="s">
        <v>356</v>
      </c>
      <c r="E128" t="s">
        <v>357</v>
      </c>
      <c r="F128" t="s">
        <v>420</v>
      </c>
      <c r="G128" t="s">
        <v>15</v>
      </c>
      <c r="H128">
        <v>2.4143223292017542</v>
      </c>
    </row>
    <row r="129" spans="1:8" x14ac:dyDescent="0.3">
      <c r="A129" t="s">
        <v>662</v>
      </c>
      <c r="B129">
        <v>-1</v>
      </c>
      <c r="C129">
        <v>2050</v>
      </c>
      <c r="D129" t="s">
        <v>356</v>
      </c>
      <c r="E129" t="s">
        <v>357</v>
      </c>
      <c r="F129" t="s">
        <v>421</v>
      </c>
      <c r="G129" t="s">
        <v>15</v>
      </c>
      <c r="H129">
        <v>0.46162063221145194</v>
      </c>
    </row>
    <row r="130" spans="1:8" x14ac:dyDescent="0.3">
      <c r="A130" t="s">
        <v>662</v>
      </c>
      <c r="B130">
        <v>-1</v>
      </c>
      <c r="C130">
        <v>2050</v>
      </c>
      <c r="D130" t="s">
        <v>356</v>
      </c>
      <c r="E130" t="s">
        <v>357</v>
      </c>
      <c r="F130" t="s">
        <v>422</v>
      </c>
      <c r="G130" t="s">
        <v>15</v>
      </c>
      <c r="H130">
        <v>20.630503355730578</v>
      </c>
    </row>
    <row r="131" spans="1:8" x14ac:dyDescent="0.3">
      <c r="A131" t="s">
        <v>662</v>
      </c>
      <c r="B131">
        <v>-1</v>
      </c>
      <c r="C131">
        <v>2050</v>
      </c>
      <c r="D131" t="s">
        <v>358</v>
      </c>
      <c r="E131" t="s">
        <v>359</v>
      </c>
      <c r="F131" t="s">
        <v>46</v>
      </c>
      <c r="G131" t="s">
        <v>15</v>
      </c>
      <c r="H131">
        <v>23.741276002666062</v>
      </c>
    </row>
    <row r="132" spans="1:8" x14ac:dyDescent="0.3">
      <c r="A132" t="s">
        <v>662</v>
      </c>
      <c r="B132">
        <v>-1</v>
      </c>
      <c r="C132">
        <v>2050</v>
      </c>
      <c r="D132" t="s">
        <v>358</v>
      </c>
      <c r="E132" t="s">
        <v>359</v>
      </c>
      <c r="F132" t="s">
        <v>423</v>
      </c>
      <c r="G132" t="s">
        <v>15</v>
      </c>
      <c r="H132">
        <v>1.6119964285714286E-2</v>
      </c>
    </row>
    <row r="133" spans="1:8" x14ac:dyDescent="0.3">
      <c r="A133" t="s">
        <v>662</v>
      </c>
      <c r="B133">
        <v>-1</v>
      </c>
      <c r="C133">
        <v>2050</v>
      </c>
      <c r="D133" t="s">
        <v>358</v>
      </c>
      <c r="E133" t="s">
        <v>359</v>
      </c>
      <c r="F133" t="s">
        <v>420</v>
      </c>
      <c r="G133" t="s">
        <v>15</v>
      </c>
      <c r="H133">
        <v>1.249540842245582</v>
      </c>
    </row>
    <row r="134" spans="1:8" x14ac:dyDescent="0.3">
      <c r="A134" t="s">
        <v>662</v>
      </c>
      <c r="B134">
        <v>-1</v>
      </c>
      <c r="C134">
        <v>2050</v>
      </c>
      <c r="D134" t="s">
        <v>358</v>
      </c>
      <c r="E134" t="s">
        <v>359</v>
      </c>
      <c r="F134" t="s">
        <v>421</v>
      </c>
      <c r="G134" t="s">
        <v>15</v>
      </c>
      <c r="H134">
        <v>0.41321021281864728</v>
      </c>
    </row>
    <row r="135" spans="1:8" x14ac:dyDescent="0.3">
      <c r="A135" t="s">
        <v>662</v>
      </c>
      <c r="B135">
        <v>-1</v>
      </c>
      <c r="C135">
        <v>2050</v>
      </c>
      <c r="D135" t="s">
        <v>360</v>
      </c>
      <c r="E135" t="s">
        <v>361</v>
      </c>
      <c r="F135" t="s">
        <v>46</v>
      </c>
      <c r="G135" t="s">
        <v>15</v>
      </c>
      <c r="H135">
        <v>35.316197490280082</v>
      </c>
    </row>
    <row r="136" spans="1:8" x14ac:dyDescent="0.3">
      <c r="A136" t="s">
        <v>662</v>
      </c>
      <c r="B136">
        <v>-1</v>
      </c>
      <c r="C136">
        <v>2050</v>
      </c>
      <c r="D136" t="s">
        <v>360</v>
      </c>
      <c r="E136" t="s">
        <v>361</v>
      </c>
      <c r="F136" t="s">
        <v>420</v>
      </c>
      <c r="G136" t="s">
        <v>15</v>
      </c>
      <c r="H136">
        <v>1.85874723633053</v>
      </c>
    </row>
    <row r="137" spans="1:8" x14ac:dyDescent="0.3">
      <c r="A137" t="s">
        <v>662</v>
      </c>
      <c r="B137">
        <v>-1</v>
      </c>
      <c r="C137">
        <v>2050</v>
      </c>
      <c r="D137" t="s">
        <v>360</v>
      </c>
      <c r="E137" t="s">
        <v>361</v>
      </c>
      <c r="F137" t="s">
        <v>421</v>
      </c>
      <c r="G137" t="s">
        <v>15</v>
      </c>
      <c r="H137">
        <v>1.1436615169345681</v>
      </c>
    </row>
    <row r="138" spans="1:8" x14ac:dyDescent="0.3">
      <c r="A138" t="s">
        <v>662</v>
      </c>
      <c r="B138">
        <v>-1</v>
      </c>
      <c r="C138">
        <v>2050</v>
      </c>
      <c r="D138" t="s">
        <v>362</v>
      </c>
      <c r="E138" t="s">
        <v>363</v>
      </c>
      <c r="F138" t="s">
        <v>46</v>
      </c>
      <c r="G138" t="s">
        <v>15</v>
      </c>
      <c r="H138">
        <v>11.972383832478997</v>
      </c>
    </row>
    <row r="139" spans="1:8" x14ac:dyDescent="0.3">
      <c r="A139" t="s">
        <v>662</v>
      </c>
      <c r="B139">
        <v>-1</v>
      </c>
      <c r="C139">
        <v>2050</v>
      </c>
      <c r="D139" t="s">
        <v>362</v>
      </c>
      <c r="E139" t="s">
        <v>363</v>
      </c>
      <c r="F139" t="s">
        <v>420</v>
      </c>
      <c r="G139" t="s">
        <v>15</v>
      </c>
      <c r="H139">
        <v>0.63012546486731569</v>
      </c>
    </row>
    <row r="140" spans="1:8" x14ac:dyDescent="0.3">
      <c r="A140" t="s">
        <v>662</v>
      </c>
      <c r="B140">
        <v>-1</v>
      </c>
      <c r="C140">
        <v>2050</v>
      </c>
      <c r="D140" t="s">
        <v>362</v>
      </c>
      <c r="E140" t="s">
        <v>363</v>
      </c>
      <c r="F140" t="s">
        <v>421</v>
      </c>
      <c r="G140" t="s">
        <v>15</v>
      </c>
      <c r="H140">
        <v>0.40009879858313196</v>
      </c>
    </row>
    <row r="141" spans="1:8" x14ac:dyDescent="0.3">
      <c r="A141" t="s">
        <v>662</v>
      </c>
      <c r="B141">
        <v>-1</v>
      </c>
      <c r="C141">
        <v>2050</v>
      </c>
      <c r="D141" t="s">
        <v>364</v>
      </c>
      <c r="E141" t="s">
        <v>365</v>
      </c>
      <c r="F141" t="s">
        <v>46</v>
      </c>
      <c r="G141" t="s">
        <v>15</v>
      </c>
      <c r="H141">
        <v>15.084308667687434</v>
      </c>
    </row>
    <row r="142" spans="1:8" x14ac:dyDescent="0.3">
      <c r="A142" t="s">
        <v>662</v>
      </c>
      <c r="B142">
        <v>-1</v>
      </c>
      <c r="C142">
        <v>2050</v>
      </c>
      <c r="D142" t="s">
        <v>364</v>
      </c>
      <c r="E142" t="s">
        <v>365</v>
      </c>
      <c r="F142" t="s">
        <v>423</v>
      </c>
      <c r="G142" t="s">
        <v>15</v>
      </c>
      <c r="H142">
        <v>4.94509821428571E-3</v>
      </c>
    </row>
    <row r="143" spans="1:8" x14ac:dyDescent="0.3">
      <c r="A143" t="s">
        <v>662</v>
      </c>
      <c r="B143">
        <v>-1</v>
      </c>
      <c r="C143">
        <v>2050</v>
      </c>
      <c r="D143" t="s">
        <v>364</v>
      </c>
      <c r="E143" t="s">
        <v>365</v>
      </c>
      <c r="F143" t="s">
        <v>420</v>
      </c>
      <c r="G143" t="s">
        <v>15</v>
      </c>
      <c r="H143">
        <v>0.79391098250986514</v>
      </c>
    </row>
    <row r="144" spans="1:8" x14ac:dyDescent="0.3">
      <c r="A144" t="s">
        <v>662</v>
      </c>
      <c r="B144">
        <v>-1</v>
      </c>
      <c r="C144">
        <v>2050</v>
      </c>
      <c r="D144" t="s">
        <v>364</v>
      </c>
      <c r="E144" t="s">
        <v>365</v>
      </c>
      <c r="F144" t="s">
        <v>421</v>
      </c>
      <c r="G144" t="s">
        <v>15</v>
      </c>
      <c r="H144">
        <v>9.2589729501691545E-2</v>
      </c>
    </row>
    <row r="145" spans="1:8" x14ac:dyDescent="0.3">
      <c r="A145" t="s">
        <v>662</v>
      </c>
      <c r="B145">
        <v>-1</v>
      </c>
      <c r="C145">
        <v>2050</v>
      </c>
      <c r="D145" t="s">
        <v>366</v>
      </c>
      <c r="E145" t="s">
        <v>367</v>
      </c>
      <c r="F145" t="s">
        <v>46</v>
      </c>
      <c r="G145" t="s">
        <v>15</v>
      </c>
      <c r="H145">
        <v>43.309804512278227</v>
      </c>
    </row>
    <row r="146" spans="1:8" x14ac:dyDescent="0.3">
      <c r="A146" t="s">
        <v>662</v>
      </c>
      <c r="B146">
        <v>-1</v>
      </c>
      <c r="C146">
        <v>2050</v>
      </c>
      <c r="D146" t="s">
        <v>366</v>
      </c>
      <c r="E146" t="s">
        <v>367</v>
      </c>
      <c r="F146" t="s">
        <v>420</v>
      </c>
      <c r="G146" t="s">
        <v>15</v>
      </c>
      <c r="H146">
        <v>2.2794633953830652</v>
      </c>
    </row>
    <row r="147" spans="1:8" x14ac:dyDescent="0.3">
      <c r="A147" t="s">
        <v>662</v>
      </c>
      <c r="B147">
        <v>-1</v>
      </c>
      <c r="C147">
        <v>2050</v>
      </c>
      <c r="D147" t="s">
        <v>366</v>
      </c>
      <c r="E147" t="s">
        <v>367</v>
      </c>
      <c r="F147" t="s">
        <v>421</v>
      </c>
      <c r="G147" t="s">
        <v>15</v>
      </c>
      <c r="H147">
        <v>9.6171780563891113E-2</v>
      </c>
    </row>
    <row r="148" spans="1:8" x14ac:dyDescent="0.3">
      <c r="A148" t="s">
        <v>662</v>
      </c>
      <c r="B148">
        <v>-1</v>
      </c>
      <c r="C148">
        <v>2050</v>
      </c>
      <c r="D148" t="s">
        <v>366</v>
      </c>
      <c r="E148" t="s">
        <v>367</v>
      </c>
      <c r="F148" t="s">
        <v>422</v>
      </c>
      <c r="G148" t="s">
        <v>15</v>
      </c>
      <c r="H148">
        <v>11.579490124365057</v>
      </c>
    </row>
    <row r="149" spans="1:8" x14ac:dyDescent="0.3">
      <c r="A149" t="s">
        <v>662</v>
      </c>
      <c r="B149">
        <v>-1</v>
      </c>
      <c r="C149">
        <v>2050</v>
      </c>
      <c r="D149" t="s">
        <v>368</v>
      </c>
      <c r="E149" t="s">
        <v>369</v>
      </c>
      <c r="F149" t="s">
        <v>46</v>
      </c>
      <c r="G149" t="s">
        <v>15</v>
      </c>
      <c r="H149">
        <v>28.64091424331296</v>
      </c>
    </row>
    <row r="150" spans="1:8" x14ac:dyDescent="0.3">
      <c r="A150" t="s">
        <v>662</v>
      </c>
      <c r="B150">
        <v>-1</v>
      </c>
      <c r="C150">
        <v>2050</v>
      </c>
      <c r="D150" t="s">
        <v>368</v>
      </c>
      <c r="E150" t="s">
        <v>369</v>
      </c>
      <c r="F150" t="s">
        <v>420</v>
      </c>
      <c r="G150" t="s">
        <v>15</v>
      </c>
      <c r="H150">
        <v>1.5074165391217347</v>
      </c>
    </row>
    <row r="151" spans="1:8" x14ac:dyDescent="0.3">
      <c r="A151" t="s">
        <v>662</v>
      </c>
      <c r="B151">
        <v>-1</v>
      </c>
      <c r="C151">
        <v>2050</v>
      </c>
      <c r="D151" t="s">
        <v>368</v>
      </c>
      <c r="E151" t="s">
        <v>369</v>
      </c>
      <c r="F151" t="s">
        <v>421</v>
      </c>
      <c r="G151" t="s">
        <v>15</v>
      </c>
      <c r="H151">
        <v>0.13023532576454117</v>
      </c>
    </row>
    <row r="152" spans="1:8" x14ac:dyDescent="0.3">
      <c r="A152" t="s">
        <v>662</v>
      </c>
      <c r="B152">
        <v>-1</v>
      </c>
      <c r="C152">
        <v>2050</v>
      </c>
      <c r="D152" t="s">
        <v>370</v>
      </c>
      <c r="E152" t="s">
        <v>408</v>
      </c>
      <c r="F152" t="s">
        <v>46</v>
      </c>
      <c r="G152" t="s">
        <v>15</v>
      </c>
      <c r="H152">
        <v>50.086303639638572</v>
      </c>
    </row>
    <row r="153" spans="1:8" x14ac:dyDescent="0.3">
      <c r="A153" t="s">
        <v>662</v>
      </c>
      <c r="B153">
        <v>-1</v>
      </c>
      <c r="C153">
        <v>2050</v>
      </c>
      <c r="D153" t="s">
        <v>370</v>
      </c>
      <c r="E153" t="s">
        <v>408</v>
      </c>
      <c r="F153" t="s">
        <v>420</v>
      </c>
      <c r="G153" t="s">
        <v>15</v>
      </c>
      <c r="H153">
        <v>2.6361212441915032</v>
      </c>
    </row>
    <row r="154" spans="1:8" x14ac:dyDescent="0.3">
      <c r="A154" t="s">
        <v>662</v>
      </c>
      <c r="B154">
        <v>-1</v>
      </c>
      <c r="C154">
        <v>2050</v>
      </c>
      <c r="D154" t="s">
        <v>370</v>
      </c>
      <c r="E154" t="s">
        <v>408</v>
      </c>
      <c r="F154" t="s">
        <v>421</v>
      </c>
      <c r="G154" t="s">
        <v>15</v>
      </c>
      <c r="H154">
        <v>1.1667481988639741</v>
      </c>
    </row>
    <row r="155" spans="1:8" x14ac:dyDescent="0.3">
      <c r="A155" t="s">
        <v>662</v>
      </c>
      <c r="B155">
        <v>-1</v>
      </c>
      <c r="C155">
        <v>2050</v>
      </c>
      <c r="D155" t="s">
        <v>370</v>
      </c>
      <c r="E155" t="s">
        <v>409</v>
      </c>
      <c r="F155" t="s">
        <v>46</v>
      </c>
      <c r="G155" t="s">
        <v>15</v>
      </c>
      <c r="H155">
        <v>2.8702449326162092</v>
      </c>
    </row>
    <row r="156" spans="1:8" x14ac:dyDescent="0.3">
      <c r="A156" t="s">
        <v>662</v>
      </c>
      <c r="B156">
        <v>-1</v>
      </c>
      <c r="C156">
        <v>2050</v>
      </c>
      <c r="D156" t="s">
        <v>370</v>
      </c>
      <c r="E156" t="s">
        <v>409</v>
      </c>
      <c r="F156" t="s">
        <v>420</v>
      </c>
      <c r="G156" t="s">
        <v>15</v>
      </c>
      <c r="H156">
        <v>0.15106552276927412</v>
      </c>
    </row>
    <row r="157" spans="1:8" x14ac:dyDescent="0.3">
      <c r="A157" t="s">
        <v>662</v>
      </c>
      <c r="B157">
        <v>-1</v>
      </c>
      <c r="C157">
        <v>2050</v>
      </c>
      <c r="D157" t="s">
        <v>370</v>
      </c>
      <c r="E157" t="s">
        <v>409</v>
      </c>
      <c r="F157" t="s">
        <v>421</v>
      </c>
      <c r="G157" t="s">
        <v>15</v>
      </c>
      <c r="H157">
        <v>9.7066727150795104E-2</v>
      </c>
    </row>
    <row r="158" spans="1:8" x14ac:dyDescent="0.3">
      <c r="A158" t="s">
        <v>662</v>
      </c>
      <c r="B158">
        <v>-1</v>
      </c>
      <c r="C158">
        <v>2050</v>
      </c>
      <c r="D158" t="s">
        <v>373</v>
      </c>
      <c r="E158" t="s">
        <v>374</v>
      </c>
      <c r="F158" t="s">
        <v>46</v>
      </c>
      <c r="G158" t="s">
        <v>15</v>
      </c>
      <c r="H158">
        <v>25.243556511712587</v>
      </c>
    </row>
    <row r="159" spans="1:8" x14ac:dyDescent="0.3">
      <c r="A159" t="s">
        <v>662</v>
      </c>
      <c r="B159">
        <v>-1</v>
      </c>
      <c r="C159">
        <v>2050</v>
      </c>
      <c r="D159" t="s">
        <v>373</v>
      </c>
      <c r="E159" t="s">
        <v>374</v>
      </c>
      <c r="F159" t="s">
        <v>420</v>
      </c>
      <c r="G159" t="s">
        <v>15</v>
      </c>
      <c r="H159">
        <v>1.3286082374585582</v>
      </c>
    </row>
    <row r="160" spans="1:8" x14ac:dyDescent="0.3">
      <c r="A160" t="s">
        <v>662</v>
      </c>
      <c r="B160">
        <v>-1</v>
      </c>
      <c r="C160">
        <v>2050</v>
      </c>
      <c r="D160" t="s">
        <v>373</v>
      </c>
      <c r="E160" t="s">
        <v>374</v>
      </c>
      <c r="F160" t="s">
        <v>421</v>
      </c>
      <c r="G160" t="s">
        <v>15</v>
      </c>
      <c r="H160">
        <v>0.27289740383919114</v>
      </c>
    </row>
    <row r="161" spans="1:8" x14ac:dyDescent="0.3">
      <c r="A161" t="s">
        <v>662</v>
      </c>
      <c r="B161">
        <v>-1</v>
      </c>
      <c r="C161">
        <v>2050</v>
      </c>
      <c r="D161" t="s">
        <v>373</v>
      </c>
      <c r="E161" t="s">
        <v>374</v>
      </c>
      <c r="F161" t="s">
        <v>422</v>
      </c>
      <c r="G161" t="s">
        <v>15</v>
      </c>
      <c r="H161">
        <v>32.946763466436266</v>
      </c>
    </row>
    <row r="162" spans="1:8" x14ac:dyDescent="0.3">
      <c r="A162" t="s">
        <v>662</v>
      </c>
      <c r="B162">
        <v>-1</v>
      </c>
      <c r="C162">
        <v>2050</v>
      </c>
      <c r="D162" t="s">
        <v>375</v>
      </c>
      <c r="E162" t="s">
        <v>376</v>
      </c>
      <c r="F162" t="s">
        <v>46</v>
      </c>
      <c r="G162" t="s">
        <v>15</v>
      </c>
      <c r="H162">
        <v>5.7347020584336255</v>
      </c>
    </row>
    <row r="163" spans="1:8" x14ac:dyDescent="0.3">
      <c r="A163" t="s">
        <v>662</v>
      </c>
      <c r="B163">
        <v>-1</v>
      </c>
      <c r="C163">
        <v>2050</v>
      </c>
      <c r="D163" t="s">
        <v>375</v>
      </c>
      <c r="E163" t="s">
        <v>376</v>
      </c>
      <c r="F163" t="s">
        <v>420</v>
      </c>
      <c r="G163" t="s">
        <v>15</v>
      </c>
      <c r="H163">
        <v>0.30182642412808558</v>
      </c>
    </row>
    <row r="164" spans="1:8" x14ac:dyDescent="0.3">
      <c r="A164" t="s">
        <v>662</v>
      </c>
      <c r="B164">
        <v>-1</v>
      </c>
      <c r="C164">
        <v>2050</v>
      </c>
      <c r="D164" t="s">
        <v>375</v>
      </c>
      <c r="E164" t="s">
        <v>376</v>
      </c>
      <c r="F164" t="s">
        <v>421</v>
      </c>
      <c r="G164" t="s">
        <v>15</v>
      </c>
      <c r="H164">
        <v>0.24016770695622705</v>
      </c>
    </row>
    <row r="165" spans="1:8" x14ac:dyDescent="0.3">
      <c r="A165" t="s">
        <v>662</v>
      </c>
      <c r="B165">
        <v>-1</v>
      </c>
      <c r="C165">
        <v>2050</v>
      </c>
      <c r="D165" t="s">
        <v>377</v>
      </c>
      <c r="E165" t="s">
        <v>378</v>
      </c>
      <c r="F165" t="s">
        <v>46</v>
      </c>
      <c r="G165" t="s">
        <v>15</v>
      </c>
      <c r="H165">
        <v>5.4398385840401797</v>
      </c>
    </row>
    <row r="166" spans="1:8" x14ac:dyDescent="0.3">
      <c r="A166" t="s">
        <v>662</v>
      </c>
      <c r="B166">
        <v>-1</v>
      </c>
      <c r="C166">
        <v>2050</v>
      </c>
      <c r="D166" t="s">
        <v>377</v>
      </c>
      <c r="E166" t="s">
        <v>378</v>
      </c>
      <c r="F166" t="s">
        <v>420</v>
      </c>
      <c r="G166" t="s">
        <v>15</v>
      </c>
      <c r="H166">
        <v>0.28630729389685156</v>
      </c>
    </row>
    <row r="167" spans="1:8" x14ac:dyDescent="0.3">
      <c r="A167" t="s">
        <v>662</v>
      </c>
      <c r="B167">
        <v>-1</v>
      </c>
      <c r="C167">
        <v>2050</v>
      </c>
      <c r="D167" t="s">
        <v>377</v>
      </c>
      <c r="E167" t="s">
        <v>378</v>
      </c>
      <c r="F167" t="s">
        <v>421</v>
      </c>
      <c r="G167" t="s">
        <v>15</v>
      </c>
      <c r="H167">
        <v>0.10871521701795669</v>
      </c>
    </row>
    <row r="168" spans="1:8" x14ac:dyDescent="0.3">
      <c r="A168" t="s">
        <v>662</v>
      </c>
      <c r="B168">
        <v>-1</v>
      </c>
      <c r="C168">
        <v>2050</v>
      </c>
      <c r="D168" t="s">
        <v>379</v>
      </c>
      <c r="E168" t="s">
        <v>380</v>
      </c>
      <c r="F168" t="s">
        <v>46</v>
      </c>
      <c r="G168" t="s">
        <v>15</v>
      </c>
      <c r="H168">
        <v>2.5495003441857205</v>
      </c>
    </row>
    <row r="169" spans="1:8" x14ac:dyDescent="0.3">
      <c r="A169" t="s">
        <v>662</v>
      </c>
      <c r="B169">
        <v>-1</v>
      </c>
      <c r="C169">
        <v>2050</v>
      </c>
      <c r="D169" t="s">
        <v>379</v>
      </c>
      <c r="E169" t="s">
        <v>380</v>
      </c>
      <c r="F169" t="s">
        <v>420</v>
      </c>
      <c r="G169" t="s">
        <v>15</v>
      </c>
      <c r="H169">
        <v>0.13418422864135374</v>
      </c>
    </row>
    <row r="170" spans="1:8" x14ac:dyDescent="0.3">
      <c r="A170" t="s">
        <v>662</v>
      </c>
      <c r="B170">
        <v>-1</v>
      </c>
      <c r="C170">
        <v>2050</v>
      </c>
      <c r="D170" t="s">
        <v>379</v>
      </c>
      <c r="E170" t="s">
        <v>380</v>
      </c>
      <c r="F170" t="s">
        <v>421</v>
      </c>
      <c r="G170" t="s">
        <v>15</v>
      </c>
      <c r="H170">
        <v>0.2154263476932623</v>
      </c>
    </row>
    <row r="171" spans="1:8" x14ac:dyDescent="0.3">
      <c r="A171" t="s">
        <v>662</v>
      </c>
      <c r="B171">
        <v>-1</v>
      </c>
      <c r="C171">
        <v>2050</v>
      </c>
      <c r="D171" t="s">
        <v>381</v>
      </c>
      <c r="E171" t="s">
        <v>382</v>
      </c>
      <c r="F171" t="s">
        <v>46</v>
      </c>
      <c r="G171" t="s">
        <v>15</v>
      </c>
      <c r="H171">
        <v>6.0036315715348794</v>
      </c>
    </row>
    <row r="172" spans="1:8" x14ac:dyDescent="0.3">
      <c r="A172" t="s">
        <v>662</v>
      </c>
      <c r="B172">
        <v>-1</v>
      </c>
      <c r="C172">
        <v>2050</v>
      </c>
      <c r="D172" t="s">
        <v>381</v>
      </c>
      <c r="E172" t="s">
        <v>382</v>
      </c>
      <c r="F172" t="s">
        <v>420</v>
      </c>
      <c r="G172" t="s">
        <v>15</v>
      </c>
      <c r="H172">
        <v>0.31598060902815167</v>
      </c>
    </row>
    <row r="173" spans="1:8" x14ac:dyDescent="0.3">
      <c r="A173" t="s">
        <v>662</v>
      </c>
      <c r="B173">
        <v>-1</v>
      </c>
      <c r="C173">
        <v>2050</v>
      </c>
      <c r="D173" t="s">
        <v>381</v>
      </c>
      <c r="E173" t="s">
        <v>382</v>
      </c>
      <c r="F173" t="s">
        <v>421</v>
      </c>
      <c r="G173" t="s">
        <v>15</v>
      </c>
      <c r="H173">
        <v>3.7762151664669008E-2</v>
      </c>
    </row>
    <row r="174" spans="1:8" x14ac:dyDescent="0.3">
      <c r="A174" t="s">
        <v>662</v>
      </c>
      <c r="B174">
        <v>-1</v>
      </c>
      <c r="C174">
        <v>2050</v>
      </c>
      <c r="D174" t="s">
        <v>383</v>
      </c>
      <c r="E174" t="s">
        <v>384</v>
      </c>
      <c r="F174" t="s">
        <v>46</v>
      </c>
      <c r="G174" t="s">
        <v>15</v>
      </c>
      <c r="H174">
        <v>10.743097871658186</v>
      </c>
    </row>
    <row r="175" spans="1:8" x14ac:dyDescent="0.3">
      <c r="A175" t="s">
        <v>662</v>
      </c>
      <c r="B175">
        <v>-1</v>
      </c>
      <c r="C175">
        <v>2050</v>
      </c>
      <c r="D175" t="s">
        <v>383</v>
      </c>
      <c r="E175" t="s">
        <v>384</v>
      </c>
      <c r="F175" t="s">
        <v>423</v>
      </c>
      <c r="G175" t="s">
        <v>15</v>
      </c>
      <c r="H175">
        <v>6.1945714285714278E-3</v>
      </c>
    </row>
    <row r="176" spans="1:8" x14ac:dyDescent="0.3">
      <c r="A176" t="s">
        <v>662</v>
      </c>
      <c r="B176">
        <v>-1</v>
      </c>
      <c r="C176">
        <v>2050</v>
      </c>
      <c r="D176" t="s">
        <v>383</v>
      </c>
      <c r="E176" t="s">
        <v>384</v>
      </c>
      <c r="F176" t="s">
        <v>420</v>
      </c>
      <c r="G176" t="s">
        <v>15</v>
      </c>
      <c r="H176">
        <v>0.56542620377148312</v>
      </c>
    </row>
    <row r="177" spans="1:8" x14ac:dyDescent="0.3">
      <c r="A177" t="s">
        <v>662</v>
      </c>
      <c r="B177">
        <v>-1</v>
      </c>
      <c r="C177">
        <v>2050</v>
      </c>
      <c r="D177" t="s">
        <v>383</v>
      </c>
      <c r="E177" t="s">
        <v>384</v>
      </c>
      <c r="F177" t="s">
        <v>421</v>
      </c>
      <c r="G177" t="s">
        <v>15</v>
      </c>
      <c r="H177">
        <v>0.16544561987017009</v>
      </c>
    </row>
    <row r="178" spans="1:8" x14ac:dyDescent="0.3">
      <c r="A178" t="s">
        <v>662</v>
      </c>
      <c r="B178">
        <v>-1</v>
      </c>
      <c r="C178">
        <v>2050</v>
      </c>
      <c r="D178" t="s">
        <v>385</v>
      </c>
      <c r="E178" t="s">
        <v>386</v>
      </c>
      <c r="F178" t="s">
        <v>46</v>
      </c>
      <c r="G178" t="s">
        <v>15</v>
      </c>
      <c r="H178">
        <v>27.396098745140037</v>
      </c>
    </row>
    <row r="179" spans="1:8" x14ac:dyDescent="0.3">
      <c r="A179" t="s">
        <v>662</v>
      </c>
      <c r="B179">
        <v>-1</v>
      </c>
      <c r="C179">
        <v>2050</v>
      </c>
      <c r="D179" t="s">
        <v>385</v>
      </c>
      <c r="E179" t="s">
        <v>386</v>
      </c>
      <c r="F179" t="s">
        <v>420</v>
      </c>
      <c r="G179" t="s">
        <v>15</v>
      </c>
      <c r="H179">
        <v>1.4418999339547387</v>
      </c>
    </row>
    <row r="180" spans="1:8" x14ac:dyDescent="0.3">
      <c r="A180" t="s">
        <v>662</v>
      </c>
      <c r="B180">
        <v>-1</v>
      </c>
      <c r="C180">
        <v>2050</v>
      </c>
      <c r="D180" t="s">
        <v>385</v>
      </c>
      <c r="E180" t="s">
        <v>386</v>
      </c>
      <c r="F180" t="s">
        <v>421</v>
      </c>
      <c r="G180" t="s">
        <v>15</v>
      </c>
      <c r="H180">
        <v>0.64700819378103358</v>
      </c>
    </row>
    <row r="181" spans="1:8" x14ac:dyDescent="0.3">
      <c r="A181" t="s">
        <v>662</v>
      </c>
      <c r="B181">
        <v>-1</v>
      </c>
      <c r="C181">
        <v>2050</v>
      </c>
      <c r="D181" t="s">
        <v>385</v>
      </c>
      <c r="E181" t="s">
        <v>386</v>
      </c>
      <c r="F181" t="s">
        <v>422</v>
      </c>
      <c r="G181" t="s">
        <v>15</v>
      </c>
      <c r="H181">
        <v>-5.5957111866349564E-17</v>
      </c>
    </row>
    <row r="182" spans="1:8" x14ac:dyDescent="0.3">
      <c r="A182" t="s">
        <v>662</v>
      </c>
      <c r="B182">
        <v>-1</v>
      </c>
      <c r="C182">
        <v>2050</v>
      </c>
      <c r="D182" t="s">
        <v>55</v>
      </c>
      <c r="E182" t="s">
        <v>56</v>
      </c>
      <c r="F182" t="s">
        <v>46</v>
      </c>
      <c r="G182" t="s">
        <v>15</v>
      </c>
      <c r="H182">
        <v>211.82616655015298</v>
      </c>
    </row>
    <row r="183" spans="1:8" x14ac:dyDescent="0.3">
      <c r="A183" t="s">
        <v>662</v>
      </c>
      <c r="B183">
        <v>-1</v>
      </c>
      <c r="C183">
        <v>2050</v>
      </c>
      <c r="D183" t="s">
        <v>55</v>
      </c>
      <c r="E183" t="s">
        <v>56</v>
      </c>
      <c r="F183" t="s">
        <v>420</v>
      </c>
      <c r="G183" t="s">
        <v>15</v>
      </c>
      <c r="H183">
        <v>11.148745607902788</v>
      </c>
    </row>
    <row r="184" spans="1:8" x14ac:dyDescent="0.3">
      <c r="A184" t="s">
        <v>662</v>
      </c>
      <c r="B184">
        <v>-1</v>
      </c>
      <c r="C184">
        <v>2050</v>
      </c>
      <c r="D184" t="s">
        <v>55</v>
      </c>
      <c r="E184" t="s">
        <v>56</v>
      </c>
      <c r="F184" t="s">
        <v>421</v>
      </c>
      <c r="G184" t="s">
        <v>15</v>
      </c>
      <c r="H184">
        <v>6.0090628656064314E-2</v>
      </c>
    </row>
    <row r="185" spans="1:8" x14ac:dyDescent="0.3">
      <c r="A185" t="s">
        <v>662</v>
      </c>
      <c r="B185">
        <v>-1</v>
      </c>
      <c r="C185">
        <v>2050</v>
      </c>
      <c r="D185" t="s">
        <v>55</v>
      </c>
      <c r="E185" t="s">
        <v>56</v>
      </c>
      <c r="F185" t="s">
        <v>422</v>
      </c>
      <c r="G185" t="s">
        <v>15</v>
      </c>
      <c r="H185">
        <v>206.85182820650823</v>
      </c>
    </row>
    <row r="186" spans="1:8" x14ac:dyDescent="0.3">
      <c r="A186" t="s">
        <v>662</v>
      </c>
      <c r="B186">
        <v>-1</v>
      </c>
      <c r="C186">
        <v>2050</v>
      </c>
      <c r="D186" t="s">
        <v>387</v>
      </c>
      <c r="E186" t="s">
        <v>388</v>
      </c>
      <c r="F186" t="s">
        <v>46</v>
      </c>
      <c r="G186" t="s">
        <v>15</v>
      </c>
      <c r="H186">
        <v>2.0415683641149491</v>
      </c>
    </row>
    <row r="187" spans="1:8" x14ac:dyDescent="0.3">
      <c r="A187" t="s">
        <v>662</v>
      </c>
      <c r="B187">
        <v>-1</v>
      </c>
      <c r="C187">
        <v>2050</v>
      </c>
      <c r="D187" t="s">
        <v>387</v>
      </c>
      <c r="E187" t="s">
        <v>388</v>
      </c>
      <c r="F187" t="s">
        <v>420</v>
      </c>
      <c r="G187" t="s">
        <v>15</v>
      </c>
      <c r="H187">
        <v>0.10745096653236573</v>
      </c>
    </row>
    <row r="188" spans="1:8" x14ac:dyDescent="0.3">
      <c r="A188" t="s">
        <v>662</v>
      </c>
      <c r="B188">
        <v>-1</v>
      </c>
      <c r="C188">
        <v>2050</v>
      </c>
      <c r="D188" t="s">
        <v>387</v>
      </c>
      <c r="E188" t="s">
        <v>388</v>
      </c>
      <c r="F188" t="s">
        <v>421</v>
      </c>
      <c r="G188" t="s">
        <v>15</v>
      </c>
      <c r="H188">
        <v>5.8119736486898103E-2</v>
      </c>
    </row>
    <row r="189" spans="1:8" x14ac:dyDescent="0.3">
      <c r="A189" t="s">
        <v>662</v>
      </c>
      <c r="B189">
        <v>-1</v>
      </c>
      <c r="C189">
        <v>2050</v>
      </c>
      <c r="D189" t="s">
        <v>387</v>
      </c>
      <c r="E189" t="s">
        <v>388</v>
      </c>
      <c r="F189" t="s">
        <v>422</v>
      </c>
      <c r="G189" t="s">
        <v>15</v>
      </c>
      <c r="H189">
        <v>0.29829719323316761</v>
      </c>
    </row>
    <row r="190" spans="1:8" x14ac:dyDescent="0.3">
      <c r="A190" t="s">
        <v>662</v>
      </c>
      <c r="B190">
        <v>-1</v>
      </c>
      <c r="C190">
        <v>2050</v>
      </c>
      <c r="D190" t="s">
        <v>389</v>
      </c>
      <c r="E190" t="s">
        <v>390</v>
      </c>
      <c r="F190" t="s">
        <v>46</v>
      </c>
      <c r="G190" t="s">
        <v>15</v>
      </c>
      <c r="H190">
        <v>4.3149624340587307</v>
      </c>
    </row>
    <row r="191" spans="1:8" x14ac:dyDescent="0.3">
      <c r="A191" t="s">
        <v>662</v>
      </c>
      <c r="B191">
        <v>-1</v>
      </c>
      <c r="C191">
        <v>2050</v>
      </c>
      <c r="D191" t="s">
        <v>389</v>
      </c>
      <c r="E191" t="s">
        <v>390</v>
      </c>
      <c r="F191" t="s">
        <v>420</v>
      </c>
      <c r="G191" t="s">
        <v>15</v>
      </c>
      <c r="H191">
        <v>0.22710328600309107</v>
      </c>
    </row>
    <row r="192" spans="1:8" x14ac:dyDescent="0.3">
      <c r="A192" t="s">
        <v>662</v>
      </c>
      <c r="B192">
        <v>-1</v>
      </c>
      <c r="C192">
        <v>2050</v>
      </c>
      <c r="D192" t="s">
        <v>389</v>
      </c>
      <c r="E192" t="s">
        <v>390</v>
      </c>
      <c r="F192" t="s">
        <v>421</v>
      </c>
      <c r="G192" t="s">
        <v>15</v>
      </c>
      <c r="H192">
        <v>0.20554580365725697</v>
      </c>
    </row>
  </sheetData>
  <pageMargins left="0.7" right="0.7" top="0.75" bottom="0.75" header="0.3" footer="0.3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be359b2-b132-435c-baef-8e5a64553884">
      <Terms xmlns="http://schemas.microsoft.com/office/infopath/2007/PartnerControls"/>
    </lcf76f155ced4ddcb4097134ff3c332f>
    <TaxCatchAll xmlns="df040715-68c0-42b8-b93b-3d8d5457fcb8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F6C0AE20E750D4987EF3EEF0D7CAC33" ma:contentTypeVersion="13" ma:contentTypeDescription="Create a new document." ma:contentTypeScope="" ma:versionID="8578c5f04846585d4e803131a2990856">
  <xsd:schema xmlns:xsd="http://www.w3.org/2001/XMLSchema" xmlns:xs="http://www.w3.org/2001/XMLSchema" xmlns:p="http://schemas.microsoft.com/office/2006/metadata/properties" xmlns:ns2="6be359b2-b132-435c-baef-8e5a64553884" xmlns:ns3="df040715-68c0-42b8-b93b-3d8d5457fcb8" targetNamespace="http://schemas.microsoft.com/office/2006/metadata/properties" ma:root="true" ma:fieldsID="a277ec98c795fb39f20afab8a9153e3b" ns2:_="" ns3:_="">
    <xsd:import namespace="6be359b2-b132-435c-baef-8e5a64553884"/>
    <xsd:import namespace="df040715-68c0-42b8-b93b-3d8d5457fcb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e359b2-b132-435c-baef-8e5a6455388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Image Tags" ma:readOnly="false" ma:fieldId="{5cf76f15-5ced-4ddc-b409-7134ff3c332f}" ma:taxonomyMulti="true" ma:sspId="b2102423-6c9a-45d0-aa71-0069027da2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0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040715-68c0-42b8-b93b-3d8d5457fcb8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67514106-721c-4a32-9af5-35e70ca98a2c}" ma:internalName="TaxCatchAll" ma:showField="CatchAllData" ma:web="df040715-68c0-42b8-b93b-3d8d5457fcb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7706B597-D25A-4E1B-B9EF-B15AD1B14380}">
  <ds:schemaRefs>
    <ds:schemaRef ds:uri="http://www.w3.org/XML/1998/namespace"/>
    <ds:schemaRef ds:uri="http://purl.org/dc/terms/"/>
    <ds:schemaRef ds:uri="http://purl.org/dc/elements/1.1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df040715-68c0-42b8-b93b-3d8d5457fcb8"/>
    <ds:schemaRef ds:uri="6be359b2-b132-435c-baef-8e5a64553884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CA9AC569-B32D-4D9B-8AFB-0D0BA3A901C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994185B-18EC-4CED-9857-E73EF07A37D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be359b2-b132-435c-baef-8e5a64553884"/>
    <ds:schemaRef ds:uri="df040715-68c0-42b8-b93b-3d8d5457fcb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CB235ECE-C61F-4D88-BEAF-2F1D5FB0B56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Guide</vt:lpstr>
      <vt:lpstr>Overview</vt:lpstr>
      <vt:lpstr>ExcelPathCommands</vt:lpstr>
      <vt:lpstr>UsefulTables</vt:lpstr>
      <vt:lpstr>G_CAP_YCRAF</vt:lpstr>
      <vt:lpstr>PRO_YCRAGF</vt:lpstr>
      <vt:lpstr>OBJ_YCR</vt:lpstr>
      <vt:lpstr>EL_PRICE_YCR</vt:lpstr>
      <vt:lpstr>EMI_YCRAG</vt:lpstr>
      <vt:lpstr>EL_DEMAND_YCR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Mathias Berg Rosendal</dc:creator>
  <cp:lastModifiedBy>Mathias Berg Rosendal</cp:lastModifiedBy>
  <cp:lastPrinted>2023-12-20T17:04:02Z</cp:lastPrinted>
  <dcterms:created xsi:type="dcterms:W3CDTF">2023-11-11T01:14:32Z</dcterms:created>
  <dcterms:modified xsi:type="dcterms:W3CDTF">2023-12-20T17:05:22Z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0x010100EF6C0AE20E750D4987EF3EEF0D7CAC33</vt:lpwstr>
  </property>
  <property fmtid="{D5CDD505-2E9C-101B-9397-08002B2CF9AE}" pid="3" name="MediaServiceImageTags">
    <vt:lpwstr/>
  </property>
</Properties>
</file>