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BBCCF578-8BDC-482B-8D58-A4FD3CA35A6F}" xr6:coauthVersionLast="47" xr6:coauthVersionMax="47" xr10:uidLastSave="{00000000-0000-0000-0000-000000000000}"/>
  <bookViews>
    <workbookView xWindow="-28920" yWindow="-120" windowWidth="29040" windowHeight="15840" xr2:uid="{3486058B-4023-4401-8A1B-C31F251719CF}"/>
  </bookViews>
  <sheets>
    <sheet name="Guide" sheetId="14" r:id="rId1"/>
    <sheet name="Overview" sheetId="1" r:id="rId2"/>
    <sheet name="G_CAP_YCRAF" sheetId="8" r:id="rId3"/>
    <sheet name="PRO_YCRAGF" sheetId="7" r:id="rId4"/>
    <sheet name="OBJ_YCR" sheetId="11" r:id="rId5"/>
    <sheet name="EL_PRICE_YCR" sheetId="15" r:id="rId6"/>
    <sheet name="EMI_YCRAG" sheetId="16" r:id="rId7"/>
    <sheet name="ExcelPaths" sheetId="13" r:id="rId8"/>
    <sheet name="ExcelPathCommands" sheetId="12" r:id="rId9"/>
  </sheets>
  <definedNames>
    <definedName name="ExternalData_1" localSheetId="5" hidden="1">EL_PRICE_YCR!$A$1:$H$5</definedName>
    <definedName name="ExternalData_1" localSheetId="6" hidden="1">EMI_YCRAG!$A$1:$K$3</definedName>
    <definedName name="ExternalData_1" localSheetId="7" hidden="1">ExcelPaths!$A$1:$A$4</definedName>
    <definedName name="ExternalData_1" localSheetId="4" hidden="1">OBJ_YCR!$A$1:$H$19</definedName>
    <definedName name="ExternalData_1" localSheetId="3" hidden="1">PRO_YCRAGF!$A$1:$L$55</definedName>
    <definedName name="ExternalData_2" localSheetId="2" hidden="1">G_CAP_YCRAF!$A$1:$M$99</definedName>
  </definedNames>
  <calcPr calcId="191029"/>
  <pivotCaches>
    <pivotCache cacheId="638" r:id="rId10"/>
    <pivotCache cacheId="640" r:id="rId11"/>
    <pivotCache cacheId="642" r:id="rId12"/>
    <pivotCache cacheId="644" r:id="rId13"/>
    <pivotCache cacheId="646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2" xr16:uid="{F705F3FC-82CD-42B6-81E1-6FA98491BE5D}" keepAlive="1" name="Query - EL_PRICE_YCR (2)" description="Connection to the 'EL_PRICE_YCR (2)' query in the workbook." type="5" refreshedVersion="8" background="1" saveData="1">
    <dbPr connection="Provider=Microsoft.Mashup.OleDb.1;Data Source=$Workbook$;Location=&quot;EL_PRICE_YCR (2)&quot;;Extended Properties=&quot;&quot;" command="SELECT * FROM [EL_PRICE_YCR (2)]"/>
  </connection>
  <connection id="3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4" xr16:uid="{208A7156-177A-4191-90EF-51A3F8C4A4D8}" keepAlive="1" name="Query - EMI_YCRAG (2)" description="Connection to the 'EMI_YCRAG (2)' query in the workbook." type="5" refreshedVersion="8" background="1" saveData="1">
    <dbPr connection="Provider=Microsoft.Mashup.OleDb.1;Data Source=$Workbook$;Location=&quot;EMI_YCRAG (2)&quot;;Extended Properties=&quot;&quot;" command="SELECT * FROM [EMI_YCRAG (2)]"/>
  </connection>
  <connection id="5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6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7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8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9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0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1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<sst xmlns="http://schemas.openxmlformats.org/spreadsheetml/2006/main" count="1815" uniqueCount="183">
  <si>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</si>
  <si>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</si>
  <si>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</si>
  <si>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</si>
  <si>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</si>
  <si>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</si>
  <si>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</si>
  <si>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</si>
  <si>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</si>
  <si>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</si>
  <si>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</si>
  <si>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</si>
  <si>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</si>
  <si>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</si>
  <si>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</si>
  <si>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</si>
  <si>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</si>
  <si>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</si>
  <si>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</si>
  <si>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</si>
  <si>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</si>
  <si>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</si>
  <si>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</si>
  <si>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</si>
  <si>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</si>
  <si>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</si>
  <si>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</si>
  <si>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</si>
  <si>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</si>
  <si>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</si>
  <si>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</si>
  <si>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</si>
  <si>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</si>
  <si>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</si>
  <si>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</si>
  <si>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</si>
  <si>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</si>
  <si>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</si>
  <si>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</si>
  <si>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</si>
  <si>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</si>
  <si>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</si>
  <si>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</si>
  <si>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</si>
  <si>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</si>
  <si>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</si>
  <si>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</si>
  <si>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</si>
  <si>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</si>
  <si>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</si>
  <si>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</si>
  <si>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</si>
  <si>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</si>
  <si>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</si>
  <si>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</si>
  <si>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</si>
  <si>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</si>
  <si>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TR_A</t>
  </si>
  <si>
    <t>GNR_WT_WIND_ONS</t>
  </si>
  <si>
    <t>GNR_ELYS_ELEC_AEC_Y-2030</t>
  </si>
  <si>
    <t>GNR_ELYS_ELEC_AEC_Y-2040</t>
  </si>
  <si>
    <t>GNR_H2S_H2-TNKC_Y-2050</t>
  </si>
  <si>
    <t>GNR_WT_ONS-2030</t>
  </si>
  <si>
    <t>GNR_PV-2030</t>
  </si>
  <si>
    <t>GNR_WT_ONS-2040</t>
  </si>
  <si>
    <t>GNR_PV-2040</t>
  </si>
  <si>
    <t>GNR_H2S_H2-TNKC_Y-2040</t>
  </si>
  <si>
    <t>GNR_PV-2050</t>
  </si>
  <si>
    <t>GNR_WT_ONS-2050</t>
  </si>
  <si>
    <t>TR00_A</t>
  </si>
  <si>
    <t>GNR_H2S_H2-TNKC_Y-2020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</si>
  <si>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</si>
  <si>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</si>
  <si>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</si>
  <si>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</si>
  <si>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</si>
  <si>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</si>
  <si>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</si>
  <si>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C:\Users\mberos\gitRepos\balmorel-antares\.BAF-Env\Scripts\activate</t>
  </si>
  <si>
    <t>Python env activation cmd</t>
  </si>
  <si>
    <t>C:\Users\mberos\Danmarks Tekniske Universitet\PhD in Transmission and Sector Coupling - Dokumenter\Deliverables\Smart-coupling of Balmorel and Antares\Smaller Analyses\Transport Modelling</t>
  </si>
  <si>
    <t>TransportBase</t>
  </si>
  <si>
    <t>These paths should update automatically, if changing folder</t>
  </si>
  <si>
    <t>Paths</t>
  </si>
  <si>
    <t>NoTransport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</si>
  <si>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</si>
  <si>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</si>
  <si>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</si>
  <si>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</si>
  <si>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</si>
  <si>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</si>
  <si>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</si>
  <si>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</si>
  <si>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</si>
  <si>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</si>
  <si>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</si>
  <si>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</si>
  <si>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</si>
  <si>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</si>
  <si>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</si>
  <si>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</si>
  <si>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</si>
  <si>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</si>
  <si>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</si>
  <si>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</si>
  <si>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</si>
  <si>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</si>
  <si>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</si>
  <si>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</si>
  <si>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</si>
  <si>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</si>
  <si>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</si>
  <si>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</si>
  <si>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</si>
  <si>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</si>
  <si>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</si>
  <si>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</si>
  <si>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</si>
  <si>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</si>
  <si>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</si>
  <si>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</si>
  <si>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</si>
  <si>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</si>
  <si>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</si>
  <si>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</si>
  <si>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</si>
  <si>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</si>
  <si>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</si>
  <si>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</si>
  <si>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</si>
  <si>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</si>
  <si>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</si>
  <si>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</si>
  <si>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</si>
  <si>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</si>
  <si>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</si>
  <si>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</si>
  <si>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</si>
  <si>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</si>
  <si>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</si>
  <si>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</si>
  <si>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</si>
  <si>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</si>
  <si>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</si>
  <si>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</si>
  <si>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</si>
  <si>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</si>
  <si>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</si>
  <si>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</si>
  <si>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</si>
  <si>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</si>
  <si>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</si>
  <si>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</si>
  <si>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</si>
  <si>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</si>
  <si>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</si>
  <si>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t>Step 3: A pivot chart is made, that is connected to this data. I prefer to insert the pivot table itself in the blue sheets,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</si>
  <si>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</si>
  <si>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Step 4: Format the plot as you'd like, and the charts should now update automatically when pressing "Plot Charts"</t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</si>
  <si>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</si>
  <si>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</si>
  <si>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</si>
  <si>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</si>
  <si>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C:\Users\mberos\gitRepos\balmorel-postprocessing\[InteractiveResults.xlsm]Overview</t>
  </si>
  <si>
    <t>Profile plot style (Dark or Light)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</si>
  <si>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</si>
  <si>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</si>
  <si>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</si>
  <si>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</si>
  <si>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</si>
  <si>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</si>
  <si>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</si>
  <si>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</si>
  <si>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</si>
  <si>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Legend (TECH_TYPE, FFF, AAA, G)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</si>
  <si>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</si>
  <si>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</si>
  <si>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</si>
  <si>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</si>
  <si>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</si>
  <si>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</si>
  <si>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PRO_YCRAGF, G_CAP_YCRAF, OBJ_YCR, EL_PRICE_YCR, EMI_YCRAG</t>
  </si>
  <si>
    <t>kton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</si>
</sst>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color theme="4" tint="0.59999389629810485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0" borderId="0" xfId="0" applyAlignment="1">
      <alignment horizontal="left" indent="3"/>
    </xf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 applyBorder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0" borderId="0" xfId="0" applyNumberFormat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applyFont="1" applyFill="1"/>
    <xf numFmtId="0" fontId="14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5" fillId="3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PRO_YCRAGF!$P$4:$P$5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PRO_YCRAGF!$P$6:$P$17</c:f>
              <c:numCache>
                <c:formatCode>General</c:formatCode>
                <c:ptCount val="8"/>
                <c:pt idx="0">
                  <c:v>14.774699999999889</c:v>
                </c:pt>
                <c:pt idx="1">
                  <c:v>10.536090996410794</c:v>
                </c:pt>
                <c:pt idx="2">
                  <c:v>3.589240736607116</c:v>
                </c:pt>
                <c:pt idx="3">
                  <c:v>5.1400719886252002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PRO_YCRAGF!$Q$4:$Q$5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PRO_YCRAGF!$Q$6:$Q$17</c:f>
              <c:numCache>
                <c:formatCode>General</c:formatCode>
                <c:ptCount val="8"/>
                <c:pt idx="4">
                  <c:v>4.6674143351165958</c:v>
                </c:pt>
                <c:pt idx="5">
                  <c:v>39.646128899733661</c:v>
                </c:pt>
                <c:pt idx="6">
                  <c:v>117.34103343250813</c:v>
                </c:pt>
                <c:pt idx="7">
                  <c:v>170.19270536432813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8AA-A599-2C27BA07405D}"/>
            </c:ext>
          </c:extLst>
        </c:ser>
        <c:ser>
          <c:idx val="2"/>
          <c:order val="2"/>
          <c:tx>
            <c:strRef>
              <c:f>PRO_YCRAGF!$R$4:$R$5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PRO_YCRAGF!$R$6:$R$17</c:f>
              <c:numCache>
                <c:formatCode>General</c:formatCode>
                <c:ptCount val="8"/>
                <c:pt idx="4">
                  <c:v>-2.7912695354093452E-15</c:v>
                </c:pt>
                <c:pt idx="6">
                  <c:v>0.83679778162546081</c:v>
                </c:pt>
                <c:pt idx="7">
                  <c:v>4.9490998126093881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48AA-A599-2C27BA07405D}"/>
            </c:ext>
          </c:extLst>
        </c:ser>
        <c:ser>
          <c:idx val="3"/>
          <c:order val="3"/>
          <c:tx>
            <c:strRef>
              <c:f>PRO_YCRAGF!$S$4:$S$5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PRO_YCRAGF!$S$6:$S$17</c:f>
              <c:numCache>
                <c:formatCode>General</c:formatCode>
                <c:ptCount val="8"/>
                <c:pt idx="0">
                  <c:v>94.759614626630693</c:v>
                </c:pt>
                <c:pt idx="1">
                  <c:v>94.759614626630523</c:v>
                </c:pt>
                <c:pt idx="2">
                  <c:v>94.759614626630679</c:v>
                </c:pt>
                <c:pt idx="3">
                  <c:v>94.75961462663075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48AA-A599-2C27BA07405D}"/>
            </c:ext>
          </c:extLst>
        </c:ser>
        <c:ser>
          <c:idx val="4"/>
          <c:order val="4"/>
          <c:tx>
            <c:strRef>
              <c:f>PRO_YCRAGF!$T$4:$T$5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PRO_YCRAGF!$T$6:$T$17</c:f>
              <c:numCache>
                <c:formatCode>General</c:formatCode>
                <c:ptCount val="8"/>
                <c:pt idx="0">
                  <c:v>15.101039999999987</c:v>
                </c:pt>
                <c:pt idx="1">
                  <c:v>59.303686236223193</c:v>
                </c:pt>
                <c:pt idx="2">
                  <c:v>87.69256324882727</c:v>
                </c:pt>
                <c:pt idx="3">
                  <c:v>115.34249561262013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48AA-A599-2C27BA07405D}"/>
            </c:ext>
          </c:extLst>
        </c:ser>
        <c:ser>
          <c:idx val="5"/>
          <c:order val="5"/>
          <c:tx>
            <c:strRef>
              <c:f>PRO_YCRAGF!$U$4:$U$5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PRO_YCRAGF!$U$6:$U$17</c:f>
              <c:numCache>
                <c:formatCode>General</c:formatCode>
                <c:ptCount val="8"/>
                <c:pt idx="0">
                  <c:v>44.731138475276772</c:v>
                </c:pt>
                <c:pt idx="1">
                  <c:v>56.807979924644414</c:v>
                </c:pt>
                <c:pt idx="2">
                  <c:v>144.58161218557359</c:v>
                </c:pt>
                <c:pt idx="3">
                  <c:v>182.78057438497575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48AA-A599-2C27BA07405D}"/>
            </c:ext>
          </c:extLst>
        </c:ser>
        <c:ser>
          <c:idx val="6"/>
          <c:order val="6"/>
          <c:tx>
            <c:strRef>
              <c:f>PRO_YCRAGF!$V$4:$V$5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PRO_YCRAGF!$V$6:$V$17</c:f>
              <c:numCache>
                <c:formatCode>General</c:formatCode>
                <c:ptCount val="8"/>
                <c:pt idx="4">
                  <c:v>-2.4060663595814181E-15</c:v>
                </c:pt>
                <c:pt idx="7">
                  <c:v>0.38831365303979881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48AA-A599-2C27BA07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71516670347933"/>
          <c:y val="4.5531799886451653E-2"/>
          <c:w val="0.15919426663406322"/>
          <c:h val="0.92087566455713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G_CAP_YCRAF!$Q$8:$Q$18</c:f>
              <c:numCache>
                <c:formatCode>General</c:formatCode>
                <c:ptCount val="4"/>
                <c:pt idx="0">
                  <c:v>1.6999999999999995</c:v>
                </c:pt>
                <c:pt idx="1">
                  <c:v>1.2749999999999988</c:v>
                </c:pt>
                <c:pt idx="2">
                  <c:v>0.42500000000000093</c:v>
                </c:pt>
                <c:pt idx="3">
                  <c:v>0.6077171894803961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G_CAP_YCRAF!$R$8:$R$18</c:f>
              <c:numCache>
                <c:formatCode>General</c:formatCode>
                <c:ptCount val="4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B4-4CA9-9E67-BF851C023F9C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G_CAP_YCRAF!$S$8:$S$18</c:f>
              <c:numCache>
                <c:formatCode>General</c:formatCode>
                <c:ptCount val="4"/>
                <c:pt idx="0">
                  <c:v>8</c:v>
                </c:pt>
                <c:pt idx="1">
                  <c:v>32.096848004485523</c:v>
                </c:pt>
                <c:pt idx="2">
                  <c:v>46.756146534193618</c:v>
                </c:pt>
                <c:pt idx="3">
                  <c:v>61.441132285007484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B4-4CA9-9E67-BF851C023F9C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G_CAP_YCRAF!$T$8:$T$18</c:f>
              <c:numCache>
                <c:formatCode>General</c:formatCode>
                <c:ptCount val="4"/>
                <c:pt idx="0">
                  <c:v>13.929206206568255</c:v>
                </c:pt>
                <c:pt idx="1">
                  <c:v>19.814218034314507</c:v>
                </c:pt>
                <c:pt idx="2">
                  <c:v>53.701069285088522</c:v>
                </c:pt>
                <c:pt idx="3">
                  <c:v>70.394886518506908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B4-4CA9-9E67-BF851C023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11897432237984"/>
          <c:y val="0.14096727339937123"/>
          <c:w val="0.24589462271482976"/>
          <c:h val="0.65919254474272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53.451088374092045</c:v>
                </c:pt>
                <c:pt idx="1">
                  <c:v>1065.3669259820831</c:v>
                </c:pt>
                <c:pt idx="2">
                  <c:v>4722.671511446044</c:v>
                </c:pt>
                <c:pt idx="3">
                  <c:v>7125.223207903121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1154.3842153816881</c:v>
                </c:pt>
                <c:pt idx="1">
                  <c:v>1553.8670957697223</c:v>
                </c:pt>
                <c:pt idx="2">
                  <c:v>2037.3154297155208</c:v>
                </c:pt>
                <c:pt idx="3">
                  <c:v>2449.9968018129712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4.7588194444042076</c:v>
                </c:pt>
                <c:pt idx="1">
                  <c:v>3.3935954504479438</c:v>
                </c:pt>
                <c:pt idx="2">
                  <c:v>1.1560673724687551</c:v>
                </c:pt>
                <c:pt idx="3">
                  <c:v>-240.35883725928173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125.44257334363498</c:v>
                </c:pt>
                <c:pt idx="1">
                  <c:v>145.84965459190076</c:v>
                </c:pt>
                <c:pt idx="2">
                  <c:v>212.44038968514332</c:v>
                </c:pt>
                <c:pt idx="3">
                  <c:v>365.87840507155556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-5.4230860707075413E-14</c:v>
                </c:pt>
                <c:pt idx="3">
                  <c:v>28.05220233410418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EL_PRICE_YCR!$K$7:$K$16</c:f>
              <c:multiLvlStrCache>
                <c:ptCount val="4"/>
                <c:lvl>
                  <c:pt idx="0">
                    <c:v>TR</c:v>
                  </c:pt>
                  <c:pt idx="1">
                    <c:v>TR</c:v>
                  </c:pt>
                  <c:pt idx="2">
                    <c:v>TR</c:v>
                  </c:pt>
                  <c:pt idx="3">
                    <c:v>TR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EL_PRICE_YCR!$L$7:$L$16</c:f>
              <c:numCache>
                <c:formatCode>General</c:formatCode>
                <c:ptCount val="4"/>
                <c:pt idx="0">
                  <c:v>10.788603765978005</c:v>
                </c:pt>
                <c:pt idx="1">
                  <c:v>26.704225986468138</c:v>
                </c:pt>
                <c:pt idx="2">
                  <c:v>30.641771901178167</c:v>
                </c:pt>
                <c:pt idx="3">
                  <c:v>33.528625237013657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EMI_YCRAG!$P$5:$P$9</c:f>
              <c:multiLvlStrCache>
                <c:ptCount val="2"/>
                <c:lvl>
                  <c:pt idx="0">
                    <c:v>2020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EMI_YCRAG!$Q$5:$Q$9</c:f>
              <c:numCache>
                <c:formatCode>General</c:formatCode>
                <c:ptCount val="2"/>
                <c:pt idx="0">
                  <c:v>-6.9418451711580459E-13</c:v>
                </c:pt>
                <c:pt idx="1">
                  <c:v>112.03403623988251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mberos\gitRepos\balmorel-postprocessing\Output/productionprofile.png" TargetMode="Externa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10303" y="2009566"/>
          <a:ext cx="1864767" cy="592989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501892</xdr:colOff>
      <xdr:row>24</xdr:row>
      <xdr:rowOff>102525</xdr:rowOff>
    </xdr:from>
    <xdr:to>
      <xdr:col>4</xdr:col>
      <xdr:colOff>68132</xdr:colOff>
      <xdr:row>39</xdr:row>
      <xdr:rowOff>142530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533600</xdr:colOff>
      <xdr:row>39</xdr:row>
      <xdr:rowOff>105728</xdr:rowOff>
    </xdr:from>
    <xdr:to>
      <xdr:col>4</xdr:col>
      <xdr:colOff>87182</xdr:colOff>
      <xdr:row>61</xdr:row>
      <xdr:rowOff>142652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553122</xdr:colOff>
      <xdr:row>60</xdr:row>
      <xdr:rowOff>98836</xdr:rowOff>
    </xdr:from>
    <xdr:to>
      <xdr:col>4</xdr:col>
      <xdr:colOff>58606</xdr:colOff>
      <xdr:row>79</xdr:row>
      <xdr:rowOff>1456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25168" y="2567842"/>
          <a:ext cx="1863645" cy="600163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41686</xdr:colOff>
      <xdr:row>78</xdr:row>
      <xdr:rowOff>169434</xdr:rowOff>
    </xdr:from>
    <xdr:to>
      <xdr:col>2</xdr:col>
      <xdr:colOff>4097432</xdr:colOff>
      <xdr:row>94</xdr:row>
      <xdr:rowOff>20619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636270</xdr:colOff>
      <xdr:row>43</xdr:row>
      <xdr:rowOff>179070</xdr:rowOff>
    </xdr:from>
    <xdr:to>
      <xdr:col>5</xdr:col>
      <xdr:colOff>3164205</xdr:colOff>
      <xdr:row>59</xdr:row>
      <xdr:rowOff>26670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15240</xdr:colOff>
      <xdr:row>23</xdr:row>
      <xdr:rowOff>34290</xdr:rowOff>
    </xdr:from>
    <xdr:to>
      <xdr:col>7</xdr:col>
      <xdr:colOff>1045748</xdr:colOff>
      <xdr:row>42</xdr:row>
      <xdr:rowOff>111573</xdr:rowOff>
    </xdr:to>
    <xdr:pic>
      <xdr:nvPicPr>
        <xdr:cNvPr id="98" name="Python Output">
          <a:extLst>
            <a:ext uri="{FF2B5EF4-FFF2-40B4-BE49-F238E27FC236}">
              <a16:creationId xmlns:a16="http://schemas.microsoft.com/office/drawing/2014/main" id="{09291E11-0F6E-6EB2-15EA-40FCCC0CC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987790" y="4282440"/>
          <a:ext cx="7507508" cy="35158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799457638888" backgroundQuery="1" createdVersion="8" refreshedVersion="8" minRefreshableVersion="3" recordCount="2" xr:uid="{31379719-A94B-4572-B37D-AA360B6C75AD}">
  <cacheSource type="external" connectionId="4"/>
  <cacheFields count="11">
    <cacheField name="SC" numFmtId="0">
      <sharedItems count="1">
        <s v="TransportBase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2">
        <n v="202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1">
        <s v="TR_A"/>
      </sharedItems>
    </cacheField>
    <cacheField name="G" numFmtId="0">
      <sharedItems count="1">
        <s v="GNR_STEAM-REFORMING_E-70_Y-2020"/>
      </sharedItems>
    </cacheField>
    <cacheField name="F" numFmtId="0">
      <sharedItems count="1">
        <s v="NATGAS"/>
      </sharedItems>
    </cacheField>
    <cacheField name="Tech" numFmtId="0">
      <sharedItems count="1">
        <s v="STEAMREFORM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6.9418451711580459E-13" maxValue="112.03403623988251" count="2">
        <n v="-6.9418451711580459E-13"/>
        <n v="112.0340362398825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799458912035" backgroundQuery="1" createdVersion="8" refreshedVersion="8" minRefreshableVersion="3" recordCount="18" xr:uid="{0C270E10-2FBB-4CC0-A28C-59CBEF306603}">
  <cacheSource type="external" connectionId="9"/>
  <cacheFields count="8">
    <cacheField name="SC" numFmtId="0">
      <sharedItems count="8">
        <s v="TransportBase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Var" numFmtId="0">
      <sharedItems count="5">
        <s v="GENERATION_CAPITAL_COSTS"/>
        <s v="GENERATION_FIXED_COSTS"/>
        <s v="GENERATION_OPERATION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40.35883725928173" maxValue="7125.223207903121" count="18">
        <n v="53.451088374092045"/>
        <n v="1154.3842153816881"/>
        <n v="125.44257334363498"/>
        <n v="4.7588194444042076"/>
        <n v="-5.4230860707075413E-14"/>
        <n v="1065.3669259820831"/>
        <n v="1553.8670957697223"/>
        <n v="145.84965459190076"/>
        <n v="3.3935954504479438"/>
        <n v="4722.671511446044"/>
        <n v="2037.3154297155208"/>
        <n v="212.44038968514332"/>
        <n v="1.1560673724687551"/>
        <n v="7125.223207903121"/>
        <n v="2449.9968018129712"/>
        <n v="365.87840507155556"/>
        <n v="-240.35883725928173"/>
        <n v="28.052202334104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799459606482" backgroundQuery="1" createdVersion="8" refreshedVersion="8" minRefreshableVersion="3" recordCount="98" xr:uid="{439AE32B-CCB5-4DA7-B96C-F5716AA012E9}">
  <cacheSource type="external" connectionId="7"/>
  <cacheFields count="13">
    <cacheField name="SC" numFmtId="0">
      <sharedItems count="26">
        <s v="TransportBase"/>
        <s v="NoTransport" u="1"/>
        <s v="TR_Base" u="1"/>
        <s v="TR_50%lowerWTRFLH" u="1"/>
        <s v="TR_WTRFLH8760h" u="1"/>
        <s v="eur-system-test" u="1"/>
        <s v="TR_NoRESstor" u="1"/>
        <s v="TR_NoRESstor-3rdROR" u="1"/>
        <s v="TR_AllRoR" u="1"/>
        <s v="GDATAtoRG1" u="1"/>
        <s v="NoGDATAaltering" u="1"/>
        <s v="%scenario_name%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4">
        <s v="GNR_CC_NGAS_CND_E-56"/>
        <s v="GNR_GEO_HEAT_EO"/>
        <s v="GNR_RES_WTR_NOPMP"/>
        <s v="GNR_ST_COAL_CND_E-33"/>
        <s v="GNR_ST_WOOD_CND_E-50"/>
        <s v="GNR_ELYS_ELEC_AEC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STEAM-REFORMING_E-70_Y-2020"/>
        <s v="GNR_WT_ONS-2050"/>
        <s v="GNR_PV-2050"/>
      </sharedItems>
    </cacheField>
    <cacheField name="F" numFmtId="0">
      <sharedItems count="25">
        <s v="NATGAS"/>
        <s v="WASTEHEAT"/>
        <s v="WATER"/>
        <s v="COAL"/>
        <s v="WOOD"/>
        <s v="ELECTRIC"/>
        <s v="SUN"/>
        <s v="WIND"/>
        <s v="HYDROGEN"/>
        <s v="MUNIWASTE"/>
        <s v="LIGHTOIL" u="1"/>
        <s v="BIOGAS" u="1"/>
        <s v="WOODPELLETS" u="1"/>
        <s v="FUELOIL" u="1"/>
        <s v="NUCLEAR" u="1"/>
        <s v="PEAT" u="1"/>
        <s v="HEAT" u="1"/>
        <s v="WOODWASTE" u="1"/>
        <s v="LIGNITE" u="1"/>
        <s v="OTHERGAS" u="1"/>
        <s v="BIOOIL" u="1"/>
        <s v="STRAW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 u="1"/>
        <s v="BIOMETHANE" u="1"/>
      </sharedItems>
    </cacheField>
    <cacheField name="Tech" numFmtId="0">
      <sharedItems count="14">
        <s v="CONDENSING"/>
        <s v="HYDRO-RESERVOIRS"/>
        <s v="ELECTROLYZER"/>
        <s v="SOLAR-PV"/>
        <s v="WIND-ON"/>
        <s v="H2-STORAGE"/>
        <s v="STEAMREFORMING"/>
        <s v="HYDRO-RUN-OF-RIVER" u="1"/>
        <s v="CHP-EXTRACTION" u="1"/>
        <s v="BIOGASUPGRADING" u="1"/>
        <s v="WIND-OFF" u="1"/>
        <s v="INTERSEASONAL-HEAT-STORAGE" u="1"/>
        <s v="INTRASEASONAL-ELECT-STORAGE" u="1"/>
        <s v="FUELCELL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25.75" maxValue="365.894018811978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799461689814" backgroundQuery="1" createdVersion="8" refreshedVersion="8" minRefreshableVersion="3" recordCount="54" xr:uid="{82EC0780-338A-464F-BB85-3CBE84E49413}">
  <cacheSource type="external" connectionId="11"/>
  <cacheFields count="12">
    <cacheField name="SC" numFmtId="0">
      <sharedItems count="28">
        <s v="TransportBase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eur-system-test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2">
        <s v="GNR_GEO_HEAT_EO"/>
        <s v="GNR_RES_WTR_NOPMP"/>
        <s v="GNR_ELYS_ELEC_AEC_Y-2020"/>
        <s v="GNR_H2S_H2-TNKC_Y-2020"/>
        <s v="GNR_STEAM-REFORMING_E-70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WT_ONS-2050"/>
        <s v="GNR_PV-2050"/>
      </sharedItems>
    </cacheField>
    <cacheField name="F" numFmtId="0">
      <sharedItems count="24">
        <s v="WASTEHEAT"/>
        <s v="WATER"/>
        <s v="ELECTRIC"/>
        <s v="HYDROGEN"/>
        <s v="NATGAS"/>
        <s v="SUN"/>
        <s v="WIND"/>
        <s v="MUNIWASTE"/>
        <s v="WOOD" u="1"/>
        <s v="LIGHTOIL" u="1"/>
        <s v="BIOGAS" u="1"/>
        <s v="WOODPELLETS" u="1"/>
        <s v="FUELOIL" u="1"/>
        <s v="NUCLEAR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 u="1"/>
      </sharedItems>
    </cacheField>
    <cacheField name="Tech" numFmtId="0">
      <sharedItems count="12">
        <s v="CONDENSING"/>
        <s v="HYDRO-RESERVOIRS"/>
        <s v="ELECTROLYZER"/>
        <s v="H2-STORAGE"/>
        <s v="STEAMREFORMING"/>
        <s v="SOLAR-PV"/>
        <s v="WIND-ON"/>
        <s v="HYDRO-RUN-OF-RIVER" u="1"/>
        <s v="FUELCELL" u="1"/>
        <s v="CHP-EXTRACTION" u="1"/>
        <s v="WIND-OFF" u="1"/>
        <s v="INTRASEASONAL-ELECT-STORAGE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2.7912695354093452E-15" maxValue="125.89143827071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799463888892" backgroundQuery="1" createdVersion="8" refreshedVersion="8" minRefreshableVersion="3" recordCount="4" xr:uid="{0A594989-0DB0-43C1-9736-16C29D0166C3}">
  <cacheSource type="external" connectionId="2"/>
  <cacheFields count="8">
    <cacheField name="SC" numFmtId="0">
      <sharedItems count="3">
        <s v="TransportBase"/>
        <s v="NoTransport" u="1"/>
        <s v="%scenario_name%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3">
        <s v="TR"/>
        <s v="DK1" u="1"/>
        <s v="DK2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0.788603765978005" maxValue="33.528625237013657" count="4">
        <n v="10.788603765978005"/>
        <n v="26.704225986468138"/>
        <n v="30.641771901178167"/>
        <n v="33.52862523701365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0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x v="0"/>
    <x v="0"/>
    <x v="0"/>
    <x v="0"/>
    <x v="0"/>
  </r>
  <r>
    <x v="0"/>
    <x v="0"/>
    <x v="0"/>
    <x v="0"/>
    <x v="0"/>
    <x v="1"/>
    <x v="0"/>
    <x v="1"/>
  </r>
  <r>
    <x v="0"/>
    <x v="0"/>
    <x v="0"/>
    <x v="0"/>
    <x v="0"/>
    <x v="2"/>
    <x v="0"/>
    <x v="2"/>
  </r>
  <r>
    <x v="0"/>
    <x v="0"/>
    <x v="0"/>
    <x v="0"/>
    <x v="0"/>
    <x v="3"/>
    <x v="0"/>
    <x v="3"/>
  </r>
  <r>
    <x v="0"/>
    <x v="0"/>
    <x v="0"/>
    <x v="0"/>
    <x v="0"/>
    <x v="4"/>
    <x v="0"/>
    <x v="4"/>
  </r>
  <r>
    <x v="0"/>
    <x v="0"/>
    <x v="1"/>
    <x v="0"/>
    <x v="0"/>
    <x v="0"/>
    <x v="0"/>
    <x v="5"/>
  </r>
  <r>
    <x v="0"/>
    <x v="0"/>
    <x v="1"/>
    <x v="0"/>
    <x v="0"/>
    <x v="1"/>
    <x v="0"/>
    <x v="6"/>
  </r>
  <r>
    <x v="0"/>
    <x v="0"/>
    <x v="1"/>
    <x v="0"/>
    <x v="0"/>
    <x v="2"/>
    <x v="0"/>
    <x v="7"/>
  </r>
  <r>
    <x v="0"/>
    <x v="0"/>
    <x v="1"/>
    <x v="0"/>
    <x v="0"/>
    <x v="3"/>
    <x v="0"/>
    <x v="8"/>
  </r>
  <r>
    <x v="0"/>
    <x v="0"/>
    <x v="2"/>
    <x v="0"/>
    <x v="0"/>
    <x v="0"/>
    <x v="0"/>
    <x v="9"/>
  </r>
  <r>
    <x v="0"/>
    <x v="0"/>
    <x v="2"/>
    <x v="0"/>
    <x v="0"/>
    <x v="1"/>
    <x v="0"/>
    <x v="10"/>
  </r>
  <r>
    <x v="0"/>
    <x v="0"/>
    <x v="2"/>
    <x v="0"/>
    <x v="0"/>
    <x v="2"/>
    <x v="0"/>
    <x v="11"/>
  </r>
  <r>
    <x v="0"/>
    <x v="0"/>
    <x v="2"/>
    <x v="0"/>
    <x v="0"/>
    <x v="3"/>
    <x v="0"/>
    <x v="12"/>
  </r>
  <r>
    <x v="0"/>
    <x v="0"/>
    <x v="3"/>
    <x v="0"/>
    <x v="0"/>
    <x v="0"/>
    <x v="0"/>
    <x v="13"/>
  </r>
  <r>
    <x v="0"/>
    <x v="0"/>
    <x v="3"/>
    <x v="0"/>
    <x v="0"/>
    <x v="1"/>
    <x v="0"/>
    <x v="14"/>
  </r>
  <r>
    <x v="0"/>
    <x v="0"/>
    <x v="3"/>
    <x v="0"/>
    <x v="0"/>
    <x v="2"/>
    <x v="0"/>
    <x v="15"/>
  </r>
  <r>
    <x v="0"/>
    <x v="0"/>
    <x v="3"/>
    <x v="0"/>
    <x v="0"/>
    <x v="3"/>
    <x v="0"/>
    <x v="16"/>
  </r>
  <r>
    <x v="0"/>
    <x v="0"/>
    <x v="3"/>
    <x v="0"/>
    <x v="0"/>
    <x v="4"/>
    <x v="0"/>
    <x v="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x v="0"/>
    <x v="0"/>
    <x v="0"/>
    <x v="0"/>
    <x v="0"/>
    <x v="0"/>
    <x v="0"/>
    <x v="0"/>
    <x v="0"/>
    <x v="0"/>
    <x v="0"/>
    <x v="0"/>
    <n v="25.75"/>
  </r>
  <r>
    <x v="0"/>
    <x v="0"/>
    <x v="0"/>
    <x v="0"/>
    <x v="0"/>
    <x v="0"/>
    <x v="0"/>
    <x v="0"/>
    <x v="0"/>
    <x v="0"/>
    <x v="1"/>
    <x v="0"/>
    <n v="-25.75"/>
  </r>
  <r>
    <x v="0"/>
    <x v="0"/>
    <x v="0"/>
    <x v="0"/>
    <x v="0"/>
    <x v="0"/>
    <x v="1"/>
    <x v="1"/>
    <x v="0"/>
    <x v="0"/>
    <x v="0"/>
    <x v="0"/>
    <n v="1.7"/>
  </r>
  <r>
    <x v="0"/>
    <x v="0"/>
    <x v="0"/>
    <x v="0"/>
    <x v="0"/>
    <x v="0"/>
    <x v="2"/>
    <x v="2"/>
    <x v="0"/>
    <x v="1"/>
    <x v="0"/>
    <x v="0"/>
    <n v="31.5"/>
  </r>
  <r>
    <x v="0"/>
    <x v="0"/>
    <x v="0"/>
    <x v="0"/>
    <x v="0"/>
    <x v="0"/>
    <x v="3"/>
    <x v="3"/>
    <x v="0"/>
    <x v="0"/>
    <x v="0"/>
    <x v="0"/>
    <n v="20"/>
  </r>
  <r>
    <x v="0"/>
    <x v="0"/>
    <x v="0"/>
    <x v="0"/>
    <x v="0"/>
    <x v="0"/>
    <x v="3"/>
    <x v="3"/>
    <x v="0"/>
    <x v="0"/>
    <x v="1"/>
    <x v="0"/>
    <n v="-20"/>
  </r>
  <r>
    <x v="0"/>
    <x v="0"/>
    <x v="0"/>
    <x v="0"/>
    <x v="0"/>
    <x v="0"/>
    <x v="4"/>
    <x v="4"/>
    <x v="0"/>
    <x v="0"/>
    <x v="0"/>
    <x v="0"/>
    <n v="1.7"/>
  </r>
  <r>
    <x v="0"/>
    <x v="0"/>
    <x v="0"/>
    <x v="0"/>
    <x v="0"/>
    <x v="0"/>
    <x v="4"/>
    <x v="4"/>
    <x v="0"/>
    <x v="0"/>
    <x v="1"/>
    <x v="0"/>
    <n v="-1.7"/>
  </r>
  <r>
    <x v="0"/>
    <x v="0"/>
    <x v="0"/>
    <x v="0"/>
    <x v="0"/>
    <x v="0"/>
    <x v="5"/>
    <x v="5"/>
    <x v="1"/>
    <x v="2"/>
    <x v="2"/>
    <x v="0"/>
    <n v="0.53574544709786664"/>
  </r>
  <r>
    <x v="0"/>
    <x v="0"/>
    <x v="0"/>
    <x v="0"/>
    <x v="0"/>
    <x v="1"/>
    <x v="6"/>
    <x v="6"/>
    <x v="0"/>
    <x v="3"/>
    <x v="0"/>
    <x v="0"/>
    <n v="8"/>
  </r>
  <r>
    <x v="0"/>
    <x v="0"/>
    <x v="0"/>
    <x v="0"/>
    <x v="0"/>
    <x v="1"/>
    <x v="7"/>
    <x v="7"/>
    <x v="0"/>
    <x v="4"/>
    <x v="0"/>
    <x v="0"/>
    <n v="11"/>
  </r>
  <r>
    <x v="0"/>
    <x v="0"/>
    <x v="0"/>
    <x v="0"/>
    <x v="0"/>
    <x v="1"/>
    <x v="7"/>
    <x v="7"/>
    <x v="0"/>
    <x v="4"/>
    <x v="1"/>
    <x v="0"/>
    <n v="-0.92079379343174794"/>
  </r>
  <r>
    <x v="0"/>
    <x v="0"/>
    <x v="0"/>
    <x v="0"/>
    <x v="0"/>
    <x v="1"/>
    <x v="8"/>
    <x v="7"/>
    <x v="0"/>
    <x v="4"/>
    <x v="0"/>
    <x v="0"/>
    <n v="3.3000000000000003"/>
  </r>
  <r>
    <x v="0"/>
    <x v="0"/>
    <x v="0"/>
    <x v="0"/>
    <x v="0"/>
    <x v="1"/>
    <x v="9"/>
    <x v="7"/>
    <x v="0"/>
    <x v="4"/>
    <x v="0"/>
    <x v="0"/>
    <n v="7.15"/>
  </r>
  <r>
    <x v="0"/>
    <x v="0"/>
    <x v="0"/>
    <x v="0"/>
    <x v="0"/>
    <x v="1"/>
    <x v="9"/>
    <x v="7"/>
    <x v="0"/>
    <x v="4"/>
    <x v="1"/>
    <x v="0"/>
    <n v="-7.15"/>
  </r>
  <r>
    <x v="0"/>
    <x v="0"/>
    <x v="0"/>
    <x v="0"/>
    <x v="0"/>
    <x v="1"/>
    <x v="10"/>
    <x v="7"/>
    <x v="0"/>
    <x v="4"/>
    <x v="0"/>
    <x v="0"/>
    <n v="0.55000000000000004"/>
  </r>
  <r>
    <x v="0"/>
    <x v="0"/>
    <x v="1"/>
    <x v="0"/>
    <x v="0"/>
    <x v="0"/>
    <x v="0"/>
    <x v="0"/>
    <x v="0"/>
    <x v="0"/>
    <x v="0"/>
    <x v="0"/>
    <n v="25.75"/>
  </r>
  <r>
    <x v="0"/>
    <x v="0"/>
    <x v="1"/>
    <x v="0"/>
    <x v="0"/>
    <x v="0"/>
    <x v="0"/>
    <x v="0"/>
    <x v="0"/>
    <x v="0"/>
    <x v="1"/>
    <x v="0"/>
    <n v="-25.75"/>
  </r>
  <r>
    <x v="0"/>
    <x v="0"/>
    <x v="1"/>
    <x v="0"/>
    <x v="0"/>
    <x v="0"/>
    <x v="1"/>
    <x v="1"/>
    <x v="0"/>
    <x v="0"/>
    <x v="0"/>
    <x v="0"/>
    <n v="1.7"/>
  </r>
  <r>
    <x v="0"/>
    <x v="0"/>
    <x v="1"/>
    <x v="0"/>
    <x v="0"/>
    <x v="0"/>
    <x v="1"/>
    <x v="1"/>
    <x v="0"/>
    <x v="0"/>
    <x v="1"/>
    <x v="0"/>
    <n v="-0.42499999999999999"/>
  </r>
  <r>
    <x v="0"/>
    <x v="0"/>
    <x v="1"/>
    <x v="0"/>
    <x v="0"/>
    <x v="0"/>
    <x v="2"/>
    <x v="2"/>
    <x v="0"/>
    <x v="1"/>
    <x v="0"/>
    <x v="0"/>
    <n v="31.5"/>
  </r>
  <r>
    <x v="0"/>
    <x v="0"/>
    <x v="1"/>
    <x v="0"/>
    <x v="0"/>
    <x v="0"/>
    <x v="3"/>
    <x v="3"/>
    <x v="0"/>
    <x v="0"/>
    <x v="0"/>
    <x v="0"/>
    <n v="20"/>
  </r>
  <r>
    <x v="0"/>
    <x v="0"/>
    <x v="1"/>
    <x v="0"/>
    <x v="0"/>
    <x v="0"/>
    <x v="3"/>
    <x v="3"/>
    <x v="0"/>
    <x v="0"/>
    <x v="1"/>
    <x v="0"/>
    <n v="-20"/>
  </r>
  <r>
    <x v="0"/>
    <x v="0"/>
    <x v="1"/>
    <x v="0"/>
    <x v="0"/>
    <x v="0"/>
    <x v="4"/>
    <x v="4"/>
    <x v="0"/>
    <x v="0"/>
    <x v="0"/>
    <x v="0"/>
    <n v="1.7"/>
  </r>
  <r>
    <x v="0"/>
    <x v="0"/>
    <x v="1"/>
    <x v="0"/>
    <x v="0"/>
    <x v="0"/>
    <x v="4"/>
    <x v="4"/>
    <x v="0"/>
    <x v="0"/>
    <x v="1"/>
    <x v="0"/>
    <n v="-1.7"/>
  </r>
  <r>
    <x v="0"/>
    <x v="0"/>
    <x v="1"/>
    <x v="0"/>
    <x v="0"/>
    <x v="0"/>
    <x v="5"/>
    <x v="5"/>
    <x v="1"/>
    <x v="2"/>
    <x v="2"/>
    <x v="0"/>
    <n v="0.53574544709786664"/>
  </r>
  <r>
    <x v="0"/>
    <x v="0"/>
    <x v="1"/>
    <x v="0"/>
    <x v="0"/>
    <x v="0"/>
    <x v="11"/>
    <x v="5"/>
    <x v="1"/>
    <x v="2"/>
    <x v="2"/>
    <x v="0"/>
    <n v="4.0150039674721656"/>
  </r>
  <r>
    <x v="0"/>
    <x v="0"/>
    <x v="1"/>
    <x v="0"/>
    <x v="0"/>
    <x v="1"/>
    <x v="6"/>
    <x v="6"/>
    <x v="0"/>
    <x v="3"/>
    <x v="0"/>
    <x v="0"/>
    <n v="8"/>
  </r>
  <r>
    <x v="0"/>
    <x v="0"/>
    <x v="1"/>
    <x v="0"/>
    <x v="0"/>
    <x v="1"/>
    <x v="6"/>
    <x v="6"/>
    <x v="0"/>
    <x v="3"/>
    <x v="1"/>
    <x v="0"/>
    <n v="-2"/>
  </r>
  <r>
    <x v="0"/>
    <x v="0"/>
    <x v="1"/>
    <x v="0"/>
    <x v="0"/>
    <x v="1"/>
    <x v="7"/>
    <x v="7"/>
    <x v="0"/>
    <x v="4"/>
    <x v="0"/>
    <x v="0"/>
    <n v="11"/>
  </r>
  <r>
    <x v="0"/>
    <x v="0"/>
    <x v="1"/>
    <x v="0"/>
    <x v="0"/>
    <x v="1"/>
    <x v="7"/>
    <x v="7"/>
    <x v="0"/>
    <x v="4"/>
    <x v="1"/>
    <x v="0"/>
    <n v="-2.75"/>
  </r>
  <r>
    <x v="0"/>
    <x v="0"/>
    <x v="1"/>
    <x v="0"/>
    <x v="0"/>
    <x v="1"/>
    <x v="8"/>
    <x v="7"/>
    <x v="0"/>
    <x v="4"/>
    <x v="0"/>
    <x v="0"/>
    <n v="3.3000000000000003"/>
  </r>
  <r>
    <x v="0"/>
    <x v="0"/>
    <x v="1"/>
    <x v="0"/>
    <x v="0"/>
    <x v="1"/>
    <x v="8"/>
    <x v="7"/>
    <x v="0"/>
    <x v="4"/>
    <x v="1"/>
    <x v="0"/>
    <n v="-0.82500000000000007"/>
  </r>
  <r>
    <x v="0"/>
    <x v="0"/>
    <x v="1"/>
    <x v="0"/>
    <x v="0"/>
    <x v="1"/>
    <x v="9"/>
    <x v="7"/>
    <x v="0"/>
    <x v="4"/>
    <x v="0"/>
    <x v="0"/>
    <n v="7.15"/>
  </r>
  <r>
    <x v="0"/>
    <x v="0"/>
    <x v="1"/>
    <x v="0"/>
    <x v="0"/>
    <x v="1"/>
    <x v="9"/>
    <x v="7"/>
    <x v="0"/>
    <x v="4"/>
    <x v="1"/>
    <x v="0"/>
    <n v="-1.7875000000000001"/>
  </r>
  <r>
    <x v="0"/>
    <x v="0"/>
    <x v="1"/>
    <x v="0"/>
    <x v="0"/>
    <x v="1"/>
    <x v="10"/>
    <x v="7"/>
    <x v="0"/>
    <x v="4"/>
    <x v="0"/>
    <x v="0"/>
    <n v="0.55000000000000004"/>
  </r>
  <r>
    <x v="0"/>
    <x v="0"/>
    <x v="1"/>
    <x v="0"/>
    <x v="0"/>
    <x v="1"/>
    <x v="10"/>
    <x v="7"/>
    <x v="0"/>
    <x v="4"/>
    <x v="1"/>
    <x v="0"/>
    <n v="-0.13750000000000001"/>
  </r>
  <r>
    <x v="0"/>
    <x v="0"/>
    <x v="1"/>
    <x v="0"/>
    <x v="0"/>
    <x v="1"/>
    <x v="12"/>
    <x v="7"/>
    <x v="0"/>
    <x v="4"/>
    <x v="2"/>
    <x v="0"/>
    <n v="3.3142180343145085"/>
  </r>
  <r>
    <x v="0"/>
    <x v="0"/>
    <x v="1"/>
    <x v="0"/>
    <x v="0"/>
    <x v="1"/>
    <x v="13"/>
    <x v="6"/>
    <x v="0"/>
    <x v="3"/>
    <x v="2"/>
    <x v="0"/>
    <n v="26.096848004485526"/>
  </r>
  <r>
    <x v="0"/>
    <x v="0"/>
    <x v="2"/>
    <x v="0"/>
    <x v="0"/>
    <x v="0"/>
    <x v="0"/>
    <x v="0"/>
    <x v="0"/>
    <x v="0"/>
    <x v="0"/>
    <x v="0"/>
    <n v="25.75"/>
  </r>
  <r>
    <x v="0"/>
    <x v="0"/>
    <x v="2"/>
    <x v="0"/>
    <x v="0"/>
    <x v="0"/>
    <x v="0"/>
    <x v="0"/>
    <x v="0"/>
    <x v="0"/>
    <x v="1"/>
    <x v="0"/>
    <n v="-25.75"/>
  </r>
  <r>
    <x v="0"/>
    <x v="0"/>
    <x v="2"/>
    <x v="0"/>
    <x v="0"/>
    <x v="0"/>
    <x v="1"/>
    <x v="1"/>
    <x v="0"/>
    <x v="0"/>
    <x v="0"/>
    <x v="0"/>
    <n v="1.7"/>
  </r>
  <r>
    <x v="0"/>
    <x v="0"/>
    <x v="2"/>
    <x v="0"/>
    <x v="0"/>
    <x v="0"/>
    <x v="1"/>
    <x v="1"/>
    <x v="0"/>
    <x v="0"/>
    <x v="1"/>
    <x v="0"/>
    <n v="-1.2750000000000001"/>
  </r>
  <r>
    <x v="0"/>
    <x v="0"/>
    <x v="2"/>
    <x v="0"/>
    <x v="0"/>
    <x v="0"/>
    <x v="2"/>
    <x v="2"/>
    <x v="0"/>
    <x v="1"/>
    <x v="0"/>
    <x v="0"/>
    <n v="31.5"/>
  </r>
  <r>
    <x v="0"/>
    <x v="0"/>
    <x v="2"/>
    <x v="0"/>
    <x v="0"/>
    <x v="0"/>
    <x v="3"/>
    <x v="3"/>
    <x v="0"/>
    <x v="0"/>
    <x v="0"/>
    <x v="0"/>
    <n v="20"/>
  </r>
  <r>
    <x v="0"/>
    <x v="0"/>
    <x v="2"/>
    <x v="0"/>
    <x v="0"/>
    <x v="0"/>
    <x v="3"/>
    <x v="3"/>
    <x v="0"/>
    <x v="0"/>
    <x v="1"/>
    <x v="0"/>
    <n v="-20"/>
  </r>
  <r>
    <x v="0"/>
    <x v="0"/>
    <x v="2"/>
    <x v="0"/>
    <x v="0"/>
    <x v="0"/>
    <x v="4"/>
    <x v="4"/>
    <x v="0"/>
    <x v="0"/>
    <x v="0"/>
    <x v="0"/>
    <n v="1.7"/>
  </r>
  <r>
    <x v="0"/>
    <x v="0"/>
    <x v="2"/>
    <x v="0"/>
    <x v="0"/>
    <x v="0"/>
    <x v="4"/>
    <x v="4"/>
    <x v="0"/>
    <x v="0"/>
    <x v="1"/>
    <x v="0"/>
    <n v="-1.7"/>
  </r>
  <r>
    <x v="0"/>
    <x v="0"/>
    <x v="2"/>
    <x v="0"/>
    <x v="0"/>
    <x v="0"/>
    <x v="5"/>
    <x v="5"/>
    <x v="1"/>
    <x v="2"/>
    <x v="2"/>
    <x v="0"/>
    <n v="0.53574544709786664"/>
  </r>
  <r>
    <x v="0"/>
    <x v="0"/>
    <x v="2"/>
    <x v="0"/>
    <x v="0"/>
    <x v="0"/>
    <x v="11"/>
    <x v="5"/>
    <x v="1"/>
    <x v="2"/>
    <x v="2"/>
    <x v="0"/>
    <n v="4.0150039674721656"/>
  </r>
  <r>
    <x v="0"/>
    <x v="0"/>
    <x v="2"/>
    <x v="0"/>
    <x v="0"/>
    <x v="0"/>
    <x v="14"/>
    <x v="5"/>
    <x v="1"/>
    <x v="2"/>
    <x v="2"/>
    <x v="0"/>
    <n v="9.8214495109105577"/>
  </r>
  <r>
    <x v="0"/>
    <x v="0"/>
    <x v="2"/>
    <x v="0"/>
    <x v="0"/>
    <x v="0"/>
    <x v="15"/>
    <x v="8"/>
    <x v="1"/>
    <x v="5"/>
    <x v="2"/>
    <x v="0"/>
    <n v="94.02129126955829"/>
  </r>
  <r>
    <x v="0"/>
    <x v="0"/>
    <x v="2"/>
    <x v="0"/>
    <x v="0"/>
    <x v="1"/>
    <x v="6"/>
    <x v="6"/>
    <x v="0"/>
    <x v="3"/>
    <x v="0"/>
    <x v="0"/>
    <n v="8"/>
  </r>
  <r>
    <x v="0"/>
    <x v="0"/>
    <x v="2"/>
    <x v="0"/>
    <x v="0"/>
    <x v="1"/>
    <x v="6"/>
    <x v="6"/>
    <x v="0"/>
    <x v="3"/>
    <x v="1"/>
    <x v="0"/>
    <n v="-6"/>
  </r>
  <r>
    <x v="0"/>
    <x v="0"/>
    <x v="2"/>
    <x v="0"/>
    <x v="0"/>
    <x v="1"/>
    <x v="7"/>
    <x v="7"/>
    <x v="0"/>
    <x v="4"/>
    <x v="0"/>
    <x v="0"/>
    <n v="11"/>
  </r>
  <r>
    <x v="0"/>
    <x v="0"/>
    <x v="2"/>
    <x v="0"/>
    <x v="0"/>
    <x v="1"/>
    <x v="7"/>
    <x v="7"/>
    <x v="0"/>
    <x v="4"/>
    <x v="1"/>
    <x v="0"/>
    <n v="-8.25"/>
  </r>
  <r>
    <x v="0"/>
    <x v="0"/>
    <x v="2"/>
    <x v="0"/>
    <x v="0"/>
    <x v="1"/>
    <x v="8"/>
    <x v="7"/>
    <x v="0"/>
    <x v="4"/>
    <x v="0"/>
    <x v="0"/>
    <n v="3.3000000000000003"/>
  </r>
  <r>
    <x v="0"/>
    <x v="0"/>
    <x v="2"/>
    <x v="0"/>
    <x v="0"/>
    <x v="1"/>
    <x v="8"/>
    <x v="7"/>
    <x v="0"/>
    <x v="4"/>
    <x v="1"/>
    <x v="0"/>
    <n v="-2.4750000000000001"/>
  </r>
  <r>
    <x v="0"/>
    <x v="0"/>
    <x v="2"/>
    <x v="0"/>
    <x v="0"/>
    <x v="1"/>
    <x v="9"/>
    <x v="7"/>
    <x v="0"/>
    <x v="4"/>
    <x v="0"/>
    <x v="0"/>
    <n v="7.15"/>
  </r>
  <r>
    <x v="0"/>
    <x v="0"/>
    <x v="2"/>
    <x v="0"/>
    <x v="0"/>
    <x v="1"/>
    <x v="9"/>
    <x v="7"/>
    <x v="0"/>
    <x v="4"/>
    <x v="1"/>
    <x v="0"/>
    <n v="-5.3624999999999998"/>
  </r>
  <r>
    <x v="0"/>
    <x v="0"/>
    <x v="2"/>
    <x v="0"/>
    <x v="0"/>
    <x v="1"/>
    <x v="10"/>
    <x v="7"/>
    <x v="0"/>
    <x v="4"/>
    <x v="0"/>
    <x v="0"/>
    <n v="0.55000000000000004"/>
  </r>
  <r>
    <x v="0"/>
    <x v="0"/>
    <x v="2"/>
    <x v="0"/>
    <x v="0"/>
    <x v="1"/>
    <x v="10"/>
    <x v="7"/>
    <x v="0"/>
    <x v="4"/>
    <x v="1"/>
    <x v="0"/>
    <n v="-0.41250000000000003"/>
  </r>
  <r>
    <x v="0"/>
    <x v="0"/>
    <x v="2"/>
    <x v="0"/>
    <x v="0"/>
    <x v="1"/>
    <x v="12"/>
    <x v="7"/>
    <x v="0"/>
    <x v="4"/>
    <x v="2"/>
    <x v="0"/>
    <n v="3.3142180343145085"/>
  </r>
  <r>
    <x v="0"/>
    <x v="0"/>
    <x v="2"/>
    <x v="0"/>
    <x v="0"/>
    <x v="1"/>
    <x v="16"/>
    <x v="7"/>
    <x v="0"/>
    <x v="4"/>
    <x v="2"/>
    <x v="0"/>
    <n v="44.886851250774008"/>
  </r>
  <r>
    <x v="0"/>
    <x v="0"/>
    <x v="2"/>
    <x v="0"/>
    <x v="0"/>
    <x v="1"/>
    <x v="13"/>
    <x v="6"/>
    <x v="0"/>
    <x v="3"/>
    <x v="2"/>
    <x v="0"/>
    <n v="26.096848004485526"/>
  </r>
  <r>
    <x v="0"/>
    <x v="0"/>
    <x v="2"/>
    <x v="0"/>
    <x v="0"/>
    <x v="1"/>
    <x v="17"/>
    <x v="6"/>
    <x v="0"/>
    <x v="3"/>
    <x v="2"/>
    <x v="0"/>
    <n v="18.659298529708089"/>
  </r>
  <r>
    <x v="0"/>
    <x v="0"/>
    <x v="3"/>
    <x v="0"/>
    <x v="0"/>
    <x v="0"/>
    <x v="0"/>
    <x v="0"/>
    <x v="0"/>
    <x v="0"/>
    <x v="0"/>
    <x v="0"/>
    <n v="25.75"/>
  </r>
  <r>
    <x v="0"/>
    <x v="0"/>
    <x v="3"/>
    <x v="0"/>
    <x v="0"/>
    <x v="0"/>
    <x v="0"/>
    <x v="0"/>
    <x v="0"/>
    <x v="0"/>
    <x v="1"/>
    <x v="0"/>
    <n v="-25.75"/>
  </r>
  <r>
    <x v="0"/>
    <x v="0"/>
    <x v="3"/>
    <x v="0"/>
    <x v="0"/>
    <x v="0"/>
    <x v="1"/>
    <x v="1"/>
    <x v="0"/>
    <x v="0"/>
    <x v="0"/>
    <x v="0"/>
    <n v="1.7"/>
  </r>
  <r>
    <x v="0"/>
    <x v="0"/>
    <x v="3"/>
    <x v="0"/>
    <x v="0"/>
    <x v="0"/>
    <x v="1"/>
    <x v="1"/>
    <x v="0"/>
    <x v="0"/>
    <x v="1"/>
    <x v="0"/>
    <n v="-1.7"/>
  </r>
  <r>
    <x v="0"/>
    <x v="0"/>
    <x v="3"/>
    <x v="0"/>
    <x v="0"/>
    <x v="0"/>
    <x v="2"/>
    <x v="2"/>
    <x v="0"/>
    <x v="1"/>
    <x v="0"/>
    <x v="0"/>
    <n v="31.5"/>
  </r>
  <r>
    <x v="0"/>
    <x v="0"/>
    <x v="3"/>
    <x v="0"/>
    <x v="0"/>
    <x v="0"/>
    <x v="3"/>
    <x v="3"/>
    <x v="0"/>
    <x v="0"/>
    <x v="0"/>
    <x v="0"/>
    <n v="20"/>
  </r>
  <r>
    <x v="0"/>
    <x v="0"/>
    <x v="3"/>
    <x v="0"/>
    <x v="0"/>
    <x v="0"/>
    <x v="3"/>
    <x v="3"/>
    <x v="0"/>
    <x v="0"/>
    <x v="1"/>
    <x v="0"/>
    <n v="-20"/>
  </r>
  <r>
    <x v="0"/>
    <x v="0"/>
    <x v="3"/>
    <x v="0"/>
    <x v="0"/>
    <x v="0"/>
    <x v="18"/>
    <x v="9"/>
    <x v="0"/>
    <x v="0"/>
    <x v="2"/>
    <x v="0"/>
    <n v="0.60771718948039632"/>
  </r>
  <r>
    <x v="0"/>
    <x v="0"/>
    <x v="3"/>
    <x v="0"/>
    <x v="0"/>
    <x v="0"/>
    <x v="4"/>
    <x v="4"/>
    <x v="0"/>
    <x v="0"/>
    <x v="0"/>
    <x v="0"/>
    <n v="1.7"/>
  </r>
  <r>
    <x v="0"/>
    <x v="0"/>
    <x v="3"/>
    <x v="0"/>
    <x v="0"/>
    <x v="0"/>
    <x v="4"/>
    <x v="4"/>
    <x v="0"/>
    <x v="0"/>
    <x v="1"/>
    <x v="0"/>
    <n v="-1.7"/>
  </r>
  <r>
    <x v="0"/>
    <x v="0"/>
    <x v="3"/>
    <x v="0"/>
    <x v="0"/>
    <x v="0"/>
    <x v="11"/>
    <x v="5"/>
    <x v="1"/>
    <x v="2"/>
    <x v="2"/>
    <x v="0"/>
    <n v="4.0150039674721656"/>
  </r>
  <r>
    <x v="0"/>
    <x v="0"/>
    <x v="3"/>
    <x v="0"/>
    <x v="0"/>
    <x v="0"/>
    <x v="14"/>
    <x v="5"/>
    <x v="1"/>
    <x v="2"/>
    <x v="2"/>
    <x v="0"/>
    <n v="9.8214495109105577"/>
  </r>
  <r>
    <x v="0"/>
    <x v="0"/>
    <x v="3"/>
    <x v="0"/>
    <x v="0"/>
    <x v="0"/>
    <x v="19"/>
    <x v="5"/>
    <x v="1"/>
    <x v="2"/>
    <x v="2"/>
    <x v="0"/>
    <n v="9.6814878536552396"/>
  </r>
  <r>
    <x v="0"/>
    <x v="0"/>
    <x v="3"/>
    <x v="0"/>
    <x v="0"/>
    <x v="0"/>
    <x v="15"/>
    <x v="8"/>
    <x v="1"/>
    <x v="5"/>
    <x v="2"/>
    <x v="0"/>
    <n v="94.02129126955829"/>
  </r>
  <r>
    <x v="0"/>
    <x v="0"/>
    <x v="3"/>
    <x v="0"/>
    <x v="0"/>
    <x v="0"/>
    <x v="20"/>
    <x v="8"/>
    <x v="1"/>
    <x v="5"/>
    <x v="2"/>
    <x v="0"/>
    <n v="365.89401881197841"/>
  </r>
  <r>
    <x v="0"/>
    <x v="0"/>
    <x v="3"/>
    <x v="0"/>
    <x v="0"/>
    <x v="0"/>
    <x v="21"/>
    <x v="0"/>
    <x v="1"/>
    <x v="6"/>
    <x v="2"/>
    <x v="0"/>
    <n v="1.3648352228478458"/>
  </r>
  <r>
    <x v="0"/>
    <x v="0"/>
    <x v="3"/>
    <x v="0"/>
    <x v="0"/>
    <x v="1"/>
    <x v="6"/>
    <x v="6"/>
    <x v="0"/>
    <x v="3"/>
    <x v="0"/>
    <x v="0"/>
    <n v="8"/>
  </r>
  <r>
    <x v="0"/>
    <x v="0"/>
    <x v="3"/>
    <x v="0"/>
    <x v="0"/>
    <x v="1"/>
    <x v="6"/>
    <x v="6"/>
    <x v="0"/>
    <x v="3"/>
    <x v="1"/>
    <x v="0"/>
    <n v="-8"/>
  </r>
  <r>
    <x v="0"/>
    <x v="0"/>
    <x v="3"/>
    <x v="0"/>
    <x v="0"/>
    <x v="1"/>
    <x v="7"/>
    <x v="7"/>
    <x v="0"/>
    <x v="4"/>
    <x v="0"/>
    <x v="0"/>
    <n v="11"/>
  </r>
  <r>
    <x v="0"/>
    <x v="0"/>
    <x v="3"/>
    <x v="0"/>
    <x v="0"/>
    <x v="1"/>
    <x v="7"/>
    <x v="7"/>
    <x v="0"/>
    <x v="4"/>
    <x v="1"/>
    <x v="0"/>
    <n v="-11"/>
  </r>
  <r>
    <x v="0"/>
    <x v="0"/>
    <x v="3"/>
    <x v="0"/>
    <x v="0"/>
    <x v="1"/>
    <x v="8"/>
    <x v="7"/>
    <x v="0"/>
    <x v="4"/>
    <x v="0"/>
    <x v="0"/>
    <n v="3.3000000000000003"/>
  </r>
  <r>
    <x v="0"/>
    <x v="0"/>
    <x v="3"/>
    <x v="0"/>
    <x v="0"/>
    <x v="1"/>
    <x v="8"/>
    <x v="7"/>
    <x v="0"/>
    <x v="4"/>
    <x v="1"/>
    <x v="0"/>
    <n v="-3.3000000000000003"/>
  </r>
  <r>
    <x v="0"/>
    <x v="0"/>
    <x v="3"/>
    <x v="0"/>
    <x v="0"/>
    <x v="1"/>
    <x v="9"/>
    <x v="7"/>
    <x v="0"/>
    <x v="4"/>
    <x v="0"/>
    <x v="0"/>
    <n v="7.15"/>
  </r>
  <r>
    <x v="0"/>
    <x v="0"/>
    <x v="3"/>
    <x v="0"/>
    <x v="0"/>
    <x v="1"/>
    <x v="9"/>
    <x v="7"/>
    <x v="0"/>
    <x v="4"/>
    <x v="1"/>
    <x v="0"/>
    <n v="-7.15"/>
  </r>
  <r>
    <x v="0"/>
    <x v="0"/>
    <x v="3"/>
    <x v="0"/>
    <x v="0"/>
    <x v="1"/>
    <x v="10"/>
    <x v="7"/>
    <x v="0"/>
    <x v="4"/>
    <x v="0"/>
    <x v="0"/>
    <n v="0.55000000000000004"/>
  </r>
  <r>
    <x v="0"/>
    <x v="0"/>
    <x v="3"/>
    <x v="0"/>
    <x v="0"/>
    <x v="1"/>
    <x v="10"/>
    <x v="7"/>
    <x v="0"/>
    <x v="4"/>
    <x v="1"/>
    <x v="0"/>
    <n v="-0.55000000000000004"/>
  </r>
  <r>
    <x v="0"/>
    <x v="0"/>
    <x v="3"/>
    <x v="0"/>
    <x v="0"/>
    <x v="1"/>
    <x v="12"/>
    <x v="7"/>
    <x v="0"/>
    <x v="4"/>
    <x v="2"/>
    <x v="0"/>
    <n v="3.3142180343145085"/>
  </r>
  <r>
    <x v="0"/>
    <x v="0"/>
    <x v="3"/>
    <x v="0"/>
    <x v="0"/>
    <x v="1"/>
    <x v="16"/>
    <x v="7"/>
    <x v="0"/>
    <x v="4"/>
    <x v="2"/>
    <x v="0"/>
    <n v="44.886851250774008"/>
  </r>
  <r>
    <x v="0"/>
    <x v="0"/>
    <x v="3"/>
    <x v="0"/>
    <x v="0"/>
    <x v="1"/>
    <x v="22"/>
    <x v="7"/>
    <x v="0"/>
    <x v="4"/>
    <x v="2"/>
    <x v="0"/>
    <n v="22.193817233418393"/>
  </r>
  <r>
    <x v="0"/>
    <x v="0"/>
    <x v="3"/>
    <x v="0"/>
    <x v="0"/>
    <x v="1"/>
    <x v="13"/>
    <x v="6"/>
    <x v="0"/>
    <x v="3"/>
    <x v="2"/>
    <x v="0"/>
    <n v="26.096848004485526"/>
  </r>
  <r>
    <x v="0"/>
    <x v="0"/>
    <x v="3"/>
    <x v="0"/>
    <x v="0"/>
    <x v="1"/>
    <x v="17"/>
    <x v="6"/>
    <x v="0"/>
    <x v="3"/>
    <x v="2"/>
    <x v="0"/>
    <n v="18.659298529708089"/>
  </r>
  <r>
    <x v="0"/>
    <x v="0"/>
    <x v="3"/>
    <x v="0"/>
    <x v="0"/>
    <x v="1"/>
    <x v="23"/>
    <x v="6"/>
    <x v="0"/>
    <x v="3"/>
    <x v="2"/>
    <x v="0"/>
    <n v="16.68498575081387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x v="0"/>
    <x v="0"/>
    <x v="0"/>
    <x v="0"/>
    <x v="0"/>
    <x v="0"/>
    <x v="0"/>
    <x v="0"/>
    <x v="0"/>
    <x v="0"/>
    <n v="14.774699999999889"/>
  </r>
  <r>
    <x v="0"/>
    <x v="0"/>
    <x v="0"/>
    <x v="0"/>
    <x v="0"/>
    <x v="0"/>
    <x v="1"/>
    <x v="1"/>
    <x v="0"/>
    <x v="1"/>
    <x v="0"/>
    <n v="94.759614626630693"/>
  </r>
  <r>
    <x v="0"/>
    <x v="0"/>
    <x v="0"/>
    <x v="0"/>
    <x v="0"/>
    <x v="0"/>
    <x v="2"/>
    <x v="2"/>
    <x v="1"/>
    <x v="2"/>
    <x v="0"/>
    <n v="4.6674143351165958"/>
  </r>
  <r>
    <x v="0"/>
    <x v="0"/>
    <x v="0"/>
    <x v="0"/>
    <x v="0"/>
    <x v="0"/>
    <x v="3"/>
    <x v="3"/>
    <x v="1"/>
    <x v="3"/>
    <x v="0"/>
    <n v="-2.7912695354093452E-15"/>
  </r>
  <r>
    <x v="0"/>
    <x v="0"/>
    <x v="0"/>
    <x v="0"/>
    <x v="0"/>
    <x v="0"/>
    <x v="4"/>
    <x v="4"/>
    <x v="1"/>
    <x v="4"/>
    <x v="0"/>
    <n v="-2.4060663595814181E-15"/>
  </r>
  <r>
    <x v="0"/>
    <x v="0"/>
    <x v="0"/>
    <x v="0"/>
    <x v="0"/>
    <x v="1"/>
    <x v="5"/>
    <x v="5"/>
    <x v="0"/>
    <x v="5"/>
    <x v="0"/>
    <n v="15.101039999999987"/>
  </r>
  <r>
    <x v="0"/>
    <x v="0"/>
    <x v="0"/>
    <x v="0"/>
    <x v="0"/>
    <x v="1"/>
    <x v="6"/>
    <x v="6"/>
    <x v="0"/>
    <x v="6"/>
    <x v="0"/>
    <n v="32.367556475276764"/>
  </r>
  <r>
    <x v="0"/>
    <x v="0"/>
    <x v="0"/>
    <x v="0"/>
    <x v="0"/>
    <x v="1"/>
    <x v="7"/>
    <x v="6"/>
    <x v="0"/>
    <x v="6"/>
    <x v="0"/>
    <n v="10.59735600000001"/>
  </r>
  <r>
    <x v="0"/>
    <x v="0"/>
    <x v="0"/>
    <x v="0"/>
    <x v="0"/>
    <x v="1"/>
    <x v="8"/>
    <x v="6"/>
    <x v="0"/>
    <x v="6"/>
    <x v="0"/>
    <n v="-1.1603974923803291E-15"/>
  </r>
  <r>
    <x v="0"/>
    <x v="0"/>
    <x v="0"/>
    <x v="0"/>
    <x v="0"/>
    <x v="1"/>
    <x v="9"/>
    <x v="6"/>
    <x v="0"/>
    <x v="6"/>
    <x v="0"/>
    <n v="1.7662259999999994"/>
  </r>
  <r>
    <x v="0"/>
    <x v="0"/>
    <x v="1"/>
    <x v="0"/>
    <x v="0"/>
    <x v="0"/>
    <x v="0"/>
    <x v="0"/>
    <x v="0"/>
    <x v="0"/>
    <x v="0"/>
    <n v="10.536090996410794"/>
  </r>
  <r>
    <x v="0"/>
    <x v="0"/>
    <x v="1"/>
    <x v="0"/>
    <x v="0"/>
    <x v="0"/>
    <x v="1"/>
    <x v="1"/>
    <x v="0"/>
    <x v="1"/>
    <x v="0"/>
    <n v="94.759614626630523"/>
  </r>
  <r>
    <x v="0"/>
    <x v="0"/>
    <x v="1"/>
    <x v="0"/>
    <x v="0"/>
    <x v="0"/>
    <x v="2"/>
    <x v="2"/>
    <x v="1"/>
    <x v="2"/>
    <x v="0"/>
    <n v="4.6674143351165966"/>
  </r>
  <r>
    <x v="0"/>
    <x v="0"/>
    <x v="1"/>
    <x v="0"/>
    <x v="0"/>
    <x v="0"/>
    <x v="10"/>
    <x v="2"/>
    <x v="1"/>
    <x v="2"/>
    <x v="0"/>
    <n v="34.978714564617064"/>
  </r>
  <r>
    <x v="0"/>
    <x v="0"/>
    <x v="1"/>
    <x v="0"/>
    <x v="0"/>
    <x v="1"/>
    <x v="5"/>
    <x v="5"/>
    <x v="0"/>
    <x v="5"/>
    <x v="0"/>
    <n v="10.066781560407874"/>
  </r>
  <r>
    <x v="0"/>
    <x v="0"/>
    <x v="1"/>
    <x v="0"/>
    <x v="0"/>
    <x v="1"/>
    <x v="6"/>
    <x v="6"/>
    <x v="0"/>
    <x v="6"/>
    <x v="0"/>
    <n v="24.154483950261948"/>
  </r>
  <r>
    <x v="0"/>
    <x v="0"/>
    <x v="1"/>
    <x v="0"/>
    <x v="0"/>
    <x v="1"/>
    <x v="7"/>
    <x v="6"/>
    <x v="0"/>
    <x v="6"/>
    <x v="0"/>
    <n v="6.5845981583641251"/>
  </r>
  <r>
    <x v="0"/>
    <x v="0"/>
    <x v="1"/>
    <x v="0"/>
    <x v="0"/>
    <x v="1"/>
    <x v="8"/>
    <x v="6"/>
    <x v="0"/>
    <x v="6"/>
    <x v="0"/>
    <n v="14.88071984862121"/>
  </r>
  <r>
    <x v="0"/>
    <x v="0"/>
    <x v="1"/>
    <x v="0"/>
    <x v="0"/>
    <x v="1"/>
    <x v="9"/>
    <x v="6"/>
    <x v="0"/>
    <x v="6"/>
    <x v="0"/>
    <n v="1.0876694812290069"/>
  </r>
  <r>
    <x v="0"/>
    <x v="0"/>
    <x v="1"/>
    <x v="0"/>
    <x v="0"/>
    <x v="1"/>
    <x v="11"/>
    <x v="6"/>
    <x v="0"/>
    <x v="6"/>
    <x v="0"/>
    <n v="10.100508486168124"/>
  </r>
  <r>
    <x v="0"/>
    <x v="0"/>
    <x v="1"/>
    <x v="0"/>
    <x v="0"/>
    <x v="1"/>
    <x v="12"/>
    <x v="5"/>
    <x v="0"/>
    <x v="5"/>
    <x v="0"/>
    <n v="49.236904675815317"/>
  </r>
  <r>
    <x v="0"/>
    <x v="0"/>
    <x v="2"/>
    <x v="0"/>
    <x v="0"/>
    <x v="0"/>
    <x v="0"/>
    <x v="0"/>
    <x v="0"/>
    <x v="0"/>
    <x v="0"/>
    <n v="3.589240736607116"/>
  </r>
  <r>
    <x v="0"/>
    <x v="0"/>
    <x v="2"/>
    <x v="0"/>
    <x v="0"/>
    <x v="0"/>
    <x v="1"/>
    <x v="1"/>
    <x v="0"/>
    <x v="1"/>
    <x v="0"/>
    <n v="94.759614626630679"/>
  </r>
  <r>
    <x v="0"/>
    <x v="0"/>
    <x v="2"/>
    <x v="0"/>
    <x v="0"/>
    <x v="0"/>
    <x v="2"/>
    <x v="2"/>
    <x v="1"/>
    <x v="2"/>
    <x v="0"/>
    <n v="1.1373302332617667"/>
  </r>
  <r>
    <x v="0"/>
    <x v="0"/>
    <x v="2"/>
    <x v="0"/>
    <x v="0"/>
    <x v="0"/>
    <x v="10"/>
    <x v="2"/>
    <x v="1"/>
    <x v="2"/>
    <x v="0"/>
    <n v="30.639235060194913"/>
  </r>
  <r>
    <x v="0"/>
    <x v="0"/>
    <x v="2"/>
    <x v="0"/>
    <x v="0"/>
    <x v="0"/>
    <x v="13"/>
    <x v="2"/>
    <x v="1"/>
    <x v="2"/>
    <x v="0"/>
    <n v="85.564468139051442"/>
  </r>
  <r>
    <x v="0"/>
    <x v="0"/>
    <x v="2"/>
    <x v="0"/>
    <x v="0"/>
    <x v="0"/>
    <x v="14"/>
    <x v="3"/>
    <x v="1"/>
    <x v="3"/>
    <x v="0"/>
    <n v="0.83679778162546081"/>
  </r>
  <r>
    <x v="0"/>
    <x v="0"/>
    <x v="2"/>
    <x v="0"/>
    <x v="0"/>
    <x v="1"/>
    <x v="5"/>
    <x v="5"/>
    <x v="0"/>
    <x v="5"/>
    <x v="0"/>
    <n v="3.7752599999999967"/>
  </r>
  <r>
    <x v="0"/>
    <x v="0"/>
    <x v="2"/>
    <x v="0"/>
    <x v="0"/>
    <x v="1"/>
    <x v="6"/>
    <x v="6"/>
    <x v="0"/>
    <x v="6"/>
    <x v="0"/>
    <n v="5.8133012147605845"/>
  </r>
  <r>
    <x v="0"/>
    <x v="0"/>
    <x v="2"/>
    <x v="0"/>
    <x v="0"/>
    <x v="1"/>
    <x v="7"/>
    <x v="6"/>
    <x v="0"/>
    <x v="6"/>
    <x v="0"/>
    <n v="1.6300219888830163"/>
  </r>
  <r>
    <x v="0"/>
    <x v="0"/>
    <x v="2"/>
    <x v="0"/>
    <x v="0"/>
    <x v="1"/>
    <x v="8"/>
    <x v="6"/>
    <x v="0"/>
    <x v="6"/>
    <x v="0"/>
    <n v="3.6193626876402551"/>
  </r>
  <r>
    <x v="0"/>
    <x v="0"/>
    <x v="2"/>
    <x v="0"/>
    <x v="0"/>
    <x v="1"/>
    <x v="9"/>
    <x v="6"/>
    <x v="0"/>
    <x v="6"/>
    <x v="0"/>
    <n v="0.26918522438503772"/>
  </r>
  <r>
    <x v="0"/>
    <x v="0"/>
    <x v="2"/>
    <x v="0"/>
    <x v="0"/>
    <x v="1"/>
    <x v="11"/>
    <x v="6"/>
    <x v="0"/>
    <x v="6"/>
    <x v="0"/>
    <n v="7.3583027991922529"/>
  </r>
  <r>
    <x v="0"/>
    <x v="0"/>
    <x v="2"/>
    <x v="0"/>
    <x v="0"/>
    <x v="1"/>
    <x v="15"/>
    <x v="6"/>
    <x v="0"/>
    <x v="6"/>
    <x v="0"/>
    <n v="125.89143827071246"/>
  </r>
  <r>
    <x v="0"/>
    <x v="0"/>
    <x v="2"/>
    <x v="0"/>
    <x v="0"/>
    <x v="1"/>
    <x v="12"/>
    <x v="5"/>
    <x v="0"/>
    <x v="5"/>
    <x v="0"/>
    <n v="48.695451565194425"/>
  </r>
  <r>
    <x v="0"/>
    <x v="0"/>
    <x v="2"/>
    <x v="0"/>
    <x v="0"/>
    <x v="1"/>
    <x v="16"/>
    <x v="5"/>
    <x v="0"/>
    <x v="5"/>
    <x v="0"/>
    <n v="35.221851683632842"/>
  </r>
  <r>
    <x v="0"/>
    <x v="0"/>
    <x v="3"/>
    <x v="0"/>
    <x v="0"/>
    <x v="0"/>
    <x v="1"/>
    <x v="1"/>
    <x v="0"/>
    <x v="1"/>
    <x v="0"/>
    <n v="94.75961462663075"/>
  </r>
  <r>
    <x v="0"/>
    <x v="0"/>
    <x v="3"/>
    <x v="0"/>
    <x v="0"/>
    <x v="0"/>
    <x v="17"/>
    <x v="7"/>
    <x v="0"/>
    <x v="0"/>
    <x v="0"/>
    <n v="5.1400719886252002"/>
  </r>
  <r>
    <x v="0"/>
    <x v="0"/>
    <x v="3"/>
    <x v="0"/>
    <x v="0"/>
    <x v="0"/>
    <x v="10"/>
    <x v="2"/>
    <x v="1"/>
    <x v="2"/>
    <x v="0"/>
    <n v="7.9258914250411445"/>
  </r>
  <r>
    <x v="0"/>
    <x v="0"/>
    <x v="3"/>
    <x v="0"/>
    <x v="0"/>
    <x v="0"/>
    <x v="13"/>
    <x v="2"/>
    <x v="1"/>
    <x v="2"/>
    <x v="0"/>
    <n v="77.921691758242019"/>
  </r>
  <r>
    <x v="0"/>
    <x v="0"/>
    <x v="3"/>
    <x v="0"/>
    <x v="0"/>
    <x v="0"/>
    <x v="18"/>
    <x v="2"/>
    <x v="1"/>
    <x v="2"/>
    <x v="0"/>
    <n v="84.345122181044971"/>
  </r>
  <r>
    <x v="0"/>
    <x v="0"/>
    <x v="3"/>
    <x v="0"/>
    <x v="0"/>
    <x v="0"/>
    <x v="14"/>
    <x v="3"/>
    <x v="1"/>
    <x v="3"/>
    <x v="0"/>
    <n v="0.98189354528629802"/>
  </r>
  <r>
    <x v="0"/>
    <x v="0"/>
    <x v="3"/>
    <x v="0"/>
    <x v="0"/>
    <x v="0"/>
    <x v="19"/>
    <x v="3"/>
    <x v="1"/>
    <x v="3"/>
    <x v="0"/>
    <n v="3.9672062673230903"/>
  </r>
  <r>
    <x v="0"/>
    <x v="0"/>
    <x v="3"/>
    <x v="0"/>
    <x v="0"/>
    <x v="0"/>
    <x v="4"/>
    <x v="4"/>
    <x v="1"/>
    <x v="4"/>
    <x v="0"/>
    <n v="0.38831365303979881"/>
  </r>
  <r>
    <x v="0"/>
    <x v="0"/>
    <x v="3"/>
    <x v="0"/>
    <x v="0"/>
    <x v="1"/>
    <x v="5"/>
    <x v="5"/>
    <x v="0"/>
    <x v="5"/>
    <x v="0"/>
    <n v="-9.1438729603916247E-16"/>
  </r>
  <r>
    <x v="0"/>
    <x v="0"/>
    <x v="3"/>
    <x v="0"/>
    <x v="0"/>
    <x v="1"/>
    <x v="6"/>
    <x v="6"/>
    <x v="0"/>
    <x v="6"/>
    <x v="0"/>
    <n v="-8.8178353507828464E-16"/>
  </r>
  <r>
    <x v="0"/>
    <x v="0"/>
    <x v="3"/>
    <x v="0"/>
    <x v="0"/>
    <x v="1"/>
    <x v="7"/>
    <x v="6"/>
    <x v="0"/>
    <x v="6"/>
    <x v="0"/>
    <n v="-3.1418169653209434E-16"/>
  </r>
  <r>
    <x v="0"/>
    <x v="0"/>
    <x v="3"/>
    <x v="0"/>
    <x v="0"/>
    <x v="1"/>
    <x v="8"/>
    <x v="6"/>
    <x v="0"/>
    <x v="6"/>
    <x v="0"/>
    <n v="-6.802330127746764E-16"/>
  </r>
  <r>
    <x v="0"/>
    <x v="0"/>
    <x v="3"/>
    <x v="0"/>
    <x v="0"/>
    <x v="1"/>
    <x v="11"/>
    <x v="6"/>
    <x v="0"/>
    <x v="6"/>
    <x v="0"/>
    <n v="5.6009991244678732"/>
  </r>
  <r>
    <x v="0"/>
    <x v="0"/>
    <x v="3"/>
    <x v="0"/>
    <x v="0"/>
    <x v="1"/>
    <x v="15"/>
    <x v="6"/>
    <x v="0"/>
    <x v="6"/>
    <x v="0"/>
    <n v="110.24485612039135"/>
  </r>
  <r>
    <x v="0"/>
    <x v="0"/>
    <x v="3"/>
    <x v="0"/>
    <x v="0"/>
    <x v="1"/>
    <x v="20"/>
    <x v="6"/>
    <x v="0"/>
    <x v="6"/>
    <x v="0"/>
    <n v="66.934719140116528"/>
  </r>
  <r>
    <x v="0"/>
    <x v="0"/>
    <x v="3"/>
    <x v="0"/>
    <x v="0"/>
    <x v="1"/>
    <x v="12"/>
    <x v="5"/>
    <x v="0"/>
    <x v="5"/>
    <x v="0"/>
    <n v="48.844141804581533"/>
  </r>
  <r>
    <x v="0"/>
    <x v="0"/>
    <x v="3"/>
    <x v="0"/>
    <x v="0"/>
    <x v="1"/>
    <x v="16"/>
    <x v="5"/>
    <x v="0"/>
    <x v="5"/>
    <x v="0"/>
    <n v="35.003274155229811"/>
  </r>
  <r>
    <x v="0"/>
    <x v="0"/>
    <x v="3"/>
    <x v="0"/>
    <x v="0"/>
    <x v="1"/>
    <x v="21"/>
    <x v="5"/>
    <x v="0"/>
    <x v="5"/>
    <x v="0"/>
    <n v="31.49507965280878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</r>
  <r>
    <x v="0"/>
    <x v="0"/>
    <x v="1"/>
    <x v="0"/>
    <x v="0"/>
    <x v="0"/>
    <x v="0"/>
    <x v="1"/>
  </r>
  <r>
    <x v="0"/>
    <x v="0"/>
    <x v="2"/>
    <x v="0"/>
    <x v="0"/>
    <x v="0"/>
    <x v="0"/>
    <x v="2"/>
  </r>
  <r>
    <x v="0"/>
    <x v="0"/>
    <x v="3"/>
    <x v="0"/>
    <x v="0"/>
    <x v="0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6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fieldListSortAscending="1">
  <location ref="P6:U18" firstHeaderRow="1" firstDataRow="2" firstDataCol="1" rowPageCount="2" colPageCount="1"/>
  <pivotFields count="13">
    <pivotField axis="axisRow" showAll="0">
      <items count="27">
        <item m="1" x="25"/>
        <item m="1" x="24"/>
        <item m="1" x="23"/>
        <item m="1" x="22"/>
        <item m="1" x="21"/>
        <item m="1" x="20"/>
        <item m="1" x="16"/>
        <item m="1" x="17"/>
        <item m="1" x="18"/>
        <item m="1" x="19"/>
        <item m="1" x="5"/>
        <item m="1" x="13"/>
        <item m="1" x="15"/>
        <item m="1" x="11"/>
        <item m="1" x="14"/>
        <item m="1" x="12"/>
        <item m="1" x="9"/>
        <item m="1" x="10"/>
        <item m="1" x="2"/>
        <item m="1" x="6"/>
        <item m="1" x="7"/>
        <item m="1" x="8"/>
        <item m="1" x="3"/>
        <item m="1" x="4"/>
        <item x="0"/>
        <item m="1" x="1"/>
        <item t="default"/>
      </items>
    </pivotField>
    <pivotField axis="axisRow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multipleItemSelectionAllowed="1" showAll="0"/>
    <pivotField showAll="0"/>
    <pivotField showAll="0"/>
    <pivotField axis="axisPage" multipleItemSelectionAllowed="1" showAll="0">
      <items count="26">
        <item m="1" x="11"/>
        <item x="3"/>
        <item x="5"/>
        <item m="1" x="13"/>
        <item x="8"/>
        <item m="1" x="10"/>
        <item m="1" x="18"/>
        <item x="9"/>
        <item x="0"/>
        <item m="1" x="14"/>
        <item x="6"/>
        <item x="1"/>
        <item x="2"/>
        <item x="7"/>
        <item m="1" x="12"/>
        <item m="1" x="15"/>
        <item m="1" x="16"/>
        <item m="1" x="17"/>
        <item x="4"/>
        <item m="1" x="19"/>
        <item m="1" x="20"/>
        <item m="1" x="21"/>
        <item m="1" x="22"/>
        <item m="1" x="23"/>
        <item m="1" x="24"/>
        <item t="default"/>
      </items>
    </pivotField>
    <pivotField axis="axisRow" showAll="0">
      <items count="5">
        <item h="1" m="1" x="3"/>
        <item x="0"/>
        <item h="1" m="1" x="2"/>
        <item h="1" x="1"/>
        <item t="default"/>
      </items>
    </pivotField>
    <pivotField axis="axisCol" multipleItemSelectionAllowed="1" showAll="0">
      <items count="15">
        <item m="1" x="9"/>
        <item m="1" x="8"/>
        <item x="0"/>
        <item x="2"/>
        <item m="1" x="13"/>
        <item x="5"/>
        <item x="1"/>
        <item m="1" x="7"/>
        <item m="1" x="12"/>
        <item x="3"/>
        <item x="6"/>
        <item m="1" x="10"/>
        <item x="4"/>
        <item m="1"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11">
    <i>
      <x v="24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 t="grand">
      <x/>
    </i>
  </rowItems>
  <colFields count="1">
    <field x="9"/>
  </colFields>
  <colItems count="5">
    <i>
      <x v="2"/>
    </i>
    <i>
      <x v="6"/>
    </i>
    <i>
      <x v="9"/>
    </i>
    <i>
      <x v="12"/>
    </i>
    <i t="grand">
      <x/>
    </i>
  </colItems>
  <pageFields count="2">
    <pageField fld="7" hier="-1"/>
    <pageField fld="10" hier="-1"/>
  </pageFields>
  <dataFields count="1">
    <dataField name="Sum of Value" fld="12" baseField="0" baseItem="12"/>
  </dataFields>
  <chartFormats count="4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6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O4:W17" firstHeaderRow="1" firstDataRow="2" firstDataCol="1" rowPageCount="2" colPageCount="1"/>
  <pivotFields count="12">
    <pivotField axis="axisRow" showAll="0">
      <items count="29">
        <item m="1" x="24"/>
        <item m="1" x="26"/>
        <item m="1" x="27"/>
        <item m="1" x="25"/>
        <item m="1" x="23"/>
        <item m="1" x="22"/>
        <item m="1" x="21"/>
        <item m="1" x="20"/>
        <item m="1" x="16"/>
        <item m="1" x="17"/>
        <item m="1" x="18"/>
        <item m="1" x="19"/>
        <item m="1" x="11"/>
        <item m="1" x="13"/>
        <item m="1" x="15"/>
        <item m="1" x="10"/>
        <item m="1" x="14"/>
        <item m="1" x="12"/>
        <item m="1" x="8"/>
        <item m="1" x="9"/>
        <item m="1" x="2"/>
        <item m="1" x="5"/>
        <item m="1" x="6"/>
        <item m="1" x="7"/>
        <item m="1" x="3"/>
        <item m="1" x="4"/>
        <item x="0"/>
        <item m="1"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Page" showAll="0">
      <items count="25">
        <item m="1" x="10"/>
        <item x="2"/>
        <item x="3"/>
        <item x="7"/>
        <item x="4"/>
        <item x="5"/>
        <item x="1"/>
        <item x="6"/>
        <item m="1" x="9"/>
        <item m="1" x="11"/>
        <item m="1" x="12"/>
        <item m="1" x="13"/>
        <item m="1" x="14"/>
        <item m="1" x="15"/>
        <item x="0"/>
        <item m="1" x="16"/>
        <item m="1" x="8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m="1" x="2"/>
        <item t="default"/>
      </items>
    </pivotField>
    <pivotField axis="axisCol" showAll="0">
      <items count="13">
        <item x="0"/>
        <item x="2"/>
        <item m="1" x="8"/>
        <item x="3"/>
        <item x="1"/>
        <item m="1" x="7"/>
        <item m="1" x="11"/>
        <item x="5"/>
        <item m="1" x="10"/>
        <item x="6"/>
        <item m="1" x="9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8">
    <i>
      <x/>
    </i>
    <i>
      <x v="1"/>
    </i>
    <i>
      <x v="3"/>
    </i>
    <i>
      <x v="4"/>
    </i>
    <i>
      <x v="7"/>
    </i>
    <i>
      <x v="9"/>
    </i>
    <i>
      <x v="11"/>
    </i>
    <i t="grand">
      <x/>
    </i>
  </colItems>
  <pageFields count="2">
    <pageField fld="7" hier="-1"/>
    <pageField fld="1" hier="-1"/>
  </pageFields>
  <dataFields count="1">
    <dataField name="Sum of Value" fld="11" baseField="0" baseItem="0"/>
  </dataFields>
  <chartFormats count="1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6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fieldListSortAscending="1">
  <location ref="K6:Q13" firstHeaderRow="1" firstDataRow="2" firstDataCol="1"/>
  <pivotFields count="8">
    <pivotField axis="axisRow" showAll="0">
      <items count="9">
        <item m="1" x="2"/>
        <item m="1" x="5"/>
        <item m="1" x="6"/>
        <item m="1" x="7"/>
        <item m="1" x="3"/>
        <item m="1" x="4"/>
        <item x="0"/>
        <item m="1"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</pivotFields>
  <rowFields count="2">
    <field x="0"/>
    <field x="2"/>
  </rowFields>
  <rowItems count="6">
    <i>
      <x v="6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6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fieldListSortAscending="1">
  <location ref="K6:L16" firstHeaderRow="1" firstDataRow="1" firstDataCol="1"/>
  <pivotFields count="8">
    <pivotField axis="axisRow" showAll="0">
      <items count="4">
        <item m="1" x="1"/>
        <item x="0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x="0"/>
        <item m="1" x="1"/>
        <item m="1" x="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10">
    <i>
      <x v="1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6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R9" firstHeaderRow="1" firstDataRow="2" firstDataCol="1"/>
  <pivotFields count="11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5">
    <i>
      <x/>
    </i>
    <i r="1">
      <x/>
    </i>
    <i r="2">
      <x/>
    </i>
    <i r="2">
      <x v="1"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10" baseField="0" baseItem="0"/>
  </dataFields>
  <chartFormats count="1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99" tableType="queryTable" totalsRowShown="0">
  <autoFilter ref="A1:M99" xr:uid="{CCA8806C-4BDF-41AB-B21E-D78809CC581B}"/>
  <tableColumns count="13">
    <tableColumn id="12" xr3:uid="{A87EE95D-64E6-43B0-8E52-9976CF6CA5CA}" uniqueName="12" name="SC" queryTableFieldId="12" dataDxfId="37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6"/>
    <tableColumn id="16" xr3:uid="{B5FC5AC4-A970-44E8-BB41-0EF24A354DF6}" uniqueName="16" name="R" queryTableFieldId="16" dataDxfId="35"/>
    <tableColumn id="17" xr3:uid="{B0C78441-0175-4D0E-8735-145FD4CD0A9D}" uniqueName="17" name="A" queryTableFieldId="17" dataDxfId="34"/>
    <tableColumn id="18" xr3:uid="{3B5FE575-3E7C-486B-810C-209D48F1579F}" uniqueName="18" name="G" queryTableFieldId="18" dataDxfId="33"/>
    <tableColumn id="19" xr3:uid="{10C5B027-2913-42AA-93F5-BA53E73A2829}" uniqueName="19" name="F" queryTableFieldId="19" dataDxfId="32"/>
    <tableColumn id="20" xr3:uid="{82AEDD69-2645-4593-BE9E-B92D84E8E4A8}" uniqueName="20" name="Commodity" queryTableFieldId="20" dataDxfId="31"/>
    <tableColumn id="21" xr3:uid="{C0B7007E-6AB4-4423-B252-2D4709139BCE}" uniqueName="21" name="Tech" queryTableFieldId="21" dataDxfId="30"/>
    <tableColumn id="22" xr3:uid="{C1AD6756-CE3C-4D21-AA8B-DA067571614A}" uniqueName="22" name="Var" queryTableFieldId="22" dataDxfId="29"/>
    <tableColumn id="23" xr3:uid="{316EBCF8-D00C-4BFF-9AC8-0861DB5BE9F1}" uniqueName="23" name="Unit" queryTableFieldId="23" dataDxfId="28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55" tableType="queryTable" totalsRowShown="0">
  <autoFilter ref="A1:L55" xr:uid="{88BB2D17-A45E-4248-BBB5-D7A5E6952AB9}"/>
  <tableColumns count="12">
    <tableColumn id="1" xr3:uid="{140A7DBF-E6F7-47BA-9234-FCE7041095D7}" uniqueName="1" name="SC" queryTableFieldId="1" dataDxfId="27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6"/>
    <tableColumn id="5" xr3:uid="{D4011418-7A13-46B4-A5CF-9077A36B709D}" uniqueName="5" name="R" queryTableFieldId="5" dataDxfId="25"/>
    <tableColumn id="6" xr3:uid="{8A65D2DE-E04B-4790-8955-03167059A2AA}" uniqueName="6" name="A" queryTableFieldId="6" dataDxfId="24"/>
    <tableColumn id="7" xr3:uid="{8DC058C2-7D1D-43B2-A9AB-5E4729719728}" uniqueName="7" name="G" queryTableFieldId="7" dataDxfId="23"/>
    <tableColumn id="8" xr3:uid="{5A4B5E12-7101-4A59-88FE-60F3339D5C0D}" uniqueName="8" name="F" queryTableFieldId="8" dataDxfId="22"/>
    <tableColumn id="9" xr3:uid="{83DE7851-93C1-4BBA-9981-873079B4A690}" uniqueName="9" name="Commodity" queryTableFieldId="9" dataDxfId="21"/>
    <tableColumn id="10" xr3:uid="{35CD9127-C3ED-42D4-85B2-840B5405D4D8}" uniqueName="10" name="Tech" queryTableFieldId="10" dataDxfId="20"/>
    <tableColumn id="11" xr3:uid="{353DF4D7-FDEE-4117-92BE-205A17E4DF16}" uniqueName="11" name="Unit" queryTableFieldId="11" dataDxfId="19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9" tableType="queryTable" totalsRowShown="0">
  <autoFilter ref="A1:H19" xr:uid="{CD7F178F-8465-4916-A027-26B7DD9D98E7}"/>
  <tableColumns count="8">
    <tableColumn id="1" xr3:uid="{924C8124-AA83-4B80-995C-624ED9DC678D}" uniqueName="1" name="SC" queryTableFieldId="1" dataDxfId="18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7"/>
    <tableColumn id="5" xr3:uid="{06E85795-8847-4A66-B809-7D8C405441F2}" uniqueName="5" name="R" queryTableFieldId="5" dataDxfId="16"/>
    <tableColumn id="6" xr3:uid="{AFE4840F-E1F7-49A7-BB52-1EA4F150D6B0}" uniqueName="6" name="Var" queryTableFieldId="6" dataDxfId="15"/>
    <tableColumn id="7" xr3:uid="{79F780C3-ABE4-4044-9E83-F39DF2111C93}" uniqueName="7" name="Unit" queryTableFieldId="7" dataDxfId="14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" tableType="queryTable" totalsRowShown="0">
  <autoFilter ref="A1:H5" xr:uid="{5871C3E5-C841-402D-957B-0C86FD322F7A}"/>
  <tableColumns count="8">
    <tableColumn id="7" xr3:uid="{9BDA21A7-E76B-44E0-9F2E-AF61F8D319EE}" uniqueName="7" name="SC" queryTableFieldId="7" dataDxfId="12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1"/>
    <tableColumn id="11" xr3:uid="{62C890E1-5108-4F86-82C0-4F024B0944CE}" uniqueName="11" name="R" queryTableFieldId="11" dataDxfId="10"/>
    <tableColumn id="12" xr3:uid="{A248EEFD-56D4-40E8-B4B8-69479C69727F}" uniqueName="12" name="Type" queryTableFieldId="12" dataDxfId="9"/>
    <tableColumn id="13" xr3:uid="{271AEA7A-E306-42B3-A387-E65A4AB5CD35}" uniqueName="13" name="Unit" queryTableFieldId="13" dataDxfId="8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3" tableType="queryTable" totalsRowShown="0">
  <autoFilter ref="A1:K3" xr:uid="{43573979-2DCC-416A-8662-A4951EB0033D}"/>
  <tableColumns count="11">
    <tableColumn id="1" xr3:uid="{21779955-9268-4AB1-8271-CC772D829952}" uniqueName="1" name="SC" queryTableFieldId="1" dataDxfId="7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6"/>
    <tableColumn id="5" xr3:uid="{5B04FE08-B956-411C-A37F-B2A247AF2843}" uniqueName="5" name="R" queryTableFieldId="5" dataDxfId="5"/>
    <tableColumn id="6" xr3:uid="{8D39DF00-2602-43AF-9C57-4243D91CDF51}" uniqueName="6" name="A" queryTableFieldId="6" dataDxfId="4"/>
    <tableColumn id="7" xr3:uid="{799A6035-1185-4E95-9EAD-7DA9E4DFA905}" uniqueName="7" name="G" queryTableFieldId="7" dataDxfId="3"/>
    <tableColumn id="8" xr3:uid="{B906439C-3D2A-4E42-8A48-76E6500D4903}" uniqueName="8" name="F" queryTableFieldId="8" dataDxfId="2"/>
    <tableColumn id="9" xr3:uid="{338A363A-82D5-4348-B50C-B0E91B98A32E}" uniqueName="9" name="Tech" queryTableFieldId="9" dataDxfId="1"/>
    <tableColumn id="10" xr3:uid="{0CAD7D16-A6AC-43CC-9F76-0D47DE189DE0}" uniqueName="10" name="Unit" queryTableFieldId="10" dataDxfId="0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tabSelected="1" zoomScaleNormal="100" workbookViewId="0">
      <selection activeCell="P18" sqref="P18"/>
    </sheetView>
  </sheetViews>
  <sheetFormatPr defaultRowHeight="14.4" x14ac:dyDescent="0.3"/>
  <cols>
    <col min="1" max="16384" width="8.88671875" style="9"/>
  </cols>
  <sheetData>
    <row r="2" spans="1:11" ht="28.2" x14ac:dyDescent="0.6">
      <c r="B2" s="23" t="s">
        <v>102</v>
      </c>
    </row>
    <row r="4" spans="1:11" s="7" customFormat="1" ht="28.2" x14ac:dyDescent="0.6">
      <c r="B4" s="8" t="s">
        <v>88</v>
      </c>
    </row>
    <row r="7" spans="1:11" ht="19.2" x14ac:dyDescent="0.4">
      <c r="B7" s="25" t="s">
        <v>108</v>
      </c>
    </row>
    <row r="8" spans="1:11" ht="19.2" x14ac:dyDescent="0.4">
      <c r="B8" s="19" t="s">
        <v>91</v>
      </c>
      <c r="C8" s="19"/>
      <c r="D8" s="19"/>
      <c r="E8" s="19"/>
    </row>
    <row r="9" spans="1:11" ht="17.399999999999999" x14ac:dyDescent="0.4">
      <c r="B9" s="19" t="s">
        <v>90</v>
      </c>
      <c r="C9" s="19"/>
      <c r="D9" s="19"/>
      <c r="E9" s="19"/>
    </row>
    <row r="10" spans="1:11" ht="17.399999999999999" x14ac:dyDescent="0.4">
      <c r="B10" s="19" t="s">
        <v>109</v>
      </c>
      <c r="C10" s="19"/>
      <c r="D10" s="19"/>
      <c r="E10" s="19"/>
    </row>
    <row r="11" spans="1:11" ht="17.399999999999999" x14ac:dyDescent="0.4">
      <c r="B11" s="19" t="s">
        <v>110</v>
      </c>
      <c r="C11" s="19"/>
      <c r="D11" s="19"/>
      <c r="E11" s="19"/>
    </row>
    <row r="12" spans="1:11" ht="19.2" x14ac:dyDescent="0.4">
      <c r="B12" s="19" t="s">
        <v>92</v>
      </c>
      <c r="C12" s="19"/>
      <c r="D12" s="20" t="s">
        <v>89</v>
      </c>
      <c r="E12" s="19"/>
    </row>
    <row r="13" spans="1:11" ht="15.6" x14ac:dyDescent="0.35">
      <c r="B13" s="21"/>
      <c r="C13" s="21"/>
      <c r="D13" s="21"/>
      <c r="E13" s="21"/>
    </row>
    <row r="14" spans="1:11" x14ac:dyDescent="0.3">
      <c r="A14" s="9">
        <v>1</v>
      </c>
      <c r="B14" s="10" t="s">
        <v>104</v>
      </c>
      <c r="C14" s="11"/>
      <c r="D14" s="11"/>
      <c r="E14" s="11"/>
      <c r="F14" s="11"/>
      <c r="G14" s="11"/>
      <c r="H14" s="11"/>
      <c r="I14" s="11"/>
      <c r="J14" s="11"/>
      <c r="K14" s="12"/>
    </row>
    <row r="15" spans="1:11" x14ac:dyDescent="0.3">
      <c r="A15" s="9">
        <v>2</v>
      </c>
      <c r="B15" s="13" t="s">
        <v>97</v>
      </c>
      <c r="C15" s="14"/>
      <c r="D15" s="14"/>
      <c r="E15" s="14"/>
      <c r="F15" s="14"/>
      <c r="G15" s="14"/>
      <c r="H15" s="14"/>
      <c r="I15" s="14"/>
      <c r="J15" s="14"/>
      <c r="K15" s="15"/>
    </row>
    <row r="16" spans="1:11" x14ac:dyDescent="0.3">
      <c r="A16" s="9">
        <v>3</v>
      </c>
      <c r="B16" s="13" t="s">
        <v>98</v>
      </c>
      <c r="C16" s="14"/>
      <c r="D16" s="14"/>
      <c r="E16" s="14"/>
      <c r="F16" s="14"/>
      <c r="G16" s="14"/>
      <c r="H16" s="14"/>
      <c r="I16" s="14"/>
      <c r="J16" s="14"/>
      <c r="K16" s="15"/>
    </row>
    <row r="17" spans="1:11" x14ac:dyDescent="0.3">
      <c r="A17" s="9">
        <v>4</v>
      </c>
      <c r="B17" s="13" t="s">
        <v>93</v>
      </c>
      <c r="C17" s="14"/>
      <c r="D17" s="14"/>
      <c r="E17" s="14"/>
      <c r="F17" s="14"/>
      <c r="G17" s="14"/>
      <c r="H17" s="14"/>
      <c r="I17" s="14"/>
      <c r="J17" s="14"/>
      <c r="K17" s="15"/>
    </row>
    <row r="18" spans="1:11" x14ac:dyDescent="0.3">
      <c r="A18" s="9">
        <v>5</v>
      </c>
      <c r="B18" s="13" t="s">
        <v>94</v>
      </c>
      <c r="C18" s="14"/>
      <c r="D18" s="14"/>
      <c r="E18" s="14"/>
      <c r="F18" s="14"/>
      <c r="G18" s="14"/>
      <c r="H18" s="14"/>
      <c r="I18" s="14"/>
      <c r="J18" s="14"/>
      <c r="K18" s="15"/>
    </row>
    <row r="19" spans="1:11" x14ac:dyDescent="0.3">
      <c r="A19" s="9">
        <v>6</v>
      </c>
      <c r="B19" s="16" t="s">
        <v>123</v>
      </c>
      <c r="C19" s="17"/>
      <c r="D19" s="17"/>
      <c r="E19" s="17"/>
      <c r="F19" s="17"/>
      <c r="G19" s="17"/>
      <c r="H19" s="17"/>
      <c r="I19" s="17"/>
      <c r="J19" s="17"/>
      <c r="K19" s="18"/>
    </row>
    <row r="20" spans="1:11" ht="17.399999999999999" x14ac:dyDescent="0.4">
      <c r="B20" s="19" t="s">
        <v>95</v>
      </c>
    </row>
    <row r="21" spans="1:11" ht="17.399999999999999" x14ac:dyDescent="0.4">
      <c r="B21" s="19" t="s">
        <v>105</v>
      </c>
    </row>
    <row r="22" spans="1:11" ht="17.399999999999999" x14ac:dyDescent="0.4">
      <c r="B22" s="19" t="s">
        <v>106</v>
      </c>
    </row>
    <row r="23" spans="1:11" ht="17.399999999999999" x14ac:dyDescent="0.4">
      <c r="B23" s="19"/>
    </row>
    <row r="24" spans="1:11" x14ac:dyDescent="0.3">
      <c r="B24" s="22"/>
      <c r="C24" s="14"/>
      <c r="D24" s="14"/>
      <c r="E24" s="14"/>
      <c r="F24" s="14"/>
      <c r="G24" s="14"/>
      <c r="H24" s="14"/>
      <c r="I24" s="14"/>
    </row>
    <row r="25" spans="1:11" x14ac:dyDescent="0.3">
      <c r="A25" s="9">
        <v>1</v>
      </c>
      <c r="B25" s="10" t="s">
        <v>96</v>
      </c>
      <c r="C25" s="11"/>
      <c r="D25" s="11"/>
      <c r="E25" s="11"/>
      <c r="F25" s="11"/>
      <c r="G25" s="11"/>
      <c r="H25" s="11"/>
      <c r="I25" s="11"/>
      <c r="J25" s="11"/>
      <c r="K25" s="12"/>
    </row>
    <row r="26" spans="1:11" x14ac:dyDescent="0.3">
      <c r="A26" s="9">
        <v>2</v>
      </c>
      <c r="B26" s="13" t="s">
        <v>101</v>
      </c>
      <c r="C26" s="14"/>
      <c r="D26" s="14"/>
      <c r="E26" s="14"/>
      <c r="F26" s="14"/>
      <c r="G26" s="14"/>
      <c r="H26" s="14"/>
      <c r="I26" s="14"/>
      <c r="J26" s="14"/>
      <c r="K26" s="15"/>
    </row>
    <row r="27" spans="1:11" x14ac:dyDescent="0.3">
      <c r="A27" s="9">
        <v>3</v>
      </c>
      <c r="B27" s="13" t="s">
        <v>100</v>
      </c>
      <c r="C27" s="14"/>
      <c r="D27" s="14"/>
      <c r="E27" s="14"/>
      <c r="F27" s="14"/>
      <c r="G27" s="14"/>
      <c r="H27" s="14"/>
      <c r="I27" s="14"/>
      <c r="J27" s="14"/>
      <c r="K27" s="15"/>
    </row>
    <row r="28" spans="1:11" x14ac:dyDescent="0.3">
      <c r="A28" s="9">
        <v>4</v>
      </c>
      <c r="B28" s="13" t="s">
        <v>124</v>
      </c>
      <c r="C28" s="14"/>
      <c r="D28" s="14"/>
      <c r="E28" s="14"/>
      <c r="F28" s="14"/>
      <c r="G28" s="14"/>
      <c r="H28" s="14"/>
      <c r="I28" s="14"/>
      <c r="J28" s="14"/>
      <c r="K28" s="15"/>
    </row>
    <row r="29" spans="1:11" x14ac:dyDescent="0.3">
      <c r="A29" s="9">
        <v>5</v>
      </c>
      <c r="B29" s="13" t="s">
        <v>125</v>
      </c>
      <c r="C29" s="14"/>
      <c r="D29" s="14"/>
      <c r="E29" s="14"/>
      <c r="F29" s="14"/>
      <c r="G29" s="14"/>
      <c r="H29" s="14"/>
      <c r="I29" s="14"/>
      <c r="J29" s="14"/>
      <c r="K29" s="15"/>
    </row>
    <row r="30" spans="1:11" x14ac:dyDescent="0.3">
      <c r="A30" s="9">
        <v>6</v>
      </c>
      <c r="B30" s="16" t="s">
        <v>103</v>
      </c>
      <c r="C30" s="17"/>
      <c r="D30" s="17"/>
      <c r="E30" s="17"/>
      <c r="F30" s="17"/>
      <c r="G30" s="17"/>
      <c r="H30" s="17"/>
      <c r="I30" s="17"/>
      <c r="J30" s="17"/>
      <c r="K30" s="18"/>
    </row>
    <row r="31" spans="1:11" ht="17.399999999999999" x14ac:dyDescent="0.4">
      <c r="B31" s="19" t="s">
        <v>99</v>
      </c>
    </row>
    <row r="32" spans="1:11" ht="17.399999999999999" x14ac:dyDescent="0.4">
      <c r="B32" s="19" t="s">
        <v>105</v>
      </c>
    </row>
    <row r="33" spans="1:11" ht="17.399999999999999" x14ac:dyDescent="0.4">
      <c r="B33" s="19" t="s">
        <v>107</v>
      </c>
    </row>
    <row r="34" spans="1:11" ht="17.399999999999999" x14ac:dyDescent="0.4">
      <c r="B34" s="19"/>
    </row>
    <row r="36" spans="1:11" ht="19.2" x14ac:dyDescent="0.4">
      <c r="B36" s="25" t="s">
        <v>111</v>
      </c>
    </row>
    <row r="37" spans="1:11" ht="17.399999999999999" x14ac:dyDescent="0.4">
      <c r="B37" s="19" t="s">
        <v>112</v>
      </c>
    </row>
    <row r="38" spans="1:11" ht="17.399999999999999" x14ac:dyDescent="0.4">
      <c r="B38" s="19" t="s">
        <v>113</v>
      </c>
    </row>
    <row r="40" spans="1:11" x14ac:dyDescent="0.3">
      <c r="A40" s="9">
        <v>1</v>
      </c>
      <c r="B40" s="10" t="s">
        <v>114</v>
      </c>
      <c r="C40" s="11"/>
      <c r="D40" s="11"/>
      <c r="E40" s="11"/>
      <c r="F40" s="11"/>
      <c r="G40" s="11"/>
      <c r="H40" s="11"/>
      <c r="I40" s="11"/>
      <c r="J40" s="11"/>
      <c r="K40" s="12"/>
    </row>
    <row r="41" spans="1:11" x14ac:dyDescent="0.3">
      <c r="A41" s="9">
        <v>2</v>
      </c>
      <c r="B41" s="13" t="s">
        <v>115</v>
      </c>
      <c r="C41" s="14"/>
      <c r="D41" s="14"/>
      <c r="E41" s="14"/>
      <c r="F41" s="14"/>
      <c r="G41" s="14"/>
      <c r="H41" s="14"/>
      <c r="I41" s="14"/>
      <c r="J41" s="14"/>
      <c r="K41" s="15"/>
    </row>
    <row r="42" spans="1:11" x14ac:dyDescent="0.3">
      <c r="A42" s="9">
        <v>3</v>
      </c>
      <c r="B42" s="13" t="s">
        <v>98</v>
      </c>
      <c r="C42" s="14"/>
      <c r="D42" s="14"/>
      <c r="E42" s="14"/>
      <c r="F42" s="14"/>
      <c r="G42" s="14"/>
      <c r="H42" s="14"/>
      <c r="I42" s="14"/>
      <c r="J42" s="14"/>
      <c r="K42" s="15"/>
    </row>
    <row r="43" spans="1:11" x14ac:dyDescent="0.3">
      <c r="A43" s="9">
        <v>4</v>
      </c>
      <c r="B43" s="13" t="s">
        <v>116</v>
      </c>
      <c r="C43" s="14"/>
      <c r="D43" s="14"/>
      <c r="E43" s="14"/>
      <c r="F43" s="14"/>
      <c r="G43" s="14"/>
      <c r="H43" s="14"/>
      <c r="I43" s="14"/>
      <c r="J43" s="14"/>
      <c r="K43" s="15"/>
    </row>
    <row r="44" spans="1:11" x14ac:dyDescent="0.3">
      <c r="A44" s="9">
        <v>5</v>
      </c>
      <c r="B44" s="24" t="s">
        <v>119</v>
      </c>
      <c r="C44" s="17"/>
      <c r="D44" s="17"/>
      <c r="E44" s="17"/>
      <c r="F44" s="17"/>
      <c r="G44" s="17"/>
      <c r="H44" s="17"/>
      <c r="I44" s="17"/>
      <c r="J44" s="17"/>
      <c r="K44" s="18"/>
    </row>
    <row r="45" spans="1:11" ht="17.399999999999999" x14ac:dyDescent="0.4">
      <c r="B45" s="19" t="s">
        <v>117</v>
      </c>
      <c r="H45" s="14"/>
      <c r="I45" s="14"/>
    </row>
    <row r="46" spans="1:11" ht="17.399999999999999" x14ac:dyDescent="0.4">
      <c r="B46" s="19" t="s">
        <v>118</v>
      </c>
    </row>
    <row r="47" spans="1:11" ht="17.399999999999999" x14ac:dyDescent="0.4">
      <c r="B47" s="19" t="s">
        <v>120</v>
      </c>
    </row>
    <row r="48" spans="1:11" ht="17.399999999999999" x14ac:dyDescent="0.4">
      <c r="B48" s="19" t="s">
        <v>121</v>
      </c>
    </row>
    <row r="49" spans="1:11" x14ac:dyDescent="0.3">
      <c r="A49" s="9">
        <v>1</v>
      </c>
      <c r="B49" s="10" t="s">
        <v>103</v>
      </c>
      <c r="C49" s="11"/>
      <c r="D49" s="11"/>
      <c r="E49" s="11"/>
      <c r="F49" s="11"/>
      <c r="G49" s="11"/>
      <c r="H49" s="11"/>
      <c r="I49" s="11"/>
      <c r="J49" s="11"/>
      <c r="K49" s="12"/>
    </row>
    <row r="50" spans="1:11" x14ac:dyDescent="0.3">
      <c r="A50" s="9">
        <v>2</v>
      </c>
      <c r="B50" s="16" t="s">
        <v>122</v>
      </c>
      <c r="C50" s="17"/>
      <c r="D50" s="17"/>
      <c r="E50" s="17"/>
      <c r="F50" s="17"/>
      <c r="G50" s="17"/>
      <c r="H50" s="17"/>
      <c r="I50" s="17"/>
      <c r="J50" s="17"/>
      <c r="K50" s="18"/>
    </row>
    <row r="53" spans="1:11" s="7" customFormat="1" ht="28.2" x14ac:dyDescent="0.6">
      <c r="B53" s="8" t="s">
        <v>126</v>
      </c>
    </row>
    <row r="56" spans="1:11" ht="19.2" x14ac:dyDescent="0.4">
      <c r="B56" s="25" t="s">
        <v>127</v>
      </c>
    </row>
    <row r="58" spans="1:11" ht="19.2" x14ac:dyDescent="0.4">
      <c r="B58" s="19" t="s">
        <v>128</v>
      </c>
    </row>
    <row r="59" spans="1:11" ht="17.399999999999999" x14ac:dyDescent="0.4">
      <c r="B59" s="19" t="s">
        <v>129</v>
      </c>
    </row>
    <row r="60" spans="1:11" ht="17.399999999999999" x14ac:dyDescent="0.4">
      <c r="B60" s="19" t="s">
        <v>139</v>
      </c>
    </row>
    <row r="61" spans="1:11" ht="17.399999999999999" x14ac:dyDescent="0.4">
      <c r="B61" s="19" t="s">
        <v>130</v>
      </c>
    </row>
    <row r="62" spans="1:11" ht="17.399999999999999" x14ac:dyDescent="0.4">
      <c r="B62" s="19" t="s">
        <v>136</v>
      </c>
    </row>
    <row r="63" spans="1:11" ht="17.399999999999999" x14ac:dyDescent="0.4">
      <c r="B63" s="19" t="s">
        <v>137</v>
      </c>
    </row>
    <row r="64" spans="1:11" ht="17.399999999999999" x14ac:dyDescent="0.4">
      <c r="B64" s="19" t="s">
        <v>138</v>
      </c>
    </row>
    <row r="66" spans="2:2" ht="17.399999999999999" x14ac:dyDescent="0.4">
      <c r="B66" s="19" t="s">
        <v>131</v>
      </c>
    </row>
    <row r="67" spans="2:2" ht="17.399999999999999" x14ac:dyDescent="0.4">
      <c r="B67" s="19" t="s">
        <v>132</v>
      </c>
    </row>
    <row r="68" spans="2:2" ht="17.399999999999999" x14ac:dyDescent="0.4">
      <c r="B68" s="19" t="s">
        <v>161</v>
      </c>
    </row>
    <row r="69" spans="2:2" ht="17.399999999999999" x14ac:dyDescent="0.4">
      <c r="B69" s="19" t="s">
        <v>162</v>
      </c>
    </row>
    <row r="71" spans="2:2" ht="19.2" x14ac:dyDescent="0.4">
      <c r="B71" s="25" t="s">
        <v>159</v>
      </c>
    </row>
    <row r="73" spans="2:2" ht="17.399999999999999" x14ac:dyDescent="0.4">
      <c r="B73" s="19" t="s">
        <v>180</v>
      </c>
    </row>
    <row r="74" spans="2:2" ht="17.399999999999999" x14ac:dyDescent="0.4">
      <c r="B74" s="19" t="s">
        <v>133</v>
      </c>
    </row>
    <row r="75" spans="2:2" ht="17.399999999999999" x14ac:dyDescent="0.4">
      <c r="B75" s="19" t="s">
        <v>134</v>
      </c>
    </row>
    <row r="76" spans="2:2" ht="17.399999999999999" x14ac:dyDescent="0.4">
      <c r="B76" s="19" t="s">
        <v>141</v>
      </c>
    </row>
    <row r="77" spans="2:2" ht="17.399999999999999" x14ac:dyDescent="0.4">
      <c r="B77" s="19" t="s">
        <v>140</v>
      </c>
    </row>
    <row r="79" spans="2:2" x14ac:dyDescent="0.3">
      <c r="B79" s="9" t="s">
        <v>142</v>
      </c>
    </row>
    <row r="97" spans="2:2" x14ac:dyDescent="0.3">
      <c r="B97" s="9" t="s">
        <v>149</v>
      </c>
    </row>
    <row r="98" spans="2:2" x14ac:dyDescent="0.3">
      <c r="B98" s="13" t="s">
        <v>152</v>
      </c>
    </row>
    <row r="99" spans="2:2" x14ac:dyDescent="0.3">
      <c r="B99" s="9" t="s">
        <v>153</v>
      </c>
    </row>
    <row r="100" spans="2:2" x14ac:dyDescent="0.3">
      <c r="B100" s="9" t="s">
        <v>150</v>
      </c>
    </row>
    <row r="111" spans="2:2" x14ac:dyDescent="0.3">
      <c r="B111" s="9" t="s">
        <v>151</v>
      </c>
    </row>
    <row r="123" spans="2:2" x14ac:dyDescent="0.3">
      <c r="B123" s="9" t="s">
        <v>154</v>
      </c>
    </row>
    <row r="124" spans="2:2" x14ac:dyDescent="0.3">
      <c r="B124" s="9" t="s">
        <v>146</v>
      </c>
    </row>
    <row r="125" spans="2:2" x14ac:dyDescent="0.3">
      <c r="B125" s="9" t="s">
        <v>147</v>
      </c>
    </row>
    <row r="126" spans="2:2" x14ac:dyDescent="0.3">
      <c r="B126" s="9" t="s">
        <v>148</v>
      </c>
    </row>
    <row r="161" spans="2:2" x14ac:dyDescent="0.3">
      <c r="B161" s="9" t="s">
        <v>156</v>
      </c>
    </row>
    <row r="162" spans="2:2" x14ac:dyDescent="0.3">
      <c r="B162" s="9" t="s">
        <v>157</v>
      </c>
    </row>
    <row r="209" spans="2:2" x14ac:dyDescent="0.3">
      <c r="B209" s="9" t="s">
        <v>158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F24"/>
  <sheetViews>
    <sheetView zoomScale="85" zoomScaleNormal="85" workbookViewId="0">
      <selection activeCell="F26" sqref="F26"/>
    </sheetView>
  </sheetViews>
  <sheetFormatPr defaultRowHeight="14.4" x14ac:dyDescent="0.3"/>
  <cols>
    <col min="1" max="1" width="8.88671875" style="9"/>
    <col min="2" max="2" width="28.109375" style="9" customWidth="1"/>
    <col min="3" max="3" width="80.88671875" style="9" customWidth="1"/>
    <col min="4" max="4" width="13.109375" style="9" bestFit="1" customWidth="1"/>
    <col min="5" max="5" width="29.88671875" style="9" customWidth="1"/>
    <col min="6" max="6" width="46.77734375" style="9" customWidth="1"/>
    <col min="7" max="7" width="17.77734375" style="9" bestFit="1" customWidth="1"/>
    <col min="8" max="8" width="19.21875" style="9" bestFit="1" customWidth="1"/>
    <col min="9" max="9" width="13" style="9" bestFit="1" customWidth="1"/>
    <col min="10" max="10" width="10.109375" style="9" bestFit="1" customWidth="1"/>
    <col min="11" max="13" width="11.77734375" style="9" bestFit="1" customWidth="1"/>
    <col min="14" max="18" width="8.88671875" style="9"/>
    <col min="19" max="19" width="13.5546875" style="9" bestFit="1" customWidth="1"/>
    <col min="20" max="20" width="16.6640625" style="9" bestFit="1" customWidth="1"/>
    <col min="21" max="21" width="23.44140625" style="9" bestFit="1" customWidth="1"/>
    <col min="22" max="22" width="22.6640625" style="9" bestFit="1" customWidth="1"/>
    <col min="23" max="23" width="10.77734375" style="9" bestFit="1" customWidth="1"/>
    <col min="24" max="26" width="8.88671875" style="9"/>
    <col min="27" max="27" width="13" style="9" bestFit="1" customWidth="1"/>
    <col min="28" max="28" width="23.6640625" style="9" bestFit="1" customWidth="1"/>
    <col min="29" max="29" width="9.5546875" style="9" bestFit="1" customWidth="1"/>
    <col min="30" max="30" width="23" style="9" bestFit="1" customWidth="1"/>
    <col min="31" max="31" width="12.77734375" style="9" bestFit="1" customWidth="1"/>
    <col min="32" max="42" width="9.6640625" style="9" bestFit="1" customWidth="1"/>
    <col min="43" max="43" width="10.6640625" style="9" bestFit="1" customWidth="1"/>
    <col min="44" max="16384" width="8.88671875" style="9"/>
  </cols>
  <sheetData>
    <row r="2" spans="2:6" ht="15.6" x14ac:dyDescent="0.3">
      <c r="B2" s="34" t="s">
        <v>166</v>
      </c>
      <c r="C2" s="34" t="s">
        <v>0</v>
      </c>
      <c r="D2" s="17"/>
      <c r="E2" s="17"/>
      <c r="F2" s="17"/>
    </row>
    <row r="3" spans="2:6" x14ac:dyDescent="0.3">
      <c r="B3" s="9" t="s">
        <v>79</v>
      </c>
      <c r="C3" s="27" t="s">
        <v>78</v>
      </c>
      <c r="D3" s="29"/>
      <c r="E3" s="29"/>
      <c r="F3" s="29"/>
    </row>
    <row r="4" spans="2:6" x14ac:dyDescent="0.3">
      <c r="B4" s="9" t="s">
        <v>160</v>
      </c>
      <c r="C4" s="27" t="s">
        <v>80</v>
      </c>
      <c r="D4" s="29"/>
      <c r="E4" s="29"/>
      <c r="F4" s="29"/>
    </row>
    <row r="7" spans="2:6" ht="15.6" x14ac:dyDescent="0.3">
      <c r="B7" s="34" t="s">
        <v>165</v>
      </c>
      <c r="C7" s="34" t="s">
        <v>0</v>
      </c>
      <c r="E7" s="34" t="s">
        <v>176</v>
      </c>
      <c r="F7" s="34" t="s">
        <v>0</v>
      </c>
    </row>
    <row r="8" spans="2:6" x14ac:dyDescent="0.3">
      <c r="B8" s="9" t="s">
        <v>167</v>
      </c>
      <c r="C8" s="27" t="s">
        <v>81</v>
      </c>
      <c r="E8" s="9" t="s">
        <v>170</v>
      </c>
      <c r="F8" s="27" t="s">
        <v>84</v>
      </c>
    </row>
    <row r="9" spans="2:6" x14ac:dyDescent="0.3">
      <c r="B9" s="9" t="s">
        <v>168</v>
      </c>
      <c r="C9" s="30">
        <v>0</v>
      </c>
      <c r="E9" s="9" t="s">
        <v>37</v>
      </c>
      <c r="F9" s="31">
        <v>0</v>
      </c>
    </row>
    <row r="10" spans="2:6" x14ac:dyDescent="0.3">
      <c r="B10" s="9" t="s">
        <v>169</v>
      </c>
      <c r="C10" s="27" t="s">
        <v>181</v>
      </c>
      <c r="E10" s="9" t="s">
        <v>171</v>
      </c>
      <c r="F10" s="27" t="s">
        <v>56</v>
      </c>
    </row>
    <row r="11" spans="2:6" x14ac:dyDescent="0.3">
      <c r="E11" s="9" t="s">
        <v>172</v>
      </c>
      <c r="F11" s="28">
        <v>2020</v>
      </c>
    </row>
    <row r="12" spans="2:6" x14ac:dyDescent="0.3">
      <c r="E12" s="9" t="s">
        <v>174</v>
      </c>
      <c r="F12" s="27" t="s">
        <v>173</v>
      </c>
    </row>
    <row r="13" spans="2:6" x14ac:dyDescent="0.3">
      <c r="E13" s="9" t="s">
        <v>164</v>
      </c>
      <c r="F13" s="27" t="s">
        <v>175</v>
      </c>
    </row>
    <row r="20" spans="2:6" ht="18" x14ac:dyDescent="0.35">
      <c r="B20" s="32" t="s">
        <v>177</v>
      </c>
      <c r="C20" s="17"/>
      <c r="D20" s="17"/>
      <c r="E20" s="17"/>
      <c r="F20" s="17"/>
    </row>
    <row r="21" spans="2:6" x14ac:dyDescent="0.3">
      <c r="B21" s="33" t="s">
        <v>179</v>
      </c>
      <c r="C21" s="35" t="s">
        <v>178</v>
      </c>
    </row>
    <row r="23" spans="2:6" x14ac:dyDescent="0.3">
      <c r="B23" s="9" t="s">
        <v>38</v>
      </c>
    </row>
    <row r="24" spans="2:6" x14ac:dyDescent="0.3">
      <c r="B24" s="9" t="s">
        <v>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workbookViewId="0">
      <selection activeCell="G8" sqref="A2:M198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6.88671875" bestFit="1" customWidth="1"/>
    <col min="7" max="7" width="45.5546875" bestFit="1" customWidth="1"/>
    <col min="8" max="8" width="11.6640625" bestFit="1" customWidth="1"/>
    <col min="9" max="9" width="13.44140625" bestFit="1" customWidth="1"/>
    <col min="10" max="11" width="18.88671875" bestFit="1" customWidth="1"/>
    <col min="12" max="12" width="6.7773437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5.6640625" bestFit="1" customWidth="1"/>
    <col min="17" max="17" width="16.33203125" bestFit="1" customWidth="1"/>
    <col min="18" max="18" width="19.6640625" bestFit="1" customWidth="1"/>
    <col min="19" max="21" width="12" bestFit="1" customWidth="1"/>
    <col min="22" max="22" width="25.109375" bestFit="1" customWidth="1"/>
    <col min="23" max="23" width="20.21875" bestFit="1" customWidth="1"/>
    <col min="24" max="24" width="13" bestFit="1" customWidth="1"/>
    <col min="25" max="25" width="16.33203125" bestFit="1" customWidth="1"/>
    <col min="26" max="26" width="12" bestFit="1" customWidth="1"/>
    <col min="27" max="27" width="12.21875" bestFit="1" customWidth="1"/>
    <col min="28" max="28" width="14.5546875" bestFit="1" customWidth="1"/>
    <col min="29" max="30" width="12" bestFit="1" customWidth="1"/>
    <col min="31" max="32" width="18.21875" bestFit="1" customWidth="1"/>
    <col min="33" max="33" width="19.5546875" bestFit="1" customWidth="1"/>
    <col min="34" max="36" width="24.109375" bestFit="1" customWidth="1"/>
    <col min="37" max="37" width="14.44140625" bestFit="1" customWidth="1"/>
    <col min="38" max="38" width="12" bestFit="1" customWidth="1"/>
    <col min="39" max="41" width="42.21875" bestFit="1" customWidth="1"/>
    <col min="42" max="42" width="14.44140625" bestFit="1" customWidth="1"/>
    <col min="43" max="43" width="12" bestFit="1" customWidth="1"/>
    <col min="44" max="44" width="6" bestFit="1" customWidth="1"/>
    <col min="45" max="45" width="7" bestFit="1" customWidth="1"/>
    <col min="46" max="47" width="8" bestFit="1" customWidth="1"/>
    <col min="48" max="49" width="9" bestFit="1" customWidth="1"/>
    <col min="50" max="51" width="8" bestFit="1" customWidth="1"/>
    <col min="52" max="52" width="12" bestFit="1" customWidth="1"/>
    <col min="53" max="54" width="7" bestFit="1" customWidth="1"/>
    <col min="55" max="55" width="5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1" x14ac:dyDescent="0.3">
      <c r="A2" t="s">
        <v>81</v>
      </c>
      <c r="B2">
        <v>-1</v>
      </c>
      <c r="C2">
        <v>2020</v>
      </c>
      <c r="D2" t="s">
        <v>55</v>
      </c>
      <c r="E2" t="s">
        <v>56</v>
      </c>
      <c r="F2" t="s">
        <v>57</v>
      </c>
      <c r="G2" t="s">
        <v>43</v>
      </c>
      <c r="H2" t="s">
        <v>40</v>
      </c>
      <c r="I2" t="s">
        <v>19</v>
      </c>
      <c r="J2" t="s">
        <v>27</v>
      </c>
      <c r="K2" t="s">
        <v>46</v>
      </c>
      <c r="L2" t="s">
        <v>47</v>
      </c>
      <c r="M2">
        <v>25.75</v>
      </c>
    </row>
    <row r="3" spans="1:21" x14ac:dyDescent="0.3">
      <c r="A3" t="s">
        <v>81</v>
      </c>
      <c r="B3">
        <v>-1</v>
      </c>
      <c r="C3">
        <v>2020</v>
      </c>
      <c r="D3" t="s">
        <v>55</v>
      </c>
      <c r="E3" t="s">
        <v>56</v>
      </c>
      <c r="F3" t="s">
        <v>57</v>
      </c>
      <c r="G3" t="s">
        <v>43</v>
      </c>
      <c r="H3" t="s">
        <v>40</v>
      </c>
      <c r="I3" t="s">
        <v>19</v>
      </c>
      <c r="J3" t="s">
        <v>27</v>
      </c>
      <c r="K3" t="s">
        <v>48</v>
      </c>
      <c r="L3" t="s">
        <v>47</v>
      </c>
      <c r="M3">
        <v>-25.75</v>
      </c>
      <c r="P3" s="1" t="s">
        <v>7</v>
      </c>
      <c r="Q3" t="s">
        <v>51</v>
      </c>
    </row>
    <row r="4" spans="1:21" x14ac:dyDescent="0.3">
      <c r="A4" t="s">
        <v>81</v>
      </c>
      <c r="B4">
        <v>-1</v>
      </c>
      <c r="C4">
        <v>2020</v>
      </c>
      <c r="D4" t="s">
        <v>55</v>
      </c>
      <c r="E4" t="s">
        <v>56</v>
      </c>
      <c r="F4" t="s">
        <v>57</v>
      </c>
      <c r="G4" t="s">
        <v>44</v>
      </c>
      <c r="H4" t="s">
        <v>45</v>
      </c>
      <c r="I4" t="s">
        <v>19</v>
      </c>
      <c r="J4" t="s">
        <v>27</v>
      </c>
      <c r="K4" t="s">
        <v>46</v>
      </c>
      <c r="L4" t="s">
        <v>47</v>
      </c>
      <c r="M4">
        <v>1.7</v>
      </c>
      <c r="P4" s="1" t="s">
        <v>50</v>
      </c>
      <c r="Q4" t="s">
        <v>51</v>
      </c>
    </row>
    <row r="5" spans="1:21" x14ac:dyDescent="0.3">
      <c r="A5" t="s">
        <v>81</v>
      </c>
      <c r="B5">
        <v>-1</v>
      </c>
      <c r="C5">
        <v>2020</v>
      </c>
      <c r="D5" t="s">
        <v>55</v>
      </c>
      <c r="E5" t="s">
        <v>56</v>
      </c>
      <c r="F5" t="s">
        <v>57</v>
      </c>
      <c r="G5" t="s">
        <v>31</v>
      </c>
      <c r="H5" t="s">
        <v>18</v>
      </c>
      <c r="I5" t="s">
        <v>19</v>
      </c>
      <c r="J5" t="s">
        <v>32</v>
      </c>
      <c r="K5" t="s">
        <v>46</v>
      </c>
      <c r="L5" t="s">
        <v>47</v>
      </c>
      <c r="M5">
        <v>31.5</v>
      </c>
    </row>
    <row r="6" spans="1:21" x14ac:dyDescent="0.3">
      <c r="A6" t="s">
        <v>81</v>
      </c>
      <c r="B6">
        <v>-1</v>
      </c>
      <c r="C6">
        <v>2020</v>
      </c>
      <c r="D6" t="s">
        <v>55</v>
      </c>
      <c r="E6" t="s">
        <v>56</v>
      </c>
      <c r="F6" t="s">
        <v>57</v>
      </c>
      <c r="G6" t="s">
        <v>54</v>
      </c>
      <c r="H6" t="s">
        <v>39</v>
      </c>
      <c r="I6" t="s">
        <v>19</v>
      </c>
      <c r="J6" t="s">
        <v>27</v>
      </c>
      <c r="K6" t="s">
        <v>46</v>
      </c>
      <c r="L6" t="s">
        <v>47</v>
      </c>
      <c r="M6">
        <v>20</v>
      </c>
      <c r="P6" s="1" t="s">
        <v>35</v>
      </c>
      <c r="Q6" s="1" t="s">
        <v>36</v>
      </c>
    </row>
    <row r="7" spans="1:21" x14ac:dyDescent="0.3">
      <c r="A7" t="s">
        <v>81</v>
      </c>
      <c r="B7">
        <v>-1</v>
      </c>
      <c r="C7">
        <v>2020</v>
      </c>
      <c r="D7" t="s">
        <v>55</v>
      </c>
      <c r="E7" t="s">
        <v>56</v>
      </c>
      <c r="F7" t="s">
        <v>57</v>
      </c>
      <c r="G7" t="s">
        <v>54</v>
      </c>
      <c r="H7" t="s">
        <v>39</v>
      </c>
      <c r="I7" t="s">
        <v>19</v>
      </c>
      <c r="J7" t="s">
        <v>27</v>
      </c>
      <c r="K7" t="s">
        <v>48</v>
      </c>
      <c r="L7" t="s">
        <v>47</v>
      </c>
      <c r="M7">
        <v>-20</v>
      </c>
      <c r="P7" s="1" t="s">
        <v>33</v>
      </c>
      <c r="Q7" t="s">
        <v>27</v>
      </c>
      <c r="R7" t="s">
        <v>32</v>
      </c>
      <c r="S7" t="s">
        <v>24</v>
      </c>
      <c r="T7" t="s">
        <v>22</v>
      </c>
      <c r="U7" t="s">
        <v>34</v>
      </c>
    </row>
    <row r="8" spans="1:21" x14ac:dyDescent="0.3">
      <c r="A8" t="s">
        <v>81</v>
      </c>
      <c r="B8">
        <v>-1</v>
      </c>
      <c r="C8">
        <v>2020</v>
      </c>
      <c r="D8" t="s">
        <v>55</v>
      </c>
      <c r="E8" t="s">
        <v>56</v>
      </c>
      <c r="F8" t="s">
        <v>57</v>
      </c>
      <c r="G8" t="s">
        <v>52</v>
      </c>
      <c r="H8" t="s">
        <v>53</v>
      </c>
      <c r="I8" t="s">
        <v>19</v>
      </c>
      <c r="J8" t="s">
        <v>27</v>
      </c>
      <c r="K8" t="s">
        <v>46</v>
      </c>
      <c r="L8" t="s">
        <v>47</v>
      </c>
      <c r="M8">
        <v>1.7</v>
      </c>
      <c r="P8" s="2" t="s">
        <v>81</v>
      </c>
      <c r="Q8" s="26">
        <v>4.0077171894803953</v>
      </c>
      <c r="R8" s="26">
        <v>126</v>
      </c>
      <c r="S8" s="26">
        <v>148.29412682368661</v>
      </c>
      <c r="T8" s="26">
        <v>157.83938004447819</v>
      </c>
      <c r="U8" s="26">
        <v>436.14122405764522</v>
      </c>
    </row>
    <row r="9" spans="1:21" x14ac:dyDescent="0.3">
      <c r="A9" t="s">
        <v>81</v>
      </c>
      <c r="B9">
        <v>-1</v>
      </c>
      <c r="C9">
        <v>2020</v>
      </c>
      <c r="D9" t="s">
        <v>55</v>
      </c>
      <c r="E9" t="s">
        <v>56</v>
      </c>
      <c r="F9" t="s">
        <v>57</v>
      </c>
      <c r="G9" t="s">
        <v>52</v>
      </c>
      <c r="H9" t="s">
        <v>53</v>
      </c>
      <c r="I9" t="s">
        <v>19</v>
      </c>
      <c r="J9" t="s">
        <v>27</v>
      </c>
      <c r="K9" t="s">
        <v>48</v>
      </c>
      <c r="L9" t="s">
        <v>47</v>
      </c>
      <c r="M9">
        <v>-1.7</v>
      </c>
      <c r="P9" s="3" t="s">
        <v>19</v>
      </c>
      <c r="Q9" s="26">
        <v>4.0077171894803953</v>
      </c>
      <c r="R9" s="26">
        <v>126</v>
      </c>
      <c r="S9" s="26">
        <v>148.29412682368661</v>
      </c>
      <c r="T9" s="26">
        <v>157.83938004447819</v>
      </c>
      <c r="U9" s="26">
        <v>436.14122405764522</v>
      </c>
    </row>
    <row r="10" spans="1:21" x14ac:dyDescent="0.3">
      <c r="A10" t="s">
        <v>81</v>
      </c>
      <c r="B10">
        <v>-1</v>
      </c>
      <c r="C10">
        <v>2020</v>
      </c>
      <c r="D10" t="s">
        <v>55</v>
      </c>
      <c r="E10" t="s">
        <v>56</v>
      </c>
      <c r="F10" t="s">
        <v>57</v>
      </c>
      <c r="G10" t="s">
        <v>11</v>
      </c>
      <c r="H10" t="s">
        <v>12</v>
      </c>
      <c r="I10" t="s">
        <v>13</v>
      </c>
      <c r="J10" t="s">
        <v>14</v>
      </c>
      <c r="K10" t="s">
        <v>49</v>
      </c>
      <c r="L10" t="s">
        <v>47</v>
      </c>
      <c r="M10">
        <v>0.53574544709786664</v>
      </c>
      <c r="P10" s="4">
        <v>2020</v>
      </c>
      <c r="Q10" s="26">
        <v>1.6999999999999995</v>
      </c>
      <c r="R10" s="26">
        <v>31.5</v>
      </c>
      <c r="S10" s="26">
        <v>8</v>
      </c>
      <c r="T10" s="26">
        <v>13.929206206568255</v>
      </c>
      <c r="U10" s="26">
        <v>55.129206206568256</v>
      </c>
    </row>
    <row r="11" spans="1:21" x14ac:dyDescent="0.3">
      <c r="A11" t="s">
        <v>81</v>
      </c>
      <c r="B11">
        <v>-1</v>
      </c>
      <c r="C11">
        <v>2020</v>
      </c>
      <c r="D11" t="s">
        <v>55</v>
      </c>
      <c r="E11" t="s">
        <v>56</v>
      </c>
      <c r="F11" t="s">
        <v>69</v>
      </c>
      <c r="G11" t="s">
        <v>28</v>
      </c>
      <c r="H11" t="s">
        <v>23</v>
      </c>
      <c r="I11" t="s">
        <v>19</v>
      </c>
      <c r="J11" t="s">
        <v>24</v>
      </c>
      <c r="K11" t="s">
        <v>46</v>
      </c>
      <c r="L11" t="s">
        <v>47</v>
      </c>
      <c r="M11">
        <v>8</v>
      </c>
      <c r="P11" s="6">
        <v>-1</v>
      </c>
      <c r="Q11" s="26">
        <v>1.6999999999999995</v>
      </c>
      <c r="R11" s="26">
        <v>31.5</v>
      </c>
      <c r="S11" s="26">
        <v>8</v>
      </c>
      <c r="T11" s="26">
        <v>13.929206206568255</v>
      </c>
      <c r="U11" s="26">
        <v>55.129206206568256</v>
      </c>
    </row>
    <row r="12" spans="1:21" x14ac:dyDescent="0.3">
      <c r="A12" t="s">
        <v>81</v>
      </c>
      <c r="B12">
        <v>-1</v>
      </c>
      <c r="C12">
        <v>2020</v>
      </c>
      <c r="D12" t="s">
        <v>55</v>
      </c>
      <c r="E12" t="s">
        <v>56</v>
      </c>
      <c r="F12" t="s">
        <v>69</v>
      </c>
      <c r="G12" t="s">
        <v>58</v>
      </c>
      <c r="H12" t="s">
        <v>21</v>
      </c>
      <c r="I12" t="s">
        <v>19</v>
      </c>
      <c r="J12" t="s">
        <v>22</v>
      </c>
      <c r="K12" t="s">
        <v>46</v>
      </c>
      <c r="L12" t="s">
        <v>47</v>
      </c>
      <c r="M12">
        <v>11</v>
      </c>
      <c r="P12" s="4">
        <v>2030</v>
      </c>
      <c r="Q12" s="26">
        <v>1.2749999999999988</v>
      </c>
      <c r="R12" s="26">
        <v>31.5</v>
      </c>
      <c r="S12" s="26">
        <v>32.096848004485523</v>
      </c>
      <c r="T12" s="26">
        <v>19.814218034314507</v>
      </c>
      <c r="U12" s="26">
        <v>84.686066038800021</v>
      </c>
    </row>
    <row r="13" spans="1:21" x14ac:dyDescent="0.3">
      <c r="A13" t="s">
        <v>81</v>
      </c>
      <c r="B13">
        <v>-1</v>
      </c>
      <c r="C13">
        <v>2020</v>
      </c>
      <c r="D13" t="s">
        <v>55</v>
      </c>
      <c r="E13" t="s">
        <v>56</v>
      </c>
      <c r="F13" t="s">
        <v>69</v>
      </c>
      <c r="G13" t="s">
        <v>58</v>
      </c>
      <c r="H13" t="s">
        <v>21</v>
      </c>
      <c r="I13" t="s">
        <v>19</v>
      </c>
      <c r="J13" t="s">
        <v>22</v>
      </c>
      <c r="K13" t="s">
        <v>48</v>
      </c>
      <c r="L13" t="s">
        <v>47</v>
      </c>
      <c r="M13">
        <v>-0.92079379343174794</v>
      </c>
      <c r="P13" s="6">
        <v>-1</v>
      </c>
      <c r="Q13" s="26">
        <v>1.2749999999999988</v>
      </c>
      <c r="R13" s="26">
        <v>31.5</v>
      </c>
      <c r="S13" s="26">
        <v>32.096848004485523</v>
      </c>
      <c r="T13" s="26">
        <v>19.814218034314507</v>
      </c>
      <c r="U13" s="26">
        <v>84.686066038800021</v>
      </c>
    </row>
    <row r="14" spans="1:21" x14ac:dyDescent="0.3">
      <c r="A14" t="s">
        <v>81</v>
      </c>
      <c r="B14">
        <v>-1</v>
      </c>
      <c r="C14">
        <v>2020</v>
      </c>
      <c r="D14" t="s">
        <v>55</v>
      </c>
      <c r="E14" t="s">
        <v>56</v>
      </c>
      <c r="F14" t="s">
        <v>69</v>
      </c>
      <c r="G14" t="s">
        <v>29</v>
      </c>
      <c r="H14" t="s">
        <v>21</v>
      </c>
      <c r="I14" t="s">
        <v>19</v>
      </c>
      <c r="J14" t="s">
        <v>22</v>
      </c>
      <c r="K14" t="s">
        <v>46</v>
      </c>
      <c r="L14" t="s">
        <v>47</v>
      </c>
      <c r="M14">
        <v>3.3000000000000003</v>
      </c>
      <c r="P14" s="4">
        <v>2040</v>
      </c>
      <c r="Q14" s="26">
        <v>0.42500000000000093</v>
      </c>
      <c r="R14" s="26">
        <v>31.5</v>
      </c>
      <c r="S14" s="26">
        <v>46.756146534193618</v>
      </c>
      <c r="T14" s="26">
        <v>53.701069285088522</v>
      </c>
      <c r="U14" s="26">
        <v>132.38221581928212</v>
      </c>
    </row>
    <row r="15" spans="1:21" x14ac:dyDescent="0.3">
      <c r="A15" t="s">
        <v>81</v>
      </c>
      <c r="B15">
        <v>-1</v>
      </c>
      <c r="C15">
        <v>2020</v>
      </c>
      <c r="D15" t="s">
        <v>55</v>
      </c>
      <c r="E15" t="s">
        <v>56</v>
      </c>
      <c r="F15" t="s">
        <v>69</v>
      </c>
      <c r="G15" t="s">
        <v>20</v>
      </c>
      <c r="H15" t="s">
        <v>21</v>
      </c>
      <c r="I15" t="s">
        <v>19</v>
      </c>
      <c r="J15" t="s">
        <v>22</v>
      </c>
      <c r="K15" t="s">
        <v>46</v>
      </c>
      <c r="L15" t="s">
        <v>47</v>
      </c>
      <c r="M15">
        <v>7.15</v>
      </c>
      <c r="P15" s="6">
        <v>-1</v>
      </c>
      <c r="Q15" s="26">
        <v>0.42500000000000093</v>
      </c>
      <c r="R15" s="26">
        <v>31.5</v>
      </c>
      <c r="S15" s="26">
        <v>46.756146534193618</v>
      </c>
      <c r="T15" s="26">
        <v>53.701069285088522</v>
      </c>
      <c r="U15" s="26">
        <v>132.38221581928212</v>
      </c>
    </row>
    <row r="16" spans="1:21" x14ac:dyDescent="0.3">
      <c r="A16" t="s">
        <v>81</v>
      </c>
      <c r="B16">
        <v>-1</v>
      </c>
      <c r="C16">
        <v>2020</v>
      </c>
      <c r="D16" t="s">
        <v>55</v>
      </c>
      <c r="E16" t="s">
        <v>56</v>
      </c>
      <c r="F16" t="s">
        <v>69</v>
      </c>
      <c r="G16" t="s">
        <v>20</v>
      </c>
      <c r="H16" t="s">
        <v>21</v>
      </c>
      <c r="I16" t="s">
        <v>19</v>
      </c>
      <c r="J16" t="s">
        <v>22</v>
      </c>
      <c r="K16" t="s">
        <v>48</v>
      </c>
      <c r="L16" t="s">
        <v>47</v>
      </c>
      <c r="M16">
        <v>-7.15</v>
      </c>
      <c r="P16" s="4">
        <v>2050</v>
      </c>
      <c r="Q16" s="26">
        <v>0.6077171894803961</v>
      </c>
      <c r="R16" s="26">
        <v>31.5</v>
      </c>
      <c r="S16" s="26">
        <v>61.441132285007484</v>
      </c>
      <c r="T16" s="26">
        <v>70.394886518506908</v>
      </c>
      <c r="U16" s="26">
        <v>163.94373599299479</v>
      </c>
    </row>
    <row r="17" spans="1:21" x14ac:dyDescent="0.3">
      <c r="A17" t="s">
        <v>81</v>
      </c>
      <c r="B17">
        <v>-1</v>
      </c>
      <c r="C17">
        <v>2020</v>
      </c>
      <c r="D17" t="s">
        <v>55</v>
      </c>
      <c r="E17" t="s">
        <v>56</v>
      </c>
      <c r="F17" t="s">
        <v>69</v>
      </c>
      <c r="G17" t="s">
        <v>30</v>
      </c>
      <c r="H17" t="s">
        <v>21</v>
      </c>
      <c r="I17" t="s">
        <v>19</v>
      </c>
      <c r="J17" t="s">
        <v>22</v>
      </c>
      <c r="K17" t="s">
        <v>46</v>
      </c>
      <c r="L17" t="s">
        <v>47</v>
      </c>
      <c r="M17">
        <v>0.55000000000000004</v>
      </c>
      <c r="P17" s="6">
        <v>-1</v>
      </c>
      <c r="Q17" s="26">
        <v>0.6077171894803961</v>
      </c>
      <c r="R17" s="26">
        <v>31.5</v>
      </c>
      <c r="S17" s="26">
        <v>61.441132285007484</v>
      </c>
      <c r="T17" s="26">
        <v>70.394886518506908</v>
      </c>
      <c r="U17" s="26">
        <v>163.94373599299479</v>
      </c>
    </row>
    <row r="18" spans="1:21" x14ac:dyDescent="0.3">
      <c r="A18" t="s">
        <v>81</v>
      </c>
      <c r="B18">
        <v>-1</v>
      </c>
      <c r="C18">
        <v>2030</v>
      </c>
      <c r="D18" t="s">
        <v>55</v>
      </c>
      <c r="E18" t="s">
        <v>56</v>
      </c>
      <c r="F18" t="s">
        <v>57</v>
      </c>
      <c r="G18" t="s">
        <v>43</v>
      </c>
      <c r="H18" t="s">
        <v>40</v>
      </c>
      <c r="I18" t="s">
        <v>19</v>
      </c>
      <c r="J18" t="s">
        <v>27</v>
      </c>
      <c r="K18" t="s">
        <v>46</v>
      </c>
      <c r="L18" t="s">
        <v>47</v>
      </c>
      <c r="M18">
        <v>25.75</v>
      </c>
      <c r="P18" s="2" t="s">
        <v>34</v>
      </c>
      <c r="Q18" s="26">
        <v>4.0077171894803953</v>
      </c>
      <c r="R18" s="26">
        <v>126</v>
      </c>
      <c r="S18" s="26">
        <v>148.29412682368661</v>
      </c>
      <c r="T18" s="26">
        <v>157.83938004447819</v>
      </c>
      <c r="U18" s="26">
        <v>436.14122405764522</v>
      </c>
    </row>
    <row r="19" spans="1:21" x14ac:dyDescent="0.3">
      <c r="A19" t="s">
        <v>81</v>
      </c>
      <c r="B19">
        <v>-1</v>
      </c>
      <c r="C19">
        <v>2030</v>
      </c>
      <c r="D19" t="s">
        <v>55</v>
      </c>
      <c r="E19" t="s">
        <v>56</v>
      </c>
      <c r="F19" t="s">
        <v>57</v>
      </c>
      <c r="G19" t="s">
        <v>43</v>
      </c>
      <c r="H19" t="s">
        <v>40</v>
      </c>
      <c r="I19" t="s">
        <v>19</v>
      </c>
      <c r="J19" t="s">
        <v>27</v>
      </c>
      <c r="K19" t="s">
        <v>48</v>
      </c>
      <c r="L19" t="s">
        <v>47</v>
      </c>
      <c r="M19">
        <v>-25.75</v>
      </c>
    </row>
    <row r="20" spans="1:21" x14ac:dyDescent="0.3">
      <c r="A20" t="s">
        <v>81</v>
      </c>
      <c r="B20">
        <v>-1</v>
      </c>
      <c r="C20">
        <v>2030</v>
      </c>
      <c r="D20" t="s">
        <v>55</v>
      </c>
      <c r="E20" t="s">
        <v>56</v>
      </c>
      <c r="F20" t="s">
        <v>57</v>
      </c>
      <c r="G20" t="s">
        <v>44</v>
      </c>
      <c r="H20" t="s">
        <v>45</v>
      </c>
      <c r="I20" t="s">
        <v>19</v>
      </c>
      <c r="J20" t="s">
        <v>27</v>
      </c>
      <c r="K20" t="s">
        <v>46</v>
      </c>
      <c r="L20" t="s">
        <v>47</v>
      </c>
      <c r="M20">
        <v>1.7</v>
      </c>
    </row>
    <row r="21" spans="1:21" x14ac:dyDescent="0.3">
      <c r="A21" t="s">
        <v>81</v>
      </c>
      <c r="B21">
        <v>-1</v>
      </c>
      <c r="C21">
        <v>2030</v>
      </c>
      <c r="D21" t="s">
        <v>55</v>
      </c>
      <c r="E21" t="s">
        <v>56</v>
      </c>
      <c r="F21" t="s">
        <v>57</v>
      </c>
      <c r="G21" t="s">
        <v>44</v>
      </c>
      <c r="H21" t="s">
        <v>45</v>
      </c>
      <c r="I21" t="s">
        <v>19</v>
      </c>
      <c r="J21" t="s">
        <v>27</v>
      </c>
      <c r="K21" t="s">
        <v>48</v>
      </c>
      <c r="L21" t="s">
        <v>47</v>
      </c>
      <c r="M21">
        <v>-0.42499999999999999</v>
      </c>
    </row>
    <row r="22" spans="1:21" x14ac:dyDescent="0.3">
      <c r="A22" t="s">
        <v>81</v>
      </c>
      <c r="B22">
        <v>-1</v>
      </c>
      <c r="C22">
        <v>2030</v>
      </c>
      <c r="D22" t="s">
        <v>55</v>
      </c>
      <c r="E22" t="s">
        <v>56</v>
      </c>
      <c r="F22" t="s">
        <v>57</v>
      </c>
      <c r="G22" t="s">
        <v>31</v>
      </c>
      <c r="H22" t="s">
        <v>18</v>
      </c>
      <c r="I22" t="s">
        <v>19</v>
      </c>
      <c r="J22" t="s">
        <v>32</v>
      </c>
      <c r="K22" t="s">
        <v>46</v>
      </c>
      <c r="L22" t="s">
        <v>47</v>
      </c>
      <c r="M22">
        <v>31.5</v>
      </c>
    </row>
    <row r="23" spans="1:21" x14ac:dyDescent="0.3">
      <c r="A23" t="s">
        <v>81</v>
      </c>
      <c r="B23">
        <v>-1</v>
      </c>
      <c r="C23">
        <v>2030</v>
      </c>
      <c r="D23" t="s">
        <v>55</v>
      </c>
      <c r="E23" t="s">
        <v>56</v>
      </c>
      <c r="F23" t="s">
        <v>57</v>
      </c>
      <c r="G23" t="s">
        <v>54</v>
      </c>
      <c r="H23" t="s">
        <v>39</v>
      </c>
      <c r="I23" t="s">
        <v>19</v>
      </c>
      <c r="J23" t="s">
        <v>27</v>
      </c>
      <c r="K23" t="s">
        <v>46</v>
      </c>
      <c r="L23" t="s">
        <v>47</v>
      </c>
      <c r="M23">
        <v>20</v>
      </c>
    </row>
    <row r="24" spans="1:21" x14ac:dyDescent="0.3">
      <c r="A24" t="s">
        <v>81</v>
      </c>
      <c r="B24">
        <v>-1</v>
      </c>
      <c r="C24">
        <v>2030</v>
      </c>
      <c r="D24" t="s">
        <v>55</v>
      </c>
      <c r="E24" t="s">
        <v>56</v>
      </c>
      <c r="F24" t="s">
        <v>57</v>
      </c>
      <c r="G24" t="s">
        <v>54</v>
      </c>
      <c r="H24" t="s">
        <v>39</v>
      </c>
      <c r="I24" t="s">
        <v>19</v>
      </c>
      <c r="J24" t="s">
        <v>27</v>
      </c>
      <c r="K24" t="s">
        <v>48</v>
      </c>
      <c r="L24" t="s">
        <v>47</v>
      </c>
      <c r="M24">
        <v>-20</v>
      </c>
    </row>
    <row r="25" spans="1:21" x14ac:dyDescent="0.3">
      <c r="A25" t="s">
        <v>81</v>
      </c>
      <c r="B25">
        <v>-1</v>
      </c>
      <c r="C25">
        <v>2030</v>
      </c>
      <c r="D25" t="s">
        <v>55</v>
      </c>
      <c r="E25" t="s">
        <v>56</v>
      </c>
      <c r="F25" t="s">
        <v>57</v>
      </c>
      <c r="G25" t="s">
        <v>52</v>
      </c>
      <c r="H25" t="s">
        <v>53</v>
      </c>
      <c r="I25" t="s">
        <v>19</v>
      </c>
      <c r="J25" t="s">
        <v>27</v>
      </c>
      <c r="K25" t="s">
        <v>46</v>
      </c>
      <c r="L25" t="s">
        <v>47</v>
      </c>
      <c r="M25">
        <v>1.7</v>
      </c>
    </row>
    <row r="26" spans="1:21" x14ac:dyDescent="0.3">
      <c r="A26" t="s">
        <v>81</v>
      </c>
      <c r="B26">
        <v>-1</v>
      </c>
      <c r="C26">
        <v>2030</v>
      </c>
      <c r="D26" t="s">
        <v>55</v>
      </c>
      <c r="E26" t="s">
        <v>56</v>
      </c>
      <c r="F26" t="s">
        <v>57</v>
      </c>
      <c r="G26" t="s">
        <v>52</v>
      </c>
      <c r="H26" t="s">
        <v>53</v>
      </c>
      <c r="I26" t="s">
        <v>19</v>
      </c>
      <c r="J26" t="s">
        <v>27</v>
      </c>
      <c r="K26" t="s">
        <v>48</v>
      </c>
      <c r="L26" t="s">
        <v>47</v>
      </c>
      <c r="M26">
        <v>-1.7</v>
      </c>
    </row>
    <row r="27" spans="1:21" x14ac:dyDescent="0.3">
      <c r="A27" t="s">
        <v>81</v>
      </c>
      <c r="B27">
        <v>-1</v>
      </c>
      <c r="C27">
        <v>2030</v>
      </c>
      <c r="D27" t="s">
        <v>55</v>
      </c>
      <c r="E27" t="s">
        <v>56</v>
      </c>
      <c r="F27" t="s">
        <v>57</v>
      </c>
      <c r="G27" t="s">
        <v>11</v>
      </c>
      <c r="H27" t="s">
        <v>12</v>
      </c>
      <c r="I27" t="s">
        <v>13</v>
      </c>
      <c r="J27" t="s">
        <v>14</v>
      </c>
      <c r="K27" t="s">
        <v>49</v>
      </c>
      <c r="L27" t="s">
        <v>47</v>
      </c>
      <c r="M27">
        <v>0.53574544709786664</v>
      </c>
    </row>
    <row r="28" spans="1:21" x14ac:dyDescent="0.3">
      <c r="A28" t="s">
        <v>81</v>
      </c>
      <c r="B28">
        <v>-1</v>
      </c>
      <c r="C28">
        <v>2030</v>
      </c>
      <c r="D28" t="s">
        <v>55</v>
      </c>
      <c r="E28" t="s">
        <v>56</v>
      </c>
      <c r="F28" t="s">
        <v>57</v>
      </c>
      <c r="G28" t="s">
        <v>59</v>
      </c>
      <c r="H28" t="s">
        <v>12</v>
      </c>
      <c r="I28" t="s">
        <v>13</v>
      </c>
      <c r="J28" t="s">
        <v>14</v>
      </c>
      <c r="K28" t="s">
        <v>49</v>
      </c>
      <c r="L28" t="s">
        <v>47</v>
      </c>
      <c r="M28">
        <v>4.0150039674721656</v>
      </c>
    </row>
    <row r="29" spans="1:21" x14ac:dyDescent="0.3">
      <c r="A29" t="s">
        <v>81</v>
      </c>
      <c r="B29">
        <v>-1</v>
      </c>
      <c r="C29">
        <v>2030</v>
      </c>
      <c r="D29" t="s">
        <v>55</v>
      </c>
      <c r="E29" t="s">
        <v>56</v>
      </c>
      <c r="F29" t="s">
        <v>69</v>
      </c>
      <c r="G29" t="s">
        <v>28</v>
      </c>
      <c r="H29" t="s">
        <v>23</v>
      </c>
      <c r="I29" t="s">
        <v>19</v>
      </c>
      <c r="J29" t="s">
        <v>24</v>
      </c>
      <c r="K29" t="s">
        <v>46</v>
      </c>
      <c r="L29" t="s">
        <v>47</v>
      </c>
      <c r="M29">
        <v>8</v>
      </c>
    </row>
    <row r="30" spans="1:21" x14ac:dyDescent="0.3">
      <c r="A30" t="s">
        <v>81</v>
      </c>
      <c r="B30">
        <v>-1</v>
      </c>
      <c r="C30">
        <v>2030</v>
      </c>
      <c r="D30" t="s">
        <v>55</v>
      </c>
      <c r="E30" t="s">
        <v>56</v>
      </c>
      <c r="F30" t="s">
        <v>69</v>
      </c>
      <c r="G30" t="s">
        <v>28</v>
      </c>
      <c r="H30" t="s">
        <v>23</v>
      </c>
      <c r="I30" t="s">
        <v>19</v>
      </c>
      <c r="J30" t="s">
        <v>24</v>
      </c>
      <c r="K30" t="s">
        <v>48</v>
      </c>
      <c r="L30" t="s">
        <v>47</v>
      </c>
      <c r="M30">
        <v>-2</v>
      </c>
    </row>
    <row r="31" spans="1:21" x14ac:dyDescent="0.3">
      <c r="A31" t="s">
        <v>81</v>
      </c>
      <c r="B31">
        <v>-1</v>
      </c>
      <c r="C31">
        <v>2030</v>
      </c>
      <c r="D31" t="s">
        <v>55</v>
      </c>
      <c r="E31" t="s">
        <v>56</v>
      </c>
      <c r="F31" t="s">
        <v>69</v>
      </c>
      <c r="G31" t="s">
        <v>58</v>
      </c>
      <c r="H31" t="s">
        <v>21</v>
      </c>
      <c r="I31" t="s">
        <v>19</v>
      </c>
      <c r="J31" t="s">
        <v>22</v>
      </c>
      <c r="K31" t="s">
        <v>46</v>
      </c>
      <c r="L31" t="s">
        <v>47</v>
      </c>
      <c r="M31">
        <v>11</v>
      </c>
    </row>
    <row r="32" spans="1:21" x14ac:dyDescent="0.3">
      <c r="A32" t="s">
        <v>81</v>
      </c>
      <c r="B32">
        <v>-1</v>
      </c>
      <c r="C32">
        <v>2030</v>
      </c>
      <c r="D32" t="s">
        <v>55</v>
      </c>
      <c r="E32" t="s">
        <v>56</v>
      </c>
      <c r="F32" t="s">
        <v>69</v>
      </c>
      <c r="G32" t="s">
        <v>58</v>
      </c>
      <c r="H32" t="s">
        <v>21</v>
      </c>
      <c r="I32" t="s">
        <v>19</v>
      </c>
      <c r="J32" t="s">
        <v>22</v>
      </c>
      <c r="K32" t="s">
        <v>48</v>
      </c>
      <c r="L32" t="s">
        <v>47</v>
      </c>
      <c r="M32">
        <v>-2.75</v>
      </c>
    </row>
    <row r="33" spans="1:13" x14ac:dyDescent="0.3">
      <c r="A33" t="s">
        <v>81</v>
      </c>
      <c r="B33">
        <v>-1</v>
      </c>
      <c r="C33">
        <v>2030</v>
      </c>
      <c r="D33" t="s">
        <v>55</v>
      </c>
      <c r="E33" t="s">
        <v>56</v>
      </c>
      <c r="F33" t="s">
        <v>69</v>
      </c>
      <c r="G33" t="s">
        <v>29</v>
      </c>
      <c r="H33" t="s">
        <v>21</v>
      </c>
      <c r="I33" t="s">
        <v>19</v>
      </c>
      <c r="J33" t="s">
        <v>22</v>
      </c>
      <c r="K33" t="s">
        <v>46</v>
      </c>
      <c r="L33" t="s">
        <v>47</v>
      </c>
      <c r="M33">
        <v>3.3000000000000003</v>
      </c>
    </row>
    <row r="34" spans="1:13" x14ac:dyDescent="0.3">
      <c r="A34" t="s">
        <v>81</v>
      </c>
      <c r="B34">
        <v>-1</v>
      </c>
      <c r="C34">
        <v>2030</v>
      </c>
      <c r="D34" t="s">
        <v>55</v>
      </c>
      <c r="E34" t="s">
        <v>56</v>
      </c>
      <c r="F34" t="s">
        <v>69</v>
      </c>
      <c r="G34" t="s">
        <v>29</v>
      </c>
      <c r="H34" t="s">
        <v>21</v>
      </c>
      <c r="I34" t="s">
        <v>19</v>
      </c>
      <c r="J34" t="s">
        <v>22</v>
      </c>
      <c r="K34" t="s">
        <v>48</v>
      </c>
      <c r="L34" t="s">
        <v>47</v>
      </c>
      <c r="M34">
        <v>-0.82500000000000007</v>
      </c>
    </row>
    <row r="35" spans="1:13" x14ac:dyDescent="0.3">
      <c r="A35" t="s">
        <v>81</v>
      </c>
      <c r="B35">
        <v>-1</v>
      </c>
      <c r="C35">
        <v>2030</v>
      </c>
      <c r="D35" t="s">
        <v>55</v>
      </c>
      <c r="E35" t="s">
        <v>56</v>
      </c>
      <c r="F35" t="s">
        <v>69</v>
      </c>
      <c r="G35" t="s">
        <v>20</v>
      </c>
      <c r="H35" t="s">
        <v>21</v>
      </c>
      <c r="I35" t="s">
        <v>19</v>
      </c>
      <c r="J35" t="s">
        <v>22</v>
      </c>
      <c r="K35" t="s">
        <v>46</v>
      </c>
      <c r="L35" t="s">
        <v>47</v>
      </c>
      <c r="M35">
        <v>7.15</v>
      </c>
    </row>
    <row r="36" spans="1:13" x14ac:dyDescent="0.3">
      <c r="A36" t="s">
        <v>81</v>
      </c>
      <c r="B36">
        <v>-1</v>
      </c>
      <c r="C36">
        <v>2030</v>
      </c>
      <c r="D36" t="s">
        <v>55</v>
      </c>
      <c r="E36" t="s">
        <v>56</v>
      </c>
      <c r="F36" t="s">
        <v>69</v>
      </c>
      <c r="G36" t="s">
        <v>20</v>
      </c>
      <c r="H36" t="s">
        <v>21</v>
      </c>
      <c r="I36" t="s">
        <v>19</v>
      </c>
      <c r="J36" t="s">
        <v>22</v>
      </c>
      <c r="K36" t="s">
        <v>48</v>
      </c>
      <c r="L36" t="s">
        <v>47</v>
      </c>
      <c r="M36">
        <v>-1.7875000000000001</v>
      </c>
    </row>
    <row r="37" spans="1:13" x14ac:dyDescent="0.3">
      <c r="A37" t="s">
        <v>81</v>
      </c>
      <c r="B37">
        <v>-1</v>
      </c>
      <c r="C37">
        <v>2030</v>
      </c>
      <c r="D37" t="s">
        <v>55</v>
      </c>
      <c r="E37" t="s">
        <v>56</v>
      </c>
      <c r="F37" t="s">
        <v>69</v>
      </c>
      <c r="G37" t="s">
        <v>30</v>
      </c>
      <c r="H37" t="s">
        <v>21</v>
      </c>
      <c r="I37" t="s">
        <v>19</v>
      </c>
      <c r="J37" t="s">
        <v>22</v>
      </c>
      <c r="K37" t="s">
        <v>46</v>
      </c>
      <c r="L37" t="s">
        <v>47</v>
      </c>
      <c r="M37">
        <v>0.55000000000000004</v>
      </c>
    </row>
    <row r="38" spans="1:13" x14ac:dyDescent="0.3">
      <c r="A38" t="s">
        <v>81</v>
      </c>
      <c r="B38">
        <v>-1</v>
      </c>
      <c r="C38">
        <v>2030</v>
      </c>
      <c r="D38" t="s">
        <v>55</v>
      </c>
      <c r="E38" t="s">
        <v>56</v>
      </c>
      <c r="F38" t="s">
        <v>69</v>
      </c>
      <c r="G38" t="s">
        <v>30</v>
      </c>
      <c r="H38" t="s">
        <v>21</v>
      </c>
      <c r="I38" t="s">
        <v>19</v>
      </c>
      <c r="J38" t="s">
        <v>22</v>
      </c>
      <c r="K38" t="s">
        <v>48</v>
      </c>
      <c r="L38" t="s">
        <v>47</v>
      </c>
      <c r="M38">
        <v>-0.13750000000000001</v>
      </c>
    </row>
    <row r="39" spans="1:13" x14ac:dyDescent="0.3">
      <c r="A39" t="s">
        <v>81</v>
      </c>
      <c r="B39">
        <v>-1</v>
      </c>
      <c r="C39">
        <v>2030</v>
      </c>
      <c r="D39" t="s">
        <v>55</v>
      </c>
      <c r="E39" t="s">
        <v>56</v>
      </c>
      <c r="F39" t="s">
        <v>69</v>
      </c>
      <c r="G39" t="s">
        <v>62</v>
      </c>
      <c r="H39" t="s">
        <v>21</v>
      </c>
      <c r="I39" t="s">
        <v>19</v>
      </c>
      <c r="J39" t="s">
        <v>22</v>
      </c>
      <c r="K39" t="s">
        <v>49</v>
      </c>
      <c r="L39" t="s">
        <v>47</v>
      </c>
      <c r="M39">
        <v>3.3142180343145085</v>
      </c>
    </row>
    <row r="40" spans="1:13" x14ac:dyDescent="0.3">
      <c r="A40" t="s">
        <v>81</v>
      </c>
      <c r="B40">
        <v>-1</v>
      </c>
      <c r="C40">
        <v>2030</v>
      </c>
      <c r="D40" t="s">
        <v>55</v>
      </c>
      <c r="E40" t="s">
        <v>56</v>
      </c>
      <c r="F40" t="s">
        <v>69</v>
      </c>
      <c r="G40" t="s">
        <v>63</v>
      </c>
      <c r="H40" t="s">
        <v>23</v>
      </c>
      <c r="I40" t="s">
        <v>19</v>
      </c>
      <c r="J40" t="s">
        <v>24</v>
      </c>
      <c r="K40" t="s">
        <v>49</v>
      </c>
      <c r="L40" t="s">
        <v>47</v>
      </c>
      <c r="M40">
        <v>26.096848004485526</v>
      </c>
    </row>
    <row r="41" spans="1:13" x14ac:dyDescent="0.3">
      <c r="A41" t="s">
        <v>81</v>
      </c>
      <c r="B41">
        <v>-1</v>
      </c>
      <c r="C41">
        <v>2040</v>
      </c>
      <c r="D41" t="s">
        <v>55</v>
      </c>
      <c r="E41" t="s">
        <v>56</v>
      </c>
      <c r="F41" t="s">
        <v>57</v>
      </c>
      <c r="G41" t="s">
        <v>43</v>
      </c>
      <c r="H41" t="s">
        <v>40</v>
      </c>
      <c r="I41" t="s">
        <v>19</v>
      </c>
      <c r="J41" t="s">
        <v>27</v>
      </c>
      <c r="K41" t="s">
        <v>46</v>
      </c>
      <c r="L41" t="s">
        <v>47</v>
      </c>
      <c r="M41">
        <v>25.75</v>
      </c>
    </row>
    <row r="42" spans="1:13" x14ac:dyDescent="0.3">
      <c r="A42" t="s">
        <v>81</v>
      </c>
      <c r="B42">
        <v>-1</v>
      </c>
      <c r="C42">
        <v>2040</v>
      </c>
      <c r="D42" t="s">
        <v>55</v>
      </c>
      <c r="E42" t="s">
        <v>56</v>
      </c>
      <c r="F42" t="s">
        <v>57</v>
      </c>
      <c r="G42" t="s">
        <v>43</v>
      </c>
      <c r="H42" t="s">
        <v>40</v>
      </c>
      <c r="I42" t="s">
        <v>19</v>
      </c>
      <c r="J42" t="s">
        <v>27</v>
      </c>
      <c r="K42" t="s">
        <v>48</v>
      </c>
      <c r="L42" t="s">
        <v>47</v>
      </c>
      <c r="M42">
        <v>-25.75</v>
      </c>
    </row>
    <row r="43" spans="1:13" x14ac:dyDescent="0.3">
      <c r="A43" t="s">
        <v>81</v>
      </c>
      <c r="B43">
        <v>-1</v>
      </c>
      <c r="C43">
        <v>2040</v>
      </c>
      <c r="D43" t="s">
        <v>55</v>
      </c>
      <c r="E43" t="s">
        <v>56</v>
      </c>
      <c r="F43" t="s">
        <v>57</v>
      </c>
      <c r="G43" t="s">
        <v>44</v>
      </c>
      <c r="H43" t="s">
        <v>45</v>
      </c>
      <c r="I43" t="s">
        <v>19</v>
      </c>
      <c r="J43" t="s">
        <v>27</v>
      </c>
      <c r="K43" t="s">
        <v>46</v>
      </c>
      <c r="L43" t="s">
        <v>47</v>
      </c>
      <c r="M43">
        <v>1.7</v>
      </c>
    </row>
    <row r="44" spans="1:13" x14ac:dyDescent="0.3">
      <c r="A44" t="s">
        <v>81</v>
      </c>
      <c r="B44">
        <v>-1</v>
      </c>
      <c r="C44">
        <v>2040</v>
      </c>
      <c r="D44" t="s">
        <v>55</v>
      </c>
      <c r="E44" t="s">
        <v>56</v>
      </c>
      <c r="F44" t="s">
        <v>57</v>
      </c>
      <c r="G44" t="s">
        <v>44</v>
      </c>
      <c r="H44" t="s">
        <v>45</v>
      </c>
      <c r="I44" t="s">
        <v>19</v>
      </c>
      <c r="J44" t="s">
        <v>27</v>
      </c>
      <c r="K44" t="s">
        <v>48</v>
      </c>
      <c r="L44" t="s">
        <v>47</v>
      </c>
      <c r="M44">
        <v>-1.2750000000000001</v>
      </c>
    </row>
    <row r="45" spans="1:13" x14ac:dyDescent="0.3">
      <c r="A45" t="s">
        <v>81</v>
      </c>
      <c r="B45">
        <v>-1</v>
      </c>
      <c r="C45">
        <v>2040</v>
      </c>
      <c r="D45" t="s">
        <v>55</v>
      </c>
      <c r="E45" t="s">
        <v>56</v>
      </c>
      <c r="F45" t="s">
        <v>57</v>
      </c>
      <c r="G45" t="s">
        <v>31</v>
      </c>
      <c r="H45" t="s">
        <v>18</v>
      </c>
      <c r="I45" t="s">
        <v>19</v>
      </c>
      <c r="J45" t="s">
        <v>32</v>
      </c>
      <c r="K45" t="s">
        <v>46</v>
      </c>
      <c r="L45" t="s">
        <v>47</v>
      </c>
      <c r="M45">
        <v>31.5</v>
      </c>
    </row>
    <row r="46" spans="1:13" x14ac:dyDescent="0.3">
      <c r="A46" t="s">
        <v>81</v>
      </c>
      <c r="B46">
        <v>-1</v>
      </c>
      <c r="C46">
        <v>2040</v>
      </c>
      <c r="D46" t="s">
        <v>55</v>
      </c>
      <c r="E46" t="s">
        <v>56</v>
      </c>
      <c r="F46" t="s">
        <v>57</v>
      </c>
      <c r="G46" t="s">
        <v>54</v>
      </c>
      <c r="H46" t="s">
        <v>39</v>
      </c>
      <c r="I46" t="s">
        <v>19</v>
      </c>
      <c r="J46" t="s">
        <v>27</v>
      </c>
      <c r="K46" t="s">
        <v>46</v>
      </c>
      <c r="L46" t="s">
        <v>47</v>
      </c>
      <c r="M46">
        <v>20</v>
      </c>
    </row>
    <row r="47" spans="1:13" x14ac:dyDescent="0.3">
      <c r="A47" t="s">
        <v>81</v>
      </c>
      <c r="B47">
        <v>-1</v>
      </c>
      <c r="C47">
        <v>2040</v>
      </c>
      <c r="D47" t="s">
        <v>55</v>
      </c>
      <c r="E47" t="s">
        <v>56</v>
      </c>
      <c r="F47" t="s">
        <v>57</v>
      </c>
      <c r="G47" t="s">
        <v>54</v>
      </c>
      <c r="H47" t="s">
        <v>39</v>
      </c>
      <c r="I47" t="s">
        <v>19</v>
      </c>
      <c r="J47" t="s">
        <v>27</v>
      </c>
      <c r="K47" t="s">
        <v>48</v>
      </c>
      <c r="L47" t="s">
        <v>47</v>
      </c>
      <c r="M47">
        <v>-20</v>
      </c>
    </row>
    <row r="48" spans="1:13" x14ac:dyDescent="0.3">
      <c r="A48" t="s">
        <v>81</v>
      </c>
      <c r="B48">
        <v>-1</v>
      </c>
      <c r="C48">
        <v>2040</v>
      </c>
      <c r="D48" t="s">
        <v>55</v>
      </c>
      <c r="E48" t="s">
        <v>56</v>
      </c>
      <c r="F48" t="s">
        <v>57</v>
      </c>
      <c r="G48" t="s">
        <v>52</v>
      </c>
      <c r="H48" t="s">
        <v>53</v>
      </c>
      <c r="I48" t="s">
        <v>19</v>
      </c>
      <c r="J48" t="s">
        <v>27</v>
      </c>
      <c r="K48" t="s">
        <v>46</v>
      </c>
      <c r="L48" t="s">
        <v>47</v>
      </c>
      <c r="M48">
        <v>1.7</v>
      </c>
    </row>
    <row r="49" spans="1:13" x14ac:dyDescent="0.3">
      <c r="A49" t="s">
        <v>81</v>
      </c>
      <c r="B49">
        <v>-1</v>
      </c>
      <c r="C49">
        <v>2040</v>
      </c>
      <c r="D49" t="s">
        <v>55</v>
      </c>
      <c r="E49" t="s">
        <v>56</v>
      </c>
      <c r="F49" t="s">
        <v>57</v>
      </c>
      <c r="G49" t="s">
        <v>52</v>
      </c>
      <c r="H49" t="s">
        <v>53</v>
      </c>
      <c r="I49" t="s">
        <v>19</v>
      </c>
      <c r="J49" t="s">
        <v>27</v>
      </c>
      <c r="K49" t="s">
        <v>48</v>
      </c>
      <c r="L49" t="s">
        <v>47</v>
      </c>
      <c r="M49">
        <v>-1.7</v>
      </c>
    </row>
    <row r="50" spans="1:13" x14ac:dyDescent="0.3">
      <c r="A50" t="s">
        <v>81</v>
      </c>
      <c r="B50">
        <v>-1</v>
      </c>
      <c r="C50">
        <v>2040</v>
      </c>
      <c r="D50" t="s">
        <v>55</v>
      </c>
      <c r="E50" t="s">
        <v>56</v>
      </c>
      <c r="F50" t="s">
        <v>57</v>
      </c>
      <c r="G50" t="s">
        <v>11</v>
      </c>
      <c r="H50" t="s">
        <v>12</v>
      </c>
      <c r="I50" t="s">
        <v>13</v>
      </c>
      <c r="J50" t="s">
        <v>14</v>
      </c>
      <c r="K50" t="s">
        <v>49</v>
      </c>
      <c r="L50" t="s">
        <v>47</v>
      </c>
      <c r="M50">
        <v>0.53574544709786664</v>
      </c>
    </row>
    <row r="51" spans="1:13" x14ac:dyDescent="0.3">
      <c r="A51" t="s">
        <v>81</v>
      </c>
      <c r="B51">
        <v>-1</v>
      </c>
      <c r="C51">
        <v>2040</v>
      </c>
      <c r="D51" t="s">
        <v>55</v>
      </c>
      <c r="E51" t="s">
        <v>56</v>
      </c>
      <c r="F51" t="s">
        <v>57</v>
      </c>
      <c r="G51" t="s">
        <v>59</v>
      </c>
      <c r="H51" t="s">
        <v>12</v>
      </c>
      <c r="I51" t="s">
        <v>13</v>
      </c>
      <c r="J51" t="s">
        <v>14</v>
      </c>
      <c r="K51" t="s">
        <v>49</v>
      </c>
      <c r="L51" t="s">
        <v>47</v>
      </c>
      <c r="M51">
        <v>4.0150039674721656</v>
      </c>
    </row>
    <row r="52" spans="1:13" x14ac:dyDescent="0.3">
      <c r="A52" t="s">
        <v>81</v>
      </c>
      <c r="B52">
        <v>-1</v>
      </c>
      <c r="C52">
        <v>2040</v>
      </c>
      <c r="D52" t="s">
        <v>55</v>
      </c>
      <c r="E52" t="s">
        <v>56</v>
      </c>
      <c r="F52" t="s">
        <v>57</v>
      </c>
      <c r="G52" t="s">
        <v>60</v>
      </c>
      <c r="H52" t="s">
        <v>12</v>
      </c>
      <c r="I52" t="s">
        <v>13</v>
      </c>
      <c r="J52" t="s">
        <v>14</v>
      </c>
      <c r="K52" t="s">
        <v>49</v>
      </c>
      <c r="L52" t="s">
        <v>47</v>
      </c>
      <c r="M52">
        <v>9.8214495109105577</v>
      </c>
    </row>
    <row r="53" spans="1:13" x14ac:dyDescent="0.3">
      <c r="A53" t="s">
        <v>81</v>
      </c>
      <c r="B53">
        <v>-1</v>
      </c>
      <c r="C53">
        <v>2040</v>
      </c>
      <c r="D53" t="s">
        <v>55</v>
      </c>
      <c r="E53" t="s">
        <v>56</v>
      </c>
      <c r="F53" t="s">
        <v>57</v>
      </c>
      <c r="G53" t="s">
        <v>66</v>
      </c>
      <c r="H53" t="s">
        <v>13</v>
      </c>
      <c r="I53" t="s">
        <v>13</v>
      </c>
      <c r="J53" t="s">
        <v>17</v>
      </c>
      <c r="K53" t="s">
        <v>49</v>
      </c>
      <c r="L53" t="s">
        <v>47</v>
      </c>
      <c r="M53">
        <v>94.02129126955829</v>
      </c>
    </row>
    <row r="54" spans="1:13" x14ac:dyDescent="0.3">
      <c r="A54" t="s">
        <v>81</v>
      </c>
      <c r="B54">
        <v>-1</v>
      </c>
      <c r="C54">
        <v>2040</v>
      </c>
      <c r="D54" t="s">
        <v>55</v>
      </c>
      <c r="E54" t="s">
        <v>56</v>
      </c>
      <c r="F54" t="s">
        <v>69</v>
      </c>
      <c r="G54" t="s">
        <v>28</v>
      </c>
      <c r="H54" t="s">
        <v>23</v>
      </c>
      <c r="I54" t="s">
        <v>19</v>
      </c>
      <c r="J54" t="s">
        <v>24</v>
      </c>
      <c r="K54" t="s">
        <v>46</v>
      </c>
      <c r="L54" t="s">
        <v>47</v>
      </c>
      <c r="M54">
        <v>8</v>
      </c>
    </row>
    <row r="55" spans="1:13" x14ac:dyDescent="0.3">
      <c r="A55" t="s">
        <v>81</v>
      </c>
      <c r="B55">
        <v>-1</v>
      </c>
      <c r="C55">
        <v>2040</v>
      </c>
      <c r="D55" t="s">
        <v>55</v>
      </c>
      <c r="E55" t="s">
        <v>56</v>
      </c>
      <c r="F55" t="s">
        <v>69</v>
      </c>
      <c r="G55" t="s">
        <v>28</v>
      </c>
      <c r="H55" t="s">
        <v>23</v>
      </c>
      <c r="I55" t="s">
        <v>19</v>
      </c>
      <c r="J55" t="s">
        <v>24</v>
      </c>
      <c r="K55" t="s">
        <v>48</v>
      </c>
      <c r="L55" t="s">
        <v>47</v>
      </c>
      <c r="M55">
        <v>-6</v>
      </c>
    </row>
    <row r="56" spans="1:13" x14ac:dyDescent="0.3">
      <c r="A56" t="s">
        <v>81</v>
      </c>
      <c r="B56">
        <v>-1</v>
      </c>
      <c r="C56">
        <v>2040</v>
      </c>
      <c r="D56" t="s">
        <v>55</v>
      </c>
      <c r="E56" t="s">
        <v>56</v>
      </c>
      <c r="F56" t="s">
        <v>69</v>
      </c>
      <c r="G56" t="s">
        <v>58</v>
      </c>
      <c r="H56" t="s">
        <v>21</v>
      </c>
      <c r="I56" t="s">
        <v>19</v>
      </c>
      <c r="J56" t="s">
        <v>22</v>
      </c>
      <c r="K56" t="s">
        <v>46</v>
      </c>
      <c r="L56" t="s">
        <v>47</v>
      </c>
      <c r="M56">
        <v>11</v>
      </c>
    </row>
    <row r="57" spans="1:13" x14ac:dyDescent="0.3">
      <c r="A57" t="s">
        <v>81</v>
      </c>
      <c r="B57">
        <v>-1</v>
      </c>
      <c r="C57">
        <v>2040</v>
      </c>
      <c r="D57" t="s">
        <v>55</v>
      </c>
      <c r="E57" t="s">
        <v>56</v>
      </c>
      <c r="F57" t="s">
        <v>69</v>
      </c>
      <c r="G57" t="s">
        <v>58</v>
      </c>
      <c r="H57" t="s">
        <v>21</v>
      </c>
      <c r="I57" t="s">
        <v>19</v>
      </c>
      <c r="J57" t="s">
        <v>22</v>
      </c>
      <c r="K57" t="s">
        <v>48</v>
      </c>
      <c r="L57" t="s">
        <v>47</v>
      </c>
      <c r="M57">
        <v>-8.25</v>
      </c>
    </row>
    <row r="58" spans="1:13" x14ac:dyDescent="0.3">
      <c r="A58" t="s">
        <v>81</v>
      </c>
      <c r="B58">
        <v>-1</v>
      </c>
      <c r="C58">
        <v>2040</v>
      </c>
      <c r="D58" t="s">
        <v>55</v>
      </c>
      <c r="E58" t="s">
        <v>56</v>
      </c>
      <c r="F58" t="s">
        <v>69</v>
      </c>
      <c r="G58" t="s">
        <v>29</v>
      </c>
      <c r="H58" t="s">
        <v>21</v>
      </c>
      <c r="I58" t="s">
        <v>19</v>
      </c>
      <c r="J58" t="s">
        <v>22</v>
      </c>
      <c r="K58" t="s">
        <v>46</v>
      </c>
      <c r="L58" t="s">
        <v>47</v>
      </c>
      <c r="M58">
        <v>3.3000000000000003</v>
      </c>
    </row>
    <row r="59" spans="1:13" x14ac:dyDescent="0.3">
      <c r="A59" t="s">
        <v>81</v>
      </c>
      <c r="B59">
        <v>-1</v>
      </c>
      <c r="C59">
        <v>2040</v>
      </c>
      <c r="D59" t="s">
        <v>55</v>
      </c>
      <c r="E59" t="s">
        <v>56</v>
      </c>
      <c r="F59" t="s">
        <v>69</v>
      </c>
      <c r="G59" t="s">
        <v>29</v>
      </c>
      <c r="H59" t="s">
        <v>21</v>
      </c>
      <c r="I59" t="s">
        <v>19</v>
      </c>
      <c r="J59" t="s">
        <v>22</v>
      </c>
      <c r="K59" t="s">
        <v>48</v>
      </c>
      <c r="L59" t="s">
        <v>47</v>
      </c>
      <c r="M59">
        <v>-2.4750000000000001</v>
      </c>
    </row>
    <row r="60" spans="1:13" x14ac:dyDescent="0.3">
      <c r="A60" t="s">
        <v>81</v>
      </c>
      <c r="B60">
        <v>-1</v>
      </c>
      <c r="C60">
        <v>2040</v>
      </c>
      <c r="D60" t="s">
        <v>55</v>
      </c>
      <c r="E60" t="s">
        <v>56</v>
      </c>
      <c r="F60" t="s">
        <v>69</v>
      </c>
      <c r="G60" t="s">
        <v>20</v>
      </c>
      <c r="H60" t="s">
        <v>21</v>
      </c>
      <c r="I60" t="s">
        <v>19</v>
      </c>
      <c r="J60" t="s">
        <v>22</v>
      </c>
      <c r="K60" t="s">
        <v>46</v>
      </c>
      <c r="L60" t="s">
        <v>47</v>
      </c>
      <c r="M60">
        <v>7.15</v>
      </c>
    </row>
    <row r="61" spans="1:13" x14ac:dyDescent="0.3">
      <c r="A61" t="s">
        <v>81</v>
      </c>
      <c r="B61">
        <v>-1</v>
      </c>
      <c r="C61">
        <v>2040</v>
      </c>
      <c r="D61" t="s">
        <v>55</v>
      </c>
      <c r="E61" t="s">
        <v>56</v>
      </c>
      <c r="F61" t="s">
        <v>69</v>
      </c>
      <c r="G61" t="s">
        <v>20</v>
      </c>
      <c r="H61" t="s">
        <v>21</v>
      </c>
      <c r="I61" t="s">
        <v>19</v>
      </c>
      <c r="J61" t="s">
        <v>22</v>
      </c>
      <c r="K61" t="s">
        <v>48</v>
      </c>
      <c r="L61" t="s">
        <v>47</v>
      </c>
      <c r="M61">
        <v>-5.3624999999999998</v>
      </c>
    </row>
    <row r="62" spans="1:13" x14ac:dyDescent="0.3">
      <c r="A62" t="s">
        <v>81</v>
      </c>
      <c r="B62">
        <v>-1</v>
      </c>
      <c r="C62">
        <v>2040</v>
      </c>
      <c r="D62" t="s">
        <v>55</v>
      </c>
      <c r="E62" t="s">
        <v>56</v>
      </c>
      <c r="F62" t="s">
        <v>69</v>
      </c>
      <c r="G62" t="s">
        <v>30</v>
      </c>
      <c r="H62" t="s">
        <v>21</v>
      </c>
      <c r="I62" t="s">
        <v>19</v>
      </c>
      <c r="J62" t="s">
        <v>22</v>
      </c>
      <c r="K62" t="s">
        <v>46</v>
      </c>
      <c r="L62" t="s">
        <v>47</v>
      </c>
      <c r="M62">
        <v>0.55000000000000004</v>
      </c>
    </row>
    <row r="63" spans="1:13" x14ac:dyDescent="0.3">
      <c r="A63" t="s">
        <v>81</v>
      </c>
      <c r="B63">
        <v>-1</v>
      </c>
      <c r="C63">
        <v>2040</v>
      </c>
      <c r="D63" t="s">
        <v>55</v>
      </c>
      <c r="E63" t="s">
        <v>56</v>
      </c>
      <c r="F63" t="s">
        <v>69</v>
      </c>
      <c r="G63" t="s">
        <v>30</v>
      </c>
      <c r="H63" t="s">
        <v>21</v>
      </c>
      <c r="I63" t="s">
        <v>19</v>
      </c>
      <c r="J63" t="s">
        <v>22</v>
      </c>
      <c r="K63" t="s">
        <v>48</v>
      </c>
      <c r="L63" t="s">
        <v>47</v>
      </c>
      <c r="M63">
        <v>-0.41250000000000003</v>
      </c>
    </row>
    <row r="64" spans="1:13" x14ac:dyDescent="0.3">
      <c r="A64" t="s">
        <v>81</v>
      </c>
      <c r="B64">
        <v>-1</v>
      </c>
      <c r="C64">
        <v>2040</v>
      </c>
      <c r="D64" t="s">
        <v>55</v>
      </c>
      <c r="E64" t="s">
        <v>56</v>
      </c>
      <c r="F64" t="s">
        <v>69</v>
      </c>
      <c r="G64" t="s">
        <v>62</v>
      </c>
      <c r="H64" t="s">
        <v>21</v>
      </c>
      <c r="I64" t="s">
        <v>19</v>
      </c>
      <c r="J64" t="s">
        <v>22</v>
      </c>
      <c r="K64" t="s">
        <v>49</v>
      </c>
      <c r="L64" t="s">
        <v>47</v>
      </c>
      <c r="M64">
        <v>3.3142180343145085</v>
      </c>
    </row>
    <row r="65" spans="1:13" x14ac:dyDescent="0.3">
      <c r="A65" t="s">
        <v>81</v>
      </c>
      <c r="B65">
        <v>-1</v>
      </c>
      <c r="C65">
        <v>2040</v>
      </c>
      <c r="D65" t="s">
        <v>55</v>
      </c>
      <c r="E65" t="s">
        <v>56</v>
      </c>
      <c r="F65" t="s">
        <v>69</v>
      </c>
      <c r="G65" t="s">
        <v>64</v>
      </c>
      <c r="H65" t="s">
        <v>21</v>
      </c>
      <c r="I65" t="s">
        <v>19</v>
      </c>
      <c r="J65" t="s">
        <v>22</v>
      </c>
      <c r="K65" t="s">
        <v>49</v>
      </c>
      <c r="L65" t="s">
        <v>47</v>
      </c>
      <c r="M65">
        <v>44.886851250774008</v>
      </c>
    </row>
    <row r="66" spans="1:13" x14ac:dyDescent="0.3">
      <c r="A66" t="s">
        <v>81</v>
      </c>
      <c r="B66">
        <v>-1</v>
      </c>
      <c r="C66">
        <v>2040</v>
      </c>
      <c r="D66" t="s">
        <v>55</v>
      </c>
      <c r="E66" t="s">
        <v>56</v>
      </c>
      <c r="F66" t="s">
        <v>69</v>
      </c>
      <c r="G66" t="s">
        <v>63</v>
      </c>
      <c r="H66" t="s">
        <v>23</v>
      </c>
      <c r="I66" t="s">
        <v>19</v>
      </c>
      <c r="J66" t="s">
        <v>24</v>
      </c>
      <c r="K66" t="s">
        <v>49</v>
      </c>
      <c r="L66" t="s">
        <v>47</v>
      </c>
      <c r="M66">
        <v>26.096848004485526</v>
      </c>
    </row>
    <row r="67" spans="1:13" x14ac:dyDescent="0.3">
      <c r="A67" t="s">
        <v>81</v>
      </c>
      <c r="B67">
        <v>-1</v>
      </c>
      <c r="C67">
        <v>2040</v>
      </c>
      <c r="D67" t="s">
        <v>55</v>
      </c>
      <c r="E67" t="s">
        <v>56</v>
      </c>
      <c r="F67" t="s">
        <v>69</v>
      </c>
      <c r="G67" t="s">
        <v>65</v>
      </c>
      <c r="H67" t="s">
        <v>23</v>
      </c>
      <c r="I67" t="s">
        <v>19</v>
      </c>
      <c r="J67" t="s">
        <v>24</v>
      </c>
      <c r="K67" t="s">
        <v>49</v>
      </c>
      <c r="L67" t="s">
        <v>47</v>
      </c>
      <c r="M67">
        <v>18.659298529708089</v>
      </c>
    </row>
    <row r="68" spans="1:13" x14ac:dyDescent="0.3">
      <c r="A68" t="s">
        <v>81</v>
      </c>
      <c r="B68">
        <v>-1</v>
      </c>
      <c r="C68">
        <v>2050</v>
      </c>
      <c r="D68" t="s">
        <v>55</v>
      </c>
      <c r="E68" t="s">
        <v>56</v>
      </c>
      <c r="F68" t="s">
        <v>57</v>
      </c>
      <c r="G68" t="s">
        <v>43</v>
      </c>
      <c r="H68" t="s">
        <v>40</v>
      </c>
      <c r="I68" t="s">
        <v>19</v>
      </c>
      <c r="J68" t="s">
        <v>27</v>
      </c>
      <c r="K68" t="s">
        <v>46</v>
      </c>
      <c r="L68" t="s">
        <v>47</v>
      </c>
      <c r="M68">
        <v>25.75</v>
      </c>
    </row>
    <row r="69" spans="1:13" x14ac:dyDescent="0.3">
      <c r="A69" t="s">
        <v>81</v>
      </c>
      <c r="B69">
        <v>-1</v>
      </c>
      <c r="C69">
        <v>2050</v>
      </c>
      <c r="D69" t="s">
        <v>55</v>
      </c>
      <c r="E69" t="s">
        <v>56</v>
      </c>
      <c r="F69" t="s">
        <v>57</v>
      </c>
      <c r="G69" t="s">
        <v>43</v>
      </c>
      <c r="H69" t="s">
        <v>40</v>
      </c>
      <c r="I69" t="s">
        <v>19</v>
      </c>
      <c r="J69" t="s">
        <v>27</v>
      </c>
      <c r="K69" t="s">
        <v>48</v>
      </c>
      <c r="L69" t="s">
        <v>47</v>
      </c>
      <c r="M69">
        <v>-25.75</v>
      </c>
    </row>
    <row r="70" spans="1:13" x14ac:dyDescent="0.3">
      <c r="A70" t="s">
        <v>81</v>
      </c>
      <c r="B70">
        <v>-1</v>
      </c>
      <c r="C70">
        <v>2050</v>
      </c>
      <c r="D70" t="s">
        <v>55</v>
      </c>
      <c r="E70" t="s">
        <v>56</v>
      </c>
      <c r="F70" t="s">
        <v>57</v>
      </c>
      <c r="G70" t="s">
        <v>44</v>
      </c>
      <c r="H70" t="s">
        <v>45</v>
      </c>
      <c r="I70" t="s">
        <v>19</v>
      </c>
      <c r="J70" t="s">
        <v>27</v>
      </c>
      <c r="K70" t="s">
        <v>46</v>
      </c>
      <c r="L70" t="s">
        <v>47</v>
      </c>
      <c r="M70">
        <v>1.7</v>
      </c>
    </row>
    <row r="71" spans="1:13" x14ac:dyDescent="0.3">
      <c r="A71" t="s">
        <v>81</v>
      </c>
      <c r="B71">
        <v>-1</v>
      </c>
      <c r="C71">
        <v>2050</v>
      </c>
      <c r="D71" t="s">
        <v>55</v>
      </c>
      <c r="E71" t="s">
        <v>56</v>
      </c>
      <c r="F71" t="s">
        <v>57</v>
      </c>
      <c r="G71" t="s">
        <v>44</v>
      </c>
      <c r="H71" t="s">
        <v>45</v>
      </c>
      <c r="I71" t="s">
        <v>19</v>
      </c>
      <c r="J71" t="s">
        <v>27</v>
      </c>
      <c r="K71" t="s">
        <v>48</v>
      </c>
      <c r="L71" t="s">
        <v>47</v>
      </c>
      <c r="M71">
        <v>-1.7</v>
      </c>
    </row>
    <row r="72" spans="1:13" x14ac:dyDescent="0.3">
      <c r="A72" t="s">
        <v>81</v>
      </c>
      <c r="B72">
        <v>-1</v>
      </c>
      <c r="C72">
        <v>2050</v>
      </c>
      <c r="D72" t="s">
        <v>55</v>
      </c>
      <c r="E72" t="s">
        <v>56</v>
      </c>
      <c r="F72" t="s">
        <v>57</v>
      </c>
      <c r="G72" t="s">
        <v>31</v>
      </c>
      <c r="H72" t="s">
        <v>18</v>
      </c>
      <c r="I72" t="s">
        <v>19</v>
      </c>
      <c r="J72" t="s">
        <v>32</v>
      </c>
      <c r="K72" t="s">
        <v>46</v>
      </c>
      <c r="L72" t="s">
        <v>47</v>
      </c>
      <c r="M72">
        <v>31.5</v>
      </c>
    </row>
    <row r="73" spans="1:13" x14ac:dyDescent="0.3">
      <c r="A73" t="s">
        <v>81</v>
      </c>
      <c r="B73">
        <v>-1</v>
      </c>
      <c r="C73">
        <v>2050</v>
      </c>
      <c r="D73" t="s">
        <v>55</v>
      </c>
      <c r="E73" t="s">
        <v>56</v>
      </c>
      <c r="F73" t="s">
        <v>57</v>
      </c>
      <c r="G73" t="s">
        <v>54</v>
      </c>
      <c r="H73" t="s">
        <v>39</v>
      </c>
      <c r="I73" t="s">
        <v>19</v>
      </c>
      <c r="J73" t="s">
        <v>27</v>
      </c>
      <c r="K73" t="s">
        <v>46</v>
      </c>
      <c r="L73" t="s">
        <v>47</v>
      </c>
      <c r="M73">
        <v>20</v>
      </c>
    </row>
    <row r="74" spans="1:13" x14ac:dyDescent="0.3">
      <c r="A74" t="s">
        <v>81</v>
      </c>
      <c r="B74">
        <v>-1</v>
      </c>
      <c r="C74">
        <v>2050</v>
      </c>
      <c r="D74" t="s">
        <v>55</v>
      </c>
      <c r="E74" t="s">
        <v>56</v>
      </c>
      <c r="F74" t="s">
        <v>57</v>
      </c>
      <c r="G74" t="s">
        <v>54</v>
      </c>
      <c r="H74" t="s">
        <v>39</v>
      </c>
      <c r="I74" t="s">
        <v>19</v>
      </c>
      <c r="J74" t="s">
        <v>27</v>
      </c>
      <c r="K74" t="s">
        <v>48</v>
      </c>
      <c r="L74" t="s">
        <v>47</v>
      </c>
      <c r="M74">
        <v>-20</v>
      </c>
    </row>
    <row r="75" spans="1:13" x14ac:dyDescent="0.3">
      <c r="A75" t="s">
        <v>81</v>
      </c>
      <c r="B75">
        <v>-1</v>
      </c>
      <c r="C75">
        <v>2050</v>
      </c>
      <c r="D75" t="s">
        <v>55</v>
      </c>
      <c r="E75" t="s">
        <v>56</v>
      </c>
      <c r="F75" t="s">
        <v>57</v>
      </c>
      <c r="G75" t="s">
        <v>25</v>
      </c>
      <c r="H75" t="s">
        <v>26</v>
      </c>
      <c r="I75" t="s">
        <v>19</v>
      </c>
      <c r="J75" t="s">
        <v>27</v>
      </c>
      <c r="K75" t="s">
        <v>49</v>
      </c>
      <c r="L75" t="s">
        <v>47</v>
      </c>
      <c r="M75">
        <v>0.60771718948039632</v>
      </c>
    </row>
    <row r="76" spans="1:13" x14ac:dyDescent="0.3">
      <c r="A76" t="s">
        <v>81</v>
      </c>
      <c r="B76">
        <v>-1</v>
      </c>
      <c r="C76">
        <v>2050</v>
      </c>
      <c r="D76" t="s">
        <v>55</v>
      </c>
      <c r="E76" t="s">
        <v>56</v>
      </c>
      <c r="F76" t="s">
        <v>57</v>
      </c>
      <c r="G76" t="s">
        <v>52</v>
      </c>
      <c r="H76" t="s">
        <v>53</v>
      </c>
      <c r="I76" t="s">
        <v>19</v>
      </c>
      <c r="J76" t="s">
        <v>27</v>
      </c>
      <c r="K76" t="s">
        <v>46</v>
      </c>
      <c r="L76" t="s">
        <v>47</v>
      </c>
      <c r="M76">
        <v>1.7</v>
      </c>
    </row>
    <row r="77" spans="1:13" x14ac:dyDescent="0.3">
      <c r="A77" t="s">
        <v>81</v>
      </c>
      <c r="B77">
        <v>-1</v>
      </c>
      <c r="C77">
        <v>2050</v>
      </c>
      <c r="D77" t="s">
        <v>55</v>
      </c>
      <c r="E77" t="s">
        <v>56</v>
      </c>
      <c r="F77" t="s">
        <v>57</v>
      </c>
      <c r="G77" t="s">
        <v>52</v>
      </c>
      <c r="H77" t="s">
        <v>53</v>
      </c>
      <c r="I77" t="s">
        <v>19</v>
      </c>
      <c r="J77" t="s">
        <v>27</v>
      </c>
      <c r="K77" t="s">
        <v>48</v>
      </c>
      <c r="L77" t="s">
        <v>47</v>
      </c>
      <c r="M77">
        <v>-1.7</v>
      </c>
    </row>
    <row r="78" spans="1:13" x14ac:dyDescent="0.3">
      <c r="A78" t="s">
        <v>81</v>
      </c>
      <c r="B78">
        <v>-1</v>
      </c>
      <c r="C78">
        <v>2050</v>
      </c>
      <c r="D78" t="s">
        <v>55</v>
      </c>
      <c r="E78" t="s">
        <v>56</v>
      </c>
      <c r="F78" t="s">
        <v>57</v>
      </c>
      <c r="G78" t="s">
        <v>59</v>
      </c>
      <c r="H78" t="s">
        <v>12</v>
      </c>
      <c r="I78" t="s">
        <v>13</v>
      </c>
      <c r="J78" t="s">
        <v>14</v>
      </c>
      <c r="K78" t="s">
        <v>49</v>
      </c>
      <c r="L78" t="s">
        <v>47</v>
      </c>
      <c r="M78">
        <v>4.0150039674721656</v>
      </c>
    </row>
    <row r="79" spans="1:13" x14ac:dyDescent="0.3">
      <c r="A79" t="s">
        <v>81</v>
      </c>
      <c r="B79">
        <v>-1</v>
      </c>
      <c r="C79">
        <v>2050</v>
      </c>
      <c r="D79" t="s">
        <v>55</v>
      </c>
      <c r="E79" t="s">
        <v>56</v>
      </c>
      <c r="F79" t="s">
        <v>57</v>
      </c>
      <c r="G79" t="s">
        <v>60</v>
      </c>
      <c r="H79" t="s">
        <v>12</v>
      </c>
      <c r="I79" t="s">
        <v>13</v>
      </c>
      <c r="J79" t="s">
        <v>14</v>
      </c>
      <c r="K79" t="s">
        <v>49</v>
      </c>
      <c r="L79" t="s">
        <v>47</v>
      </c>
      <c r="M79">
        <v>9.8214495109105577</v>
      </c>
    </row>
    <row r="80" spans="1:13" x14ac:dyDescent="0.3">
      <c r="A80" t="s">
        <v>81</v>
      </c>
      <c r="B80">
        <v>-1</v>
      </c>
      <c r="C80">
        <v>2050</v>
      </c>
      <c r="D80" t="s">
        <v>55</v>
      </c>
      <c r="E80" t="s">
        <v>56</v>
      </c>
      <c r="F80" t="s">
        <v>57</v>
      </c>
      <c r="G80" t="s">
        <v>16</v>
      </c>
      <c r="H80" t="s">
        <v>12</v>
      </c>
      <c r="I80" t="s">
        <v>13</v>
      </c>
      <c r="J80" t="s">
        <v>14</v>
      </c>
      <c r="K80" t="s">
        <v>49</v>
      </c>
      <c r="L80" t="s">
        <v>47</v>
      </c>
      <c r="M80">
        <v>9.6814878536552396</v>
      </c>
    </row>
    <row r="81" spans="1:13" x14ac:dyDescent="0.3">
      <c r="A81" t="s">
        <v>81</v>
      </c>
      <c r="B81">
        <v>-1</v>
      </c>
      <c r="C81">
        <v>2050</v>
      </c>
      <c r="D81" t="s">
        <v>55</v>
      </c>
      <c r="E81" t="s">
        <v>56</v>
      </c>
      <c r="F81" t="s">
        <v>57</v>
      </c>
      <c r="G81" t="s">
        <v>66</v>
      </c>
      <c r="H81" t="s">
        <v>13</v>
      </c>
      <c r="I81" t="s">
        <v>13</v>
      </c>
      <c r="J81" t="s">
        <v>17</v>
      </c>
      <c r="K81" t="s">
        <v>49</v>
      </c>
      <c r="L81" t="s">
        <v>47</v>
      </c>
      <c r="M81">
        <v>94.02129126955829</v>
      </c>
    </row>
    <row r="82" spans="1:13" x14ac:dyDescent="0.3">
      <c r="A82" t="s">
        <v>81</v>
      </c>
      <c r="B82">
        <v>-1</v>
      </c>
      <c r="C82">
        <v>2050</v>
      </c>
      <c r="D82" t="s">
        <v>55</v>
      </c>
      <c r="E82" t="s">
        <v>56</v>
      </c>
      <c r="F82" t="s">
        <v>57</v>
      </c>
      <c r="G82" t="s">
        <v>61</v>
      </c>
      <c r="H82" t="s">
        <v>13</v>
      </c>
      <c r="I82" t="s">
        <v>13</v>
      </c>
      <c r="J82" t="s">
        <v>17</v>
      </c>
      <c r="K82" t="s">
        <v>49</v>
      </c>
      <c r="L82" t="s">
        <v>47</v>
      </c>
      <c r="M82">
        <v>365.89401881197841</v>
      </c>
    </row>
    <row r="83" spans="1:13" x14ac:dyDescent="0.3">
      <c r="A83" t="s">
        <v>81</v>
      </c>
      <c r="B83">
        <v>-1</v>
      </c>
      <c r="C83">
        <v>2050</v>
      </c>
      <c r="D83" t="s">
        <v>55</v>
      </c>
      <c r="E83" t="s">
        <v>56</v>
      </c>
      <c r="F83" t="s">
        <v>57</v>
      </c>
      <c r="G83" t="s">
        <v>41</v>
      </c>
      <c r="H83" t="s">
        <v>40</v>
      </c>
      <c r="I83" t="s">
        <v>13</v>
      </c>
      <c r="J83" t="s">
        <v>42</v>
      </c>
      <c r="K83" t="s">
        <v>49</v>
      </c>
      <c r="L83" t="s">
        <v>47</v>
      </c>
      <c r="M83">
        <v>1.3648352228478458</v>
      </c>
    </row>
    <row r="84" spans="1:13" x14ac:dyDescent="0.3">
      <c r="A84" t="s">
        <v>81</v>
      </c>
      <c r="B84">
        <v>-1</v>
      </c>
      <c r="C84">
        <v>2050</v>
      </c>
      <c r="D84" t="s">
        <v>55</v>
      </c>
      <c r="E84" t="s">
        <v>56</v>
      </c>
      <c r="F84" t="s">
        <v>69</v>
      </c>
      <c r="G84" t="s">
        <v>28</v>
      </c>
      <c r="H84" t="s">
        <v>23</v>
      </c>
      <c r="I84" t="s">
        <v>19</v>
      </c>
      <c r="J84" t="s">
        <v>24</v>
      </c>
      <c r="K84" t="s">
        <v>46</v>
      </c>
      <c r="L84" t="s">
        <v>47</v>
      </c>
      <c r="M84">
        <v>8</v>
      </c>
    </row>
    <row r="85" spans="1:13" x14ac:dyDescent="0.3">
      <c r="A85" t="s">
        <v>81</v>
      </c>
      <c r="B85">
        <v>-1</v>
      </c>
      <c r="C85">
        <v>2050</v>
      </c>
      <c r="D85" t="s">
        <v>55</v>
      </c>
      <c r="E85" t="s">
        <v>56</v>
      </c>
      <c r="F85" t="s">
        <v>69</v>
      </c>
      <c r="G85" t="s">
        <v>28</v>
      </c>
      <c r="H85" t="s">
        <v>23</v>
      </c>
      <c r="I85" t="s">
        <v>19</v>
      </c>
      <c r="J85" t="s">
        <v>24</v>
      </c>
      <c r="K85" t="s">
        <v>48</v>
      </c>
      <c r="L85" t="s">
        <v>47</v>
      </c>
      <c r="M85">
        <v>-8</v>
      </c>
    </row>
    <row r="86" spans="1:13" x14ac:dyDescent="0.3">
      <c r="A86" t="s">
        <v>81</v>
      </c>
      <c r="B86">
        <v>-1</v>
      </c>
      <c r="C86">
        <v>2050</v>
      </c>
      <c r="D86" t="s">
        <v>55</v>
      </c>
      <c r="E86" t="s">
        <v>56</v>
      </c>
      <c r="F86" t="s">
        <v>69</v>
      </c>
      <c r="G86" t="s">
        <v>58</v>
      </c>
      <c r="H86" t="s">
        <v>21</v>
      </c>
      <c r="I86" t="s">
        <v>19</v>
      </c>
      <c r="J86" t="s">
        <v>22</v>
      </c>
      <c r="K86" t="s">
        <v>46</v>
      </c>
      <c r="L86" t="s">
        <v>47</v>
      </c>
      <c r="M86">
        <v>11</v>
      </c>
    </row>
    <row r="87" spans="1:13" x14ac:dyDescent="0.3">
      <c r="A87" t="s">
        <v>81</v>
      </c>
      <c r="B87">
        <v>-1</v>
      </c>
      <c r="C87">
        <v>2050</v>
      </c>
      <c r="D87" t="s">
        <v>55</v>
      </c>
      <c r="E87" t="s">
        <v>56</v>
      </c>
      <c r="F87" t="s">
        <v>69</v>
      </c>
      <c r="G87" t="s">
        <v>58</v>
      </c>
      <c r="H87" t="s">
        <v>21</v>
      </c>
      <c r="I87" t="s">
        <v>19</v>
      </c>
      <c r="J87" t="s">
        <v>22</v>
      </c>
      <c r="K87" t="s">
        <v>48</v>
      </c>
      <c r="L87" t="s">
        <v>47</v>
      </c>
      <c r="M87">
        <v>-11</v>
      </c>
    </row>
    <row r="88" spans="1:13" x14ac:dyDescent="0.3">
      <c r="A88" t="s">
        <v>81</v>
      </c>
      <c r="B88">
        <v>-1</v>
      </c>
      <c r="C88">
        <v>2050</v>
      </c>
      <c r="D88" t="s">
        <v>55</v>
      </c>
      <c r="E88" t="s">
        <v>56</v>
      </c>
      <c r="F88" t="s">
        <v>69</v>
      </c>
      <c r="G88" t="s">
        <v>29</v>
      </c>
      <c r="H88" t="s">
        <v>21</v>
      </c>
      <c r="I88" t="s">
        <v>19</v>
      </c>
      <c r="J88" t="s">
        <v>22</v>
      </c>
      <c r="K88" t="s">
        <v>46</v>
      </c>
      <c r="L88" t="s">
        <v>47</v>
      </c>
      <c r="M88">
        <v>3.3000000000000003</v>
      </c>
    </row>
    <row r="89" spans="1:13" x14ac:dyDescent="0.3">
      <c r="A89" t="s">
        <v>81</v>
      </c>
      <c r="B89">
        <v>-1</v>
      </c>
      <c r="C89">
        <v>2050</v>
      </c>
      <c r="D89" t="s">
        <v>55</v>
      </c>
      <c r="E89" t="s">
        <v>56</v>
      </c>
      <c r="F89" t="s">
        <v>69</v>
      </c>
      <c r="G89" t="s">
        <v>29</v>
      </c>
      <c r="H89" t="s">
        <v>21</v>
      </c>
      <c r="I89" t="s">
        <v>19</v>
      </c>
      <c r="J89" t="s">
        <v>22</v>
      </c>
      <c r="K89" t="s">
        <v>48</v>
      </c>
      <c r="L89" t="s">
        <v>47</v>
      </c>
      <c r="M89">
        <v>-3.3000000000000003</v>
      </c>
    </row>
    <row r="90" spans="1:13" x14ac:dyDescent="0.3">
      <c r="A90" t="s">
        <v>81</v>
      </c>
      <c r="B90">
        <v>-1</v>
      </c>
      <c r="C90">
        <v>2050</v>
      </c>
      <c r="D90" t="s">
        <v>55</v>
      </c>
      <c r="E90" t="s">
        <v>56</v>
      </c>
      <c r="F90" t="s">
        <v>69</v>
      </c>
      <c r="G90" t="s">
        <v>20</v>
      </c>
      <c r="H90" t="s">
        <v>21</v>
      </c>
      <c r="I90" t="s">
        <v>19</v>
      </c>
      <c r="J90" t="s">
        <v>22</v>
      </c>
      <c r="K90" t="s">
        <v>46</v>
      </c>
      <c r="L90" t="s">
        <v>47</v>
      </c>
      <c r="M90">
        <v>7.15</v>
      </c>
    </row>
    <row r="91" spans="1:13" x14ac:dyDescent="0.3">
      <c r="A91" t="s">
        <v>81</v>
      </c>
      <c r="B91">
        <v>-1</v>
      </c>
      <c r="C91">
        <v>2050</v>
      </c>
      <c r="D91" t="s">
        <v>55</v>
      </c>
      <c r="E91" t="s">
        <v>56</v>
      </c>
      <c r="F91" t="s">
        <v>69</v>
      </c>
      <c r="G91" t="s">
        <v>20</v>
      </c>
      <c r="H91" t="s">
        <v>21</v>
      </c>
      <c r="I91" t="s">
        <v>19</v>
      </c>
      <c r="J91" t="s">
        <v>22</v>
      </c>
      <c r="K91" t="s">
        <v>48</v>
      </c>
      <c r="L91" t="s">
        <v>47</v>
      </c>
      <c r="M91">
        <v>-7.15</v>
      </c>
    </row>
    <row r="92" spans="1:13" x14ac:dyDescent="0.3">
      <c r="A92" t="s">
        <v>81</v>
      </c>
      <c r="B92">
        <v>-1</v>
      </c>
      <c r="C92">
        <v>2050</v>
      </c>
      <c r="D92" t="s">
        <v>55</v>
      </c>
      <c r="E92" t="s">
        <v>56</v>
      </c>
      <c r="F92" t="s">
        <v>69</v>
      </c>
      <c r="G92" t="s">
        <v>30</v>
      </c>
      <c r="H92" t="s">
        <v>21</v>
      </c>
      <c r="I92" t="s">
        <v>19</v>
      </c>
      <c r="J92" t="s">
        <v>22</v>
      </c>
      <c r="K92" t="s">
        <v>46</v>
      </c>
      <c r="L92" t="s">
        <v>47</v>
      </c>
      <c r="M92">
        <v>0.55000000000000004</v>
      </c>
    </row>
    <row r="93" spans="1:13" x14ac:dyDescent="0.3">
      <c r="A93" t="s">
        <v>81</v>
      </c>
      <c r="B93">
        <v>-1</v>
      </c>
      <c r="C93">
        <v>2050</v>
      </c>
      <c r="D93" t="s">
        <v>55</v>
      </c>
      <c r="E93" t="s">
        <v>56</v>
      </c>
      <c r="F93" t="s">
        <v>69</v>
      </c>
      <c r="G93" t="s">
        <v>30</v>
      </c>
      <c r="H93" t="s">
        <v>21</v>
      </c>
      <c r="I93" t="s">
        <v>19</v>
      </c>
      <c r="J93" t="s">
        <v>22</v>
      </c>
      <c r="K93" t="s">
        <v>48</v>
      </c>
      <c r="L93" t="s">
        <v>47</v>
      </c>
      <c r="M93">
        <v>-0.55000000000000004</v>
      </c>
    </row>
    <row r="94" spans="1:13" x14ac:dyDescent="0.3">
      <c r="A94" t="s">
        <v>81</v>
      </c>
      <c r="B94">
        <v>-1</v>
      </c>
      <c r="C94">
        <v>2050</v>
      </c>
      <c r="D94" t="s">
        <v>55</v>
      </c>
      <c r="E94" t="s">
        <v>56</v>
      </c>
      <c r="F94" t="s">
        <v>69</v>
      </c>
      <c r="G94" t="s">
        <v>62</v>
      </c>
      <c r="H94" t="s">
        <v>21</v>
      </c>
      <c r="I94" t="s">
        <v>19</v>
      </c>
      <c r="J94" t="s">
        <v>22</v>
      </c>
      <c r="K94" t="s">
        <v>49</v>
      </c>
      <c r="L94" t="s">
        <v>47</v>
      </c>
      <c r="M94">
        <v>3.3142180343145085</v>
      </c>
    </row>
    <row r="95" spans="1:13" x14ac:dyDescent="0.3">
      <c r="A95" t="s">
        <v>81</v>
      </c>
      <c r="B95">
        <v>-1</v>
      </c>
      <c r="C95">
        <v>2050</v>
      </c>
      <c r="D95" t="s">
        <v>55</v>
      </c>
      <c r="E95" t="s">
        <v>56</v>
      </c>
      <c r="F95" t="s">
        <v>69</v>
      </c>
      <c r="G95" t="s">
        <v>64</v>
      </c>
      <c r="H95" t="s">
        <v>21</v>
      </c>
      <c r="I95" t="s">
        <v>19</v>
      </c>
      <c r="J95" t="s">
        <v>22</v>
      </c>
      <c r="K95" t="s">
        <v>49</v>
      </c>
      <c r="L95" t="s">
        <v>47</v>
      </c>
      <c r="M95">
        <v>44.886851250774008</v>
      </c>
    </row>
    <row r="96" spans="1:13" x14ac:dyDescent="0.3">
      <c r="A96" t="s">
        <v>81</v>
      </c>
      <c r="B96">
        <v>-1</v>
      </c>
      <c r="C96">
        <v>2050</v>
      </c>
      <c r="D96" t="s">
        <v>55</v>
      </c>
      <c r="E96" t="s">
        <v>56</v>
      </c>
      <c r="F96" t="s">
        <v>69</v>
      </c>
      <c r="G96" t="s">
        <v>68</v>
      </c>
      <c r="H96" t="s">
        <v>21</v>
      </c>
      <c r="I96" t="s">
        <v>19</v>
      </c>
      <c r="J96" t="s">
        <v>22</v>
      </c>
      <c r="K96" t="s">
        <v>49</v>
      </c>
      <c r="L96" t="s">
        <v>47</v>
      </c>
      <c r="M96">
        <v>22.193817233418393</v>
      </c>
    </row>
    <row r="97" spans="1:13" x14ac:dyDescent="0.3">
      <c r="A97" t="s">
        <v>81</v>
      </c>
      <c r="B97">
        <v>-1</v>
      </c>
      <c r="C97">
        <v>2050</v>
      </c>
      <c r="D97" t="s">
        <v>55</v>
      </c>
      <c r="E97" t="s">
        <v>56</v>
      </c>
      <c r="F97" t="s">
        <v>69</v>
      </c>
      <c r="G97" t="s">
        <v>63</v>
      </c>
      <c r="H97" t="s">
        <v>23</v>
      </c>
      <c r="I97" t="s">
        <v>19</v>
      </c>
      <c r="J97" t="s">
        <v>24</v>
      </c>
      <c r="K97" t="s">
        <v>49</v>
      </c>
      <c r="L97" t="s">
        <v>47</v>
      </c>
      <c r="M97">
        <v>26.096848004485526</v>
      </c>
    </row>
    <row r="98" spans="1:13" x14ac:dyDescent="0.3">
      <c r="A98" t="s">
        <v>81</v>
      </c>
      <c r="B98">
        <v>-1</v>
      </c>
      <c r="C98">
        <v>2050</v>
      </c>
      <c r="D98" t="s">
        <v>55</v>
      </c>
      <c r="E98" t="s">
        <v>56</v>
      </c>
      <c r="F98" t="s">
        <v>69</v>
      </c>
      <c r="G98" t="s">
        <v>65</v>
      </c>
      <c r="H98" t="s">
        <v>23</v>
      </c>
      <c r="I98" t="s">
        <v>19</v>
      </c>
      <c r="J98" t="s">
        <v>24</v>
      </c>
      <c r="K98" t="s">
        <v>49</v>
      </c>
      <c r="L98" t="s">
        <v>47</v>
      </c>
      <c r="M98">
        <v>18.659298529708089</v>
      </c>
    </row>
    <row r="99" spans="1:13" x14ac:dyDescent="0.3">
      <c r="A99" t="s">
        <v>81</v>
      </c>
      <c r="B99">
        <v>-1</v>
      </c>
      <c r="C99">
        <v>2050</v>
      </c>
      <c r="D99" t="s">
        <v>55</v>
      </c>
      <c r="E99" t="s">
        <v>56</v>
      </c>
      <c r="F99" t="s">
        <v>69</v>
      </c>
      <c r="G99" t="s">
        <v>67</v>
      </c>
      <c r="H99" t="s">
        <v>23</v>
      </c>
      <c r="I99" t="s">
        <v>19</v>
      </c>
      <c r="J99" t="s">
        <v>24</v>
      </c>
      <c r="K99" t="s">
        <v>49</v>
      </c>
      <c r="L99" t="s">
        <v>47</v>
      </c>
      <c r="M99">
        <v>16.684985750813873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W55"/>
  <sheetViews>
    <sheetView workbookViewId="0">
      <selection sqref="A1:L112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6.88671875" bestFit="1" customWidth="1"/>
    <col min="7" max="7" width="45.5546875" bestFit="1" customWidth="1"/>
    <col min="8" max="8" width="11.6640625" bestFit="1" customWidth="1"/>
    <col min="9" max="9" width="13.44140625" bestFit="1" customWidth="1"/>
    <col min="10" max="10" width="18.88671875" bestFit="1" customWidth="1"/>
    <col min="11" max="11" width="6.77734375" bestFit="1" customWidth="1"/>
    <col min="12" max="12" width="12.6640625" bestFit="1" customWidth="1"/>
    <col min="15" max="15" width="15.6640625" bestFit="1" customWidth="1"/>
    <col min="16" max="16" width="16.33203125" bestFit="1" customWidth="1"/>
    <col min="17" max="17" width="14.6640625" bestFit="1" customWidth="1"/>
    <col min="18" max="18" width="12.6640625" bestFit="1" customWidth="1"/>
    <col min="19" max="19" width="19.6640625" bestFit="1" customWidth="1"/>
    <col min="20" max="21" width="12" bestFit="1" customWidth="1"/>
    <col min="22" max="22" width="17.88671875" bestFit="1" customWidth="1"/>
    <col min="23" max="23" width="12" bestFit="1" customWidth="1"/>
    <col min="24" max="24" width="17.88671875" bestFit="1" customWidth="1"/>
    <col min="25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26.33203125" bestFit="1" customWidth="1"/>
    <col min="30" max="30" width="33" bestFit="1" customWidth="1"/>
    <col min="31" max="31" width="25.44140625" bestFit="1" customWidth="1"/>
    <col min="32" max="32" width="25.109375" bestFit="1" customWidth="1"/>
    <col min="33" max="33" width="25.77734375" bestFit="1" customWidth="1"/>
    <col min="34" max="34" width="36.33203125" bestFit="1" customWidth="1"/>
    <col min="35" max="36" width="33" bestFit="1" customWidth="1"/>
    <col min="37" max="37" width="12.77734375" bestFit="1" customWidth="1"/>
    <col min="38" max="38" width="14.5546875" bestFit="1" customWidth="1"/>
    <col min="39" max="39" width="40" bestFit="1" customWidth="1"/>
    <col min="40" max="41" width="40.6640625" bestFit="1" customWidth="1"/>
    <col min="42" max="45" width="36.6640625" bestFit="1" customWidth="1"/>
    <col min="46" max="46" width="17.6640625" bestFit="1" customWidth="1"/>
    <col min="47" max="47" width="15" bestFit="1" customWidth="1"/>
    <col min="48" max="48" width="18.21875" bestFit="1" customWidth="1"/>
    <col min="49" max="51" width="42.21875" bestFit="1" customWidth="1"/>
    <col min="52" max="52" width="14.44140625" bestFit="1" customWidth="1"/>
    <col min="53" max="53" width="35.109375" bestFit="1" customWidth="1"/>
    <col min="54" max="54" width="22.77734375" bestFit="1" customWidth="1"/>
    <col min="55" max="55" width="12" bestFit="1" customWidth="1"/>
  </cols>
  <sheetData>
    <row r="1" spans="1:23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  <c r="O1" s="1" t="s">
        <v>7</v>
      </c>
      <c r="P1" t="s">
        <v>51</v>
      </c>
    </row>
    <row r="2" spans="1:23" x14ac:dyDescent="0.3">
      <c r="A2" t="s">
        <v>81</v>
      </c>
      <c r="B2">
        <v>-1</v>
      </c>
      <c r="C2">
        <v>2020</v>
      </c>
      <c r="D2" t="s">
        <v>55</v>
      </c>
      <c r="E2" t="s">
        <v>56</v>
      </c>
      <c r="F2" t="s">
        <v>57</v>
      </c>
      <c r="G2" t="s">
        <v>44</v>
      </c>
      <c r="H2" t="s">
        <v>45</v>
      </c>
      <c r="I2" t="s">
        <v>19</v>
      </c>
      <c r="J2" t="s">
        <v>27</v>
      </c>
      <c r="K2" t="s">
        <v>15</v>
      </c>
      <c r="L2">
        <v>14.774699999999889</v>
      </c>
      <c r="O2" s="1" t="s">
        <v>37</v>
      </c>
      <c r="P2" t="s">
        <v>51</v>
      </c>
    </row>
    <row r="3" spans="1:23" x14ac:dyDescent="0.3">
      <c r="A3" t="s">
        <v>81</v>
      </c>
      <c r="B3">
        <v>-1</v>
      </c>
      <c r="C3">
        <v>2020</v>
      </c>
      <c r="D3" t="s">
        <v>55</v>
      </c>
      <c r="E3" t="s">
        <v>56</v>
      </c>
      <c r="F3" t="s">
        <v>57</v>
      </c>
      <c r="G3" t="s">
        <v>31</v>
      </c>
      <c r="H3" t="s">
        <v>18</v>
      </c>
      <c r="I3" t="s">
        <v>19</v>
      </c>
      <c r="J3" t="s">
        <v>32</v>
      </c>
      <c r="K3" t="s">
        <v>15</v>
      </c>
      <c r="L3">
        <v>94.759614626630693</v>
      </c>
    </row>
    <row r="4" spans="1:23" x14ac:dyDescent="0.3">
      <c r="A4" t="s">
        <v>81</v>
      </c>
      <c r="B4">
        <v>-1</v>
      </c>
      <c r="C4">
        <v>2020</v>
      </c>
      <c r="D4" t="s">
        <v>55</v>
      </c>
      <c r="E4" t="s">
        <v>56</v>
      </c>
      <c r="F4" t="s">
        <v>57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>
        <v>4.6674143351165958</v>
      </c>
      <c r="O4" s="1" t="s">
        <v>35</v>
      </c>
      <c r="P4" s="1" t="s">
        <v>36</v>
      </c>
    </row>
    <row r="5" spans="1:23" x14ac:dyDescent="0.3">
      <c r="A5" t="s">
        <v>81</v>
      </c>
      <c r="B5">
        <v>-1</v>
      </c>
      <c r="C5">
        <v>2020</v>
      </c>
      <c r="D5" t="s">
        <v>55</v>
      </c>
      <c r="E5" t="s">
        <v>56</v>
      </c>
      <c r="F5" t="s">
        <v>57</v>
      </c>
      <c r="G5" t="s">
        <v>70</v>
      </c>
      <c r="H5" t="s">
        <v>13</v>
      </c>
      <c r="I5" t="s">
        <v>13</v>
      </c>
      <c r="J5" t="s">
        <v>17</v>
      </c>
      <c r="K5" t="s">
        <v>15</v>
      </c>
      <c r="L5">
        <v>-2.7912695354093452E-15</v>
      </c>
      <c r="O5" s="1" t="s">
        <v>33</v>
      </c>
      <c r="P5" t="s">
        <v>27</v>
      </c>
      <c r="Q5" t="s">
        <v>14</v>
      </c>
      <c r="R5" t="s">
        <v>17</v>
      </c>
      <c r="S5" t="s">
        <v>32</v>
      </c>
      <c r="T5" t="s">
        <v>24</v>
      </c>
      <c r="U5" t="s">
        <v>22</v>
      </c>
      <c r="V5" t="s">
        <v>42</v>
      </c>
      <c r="W5" t="s">
        <v>34</v>
      </c>
    </row>
    <row r="6" spans="1:23" x14ac:dyDescent="0.3">
      <c r="A6" t="s">
        <v>81</v>
      </c>
      <c r="B6">
        <v>-1</v>
      </c>
      <c r="C6">
        <v>2020</v>
      </c>
      <c r="D6" t="s">
        <v>55</v>
      </c>
      <c r="E6" t="s">
        <v>56</v>
      </c>
      <c r="F6" t="s">
        <v>57</v>
      </c>
      <c r="G6" t="s">
        <v>41</v>
      </c>
      <c r="H6" t="s">
        <v>40</v>
      </c>
      <c r="I6" t="s">
        <v>13</v>
      </c>
      <c r="J6" t="s">
        <v>42</v>
      </c>
      <c r="K6" t="s">
        <v>15</v>
      </c>
      <c r="L6" s="5">
        <v>-2.4060663595814181E-15</v>
      </c>
      <c r="O6" s="2" t="s">
        <v>81</v>
      </c>
      <c r="P6" s="26">
        <v>34.040103721643</v>
      </c>
      <c r="Q6" s="26">
        <v>331.84728203168652</v>
      </c>
      <c r="R6" s="26">
        <v>5.7858975942348465</v>
      </c>
      <c r="S6" s="26">
        <v>379.03845850652266</v>
      </c>
      <c r="T6" s="26">
        <v>277.43978509767055</v>
      </c>
      <c r="U6" s="26">
        <v>428.90130497047051</v>
      </c>
      <c r="V6" s="26">
        <v>0.38831365303979642</v>
      </c>
      <c r="W6" s="26">
        <v>1457.4411455752677</v>
      </c>
    </row>
    <row r="7" spans="1:23" x14ac:dyDescent="0.3">
      <c r="A7" t="s">
        <v>81</v>
      </c>
      <c r="B7">
        <v>-1</v>
      </c>
      <c r="C7">
        <v>2020</v>
      </c>
      <c r="D7" t="s">
        <v>55</v>
      </c>
      <c r="E7" t="s">
        <v>56</v>
      </c>
      <c r="F7" t="s">
        <v>69</v>
      </c>
      <c r="G7" t="s">
        <v>28</v>
      </c>
      <c r="H7" t="s">
        <v>23</v>
      </c>
      <c r="I7" t="s">
        <v>19</v>
      </c>
      <c r="J7" t="s">
        <v>24</v>
      </c>
      <c r="K7" t="s">
        <v>15</v>
      </c>
      <c r="L7">
        <v>15.101039999999987</v>
      </c>
      <c r="O7" s="3" t="s">
        <v>19</v>
      </c>
      <c r="P7" s="26">
        <v>34.040103721643</v>
      </c>
      <c r="Q7" s="26"/>
      <c r="R7" s="26"/>
      <c r="S7" s="26">
        <v>379.03845850652266</v>
      </c>
      <c r="T7" s="26">
        <v>277.43978509767055</v>
      </c>
      <c r="U7" s="26">
        <v>428.90130497047051</v>
      </c>
      <c r="V7" s="26"/>
      <c r="W7" s="26">
        <v>1119.4196522963066</v>
      </c>
    </row>
    <row r="8" spans="1:23" x14ac:dyDescent="0.3">
      <c r="A8" t="s">
        <v>81</v>
      </c>
      <c r="B8">
        <v>-1</v>
      </c>
      <c r="C8">
        <v>2020</v>
      </c>
      <c r="D8" t="s">
        <v>55</v>
      </c>
      <c r="E8" t="s">
        <v>56</v>
      </c>
      <c r="F8" t="s">
        <v>69</v>
      </c>
      <c r="G8" t="s">
        <v>58</v>
      </c>
      <c r="H8" t="s">
        <v>21</v>
      </c>
      <c r="I8" t="s">
        <v>19</v>
      </c>
      <c r="J8" t="s">
        <v>22</v>
      </c>
      <c r="K8" t="s">
        <v>15</v>
      </c>
      <c r="L8">
        <v>32.367556475276764</v>
      </c>
      <c r="O8" s="4">
        <v>2020</v>
      </c>
      <c r="P8" s="26">
        <v>14.774699999999889</v>
      </c>
      <c r="Q8" s="26"/>
      <c r="R8" s="26"/>
      <c r="S8" s="26">
        <v>94.759614626630693</v>
      </c>
      <c r="T8" s="26">
        <v>15.101039999999987</v>
      </c>
      <c r="U8" s="26">
        <v>44.731138475276772</v>
      </c>
      <c r="V8" s="26"/>
      <c r="W8" s="26">
        <v>169.36649310190734</v>
      </c>
    </row>
    <row r="9" spans="1:23" x14ac:dyDescent="0.3">
      <c r="A9" t="s">
        <v>81</v>
      </c>
      <c r="B9">
        <v>-1</v>
      </c>
      <c r="C9">
        <v>2020</v>
      </c>
      <c r="D9" t="s">
        <v>55</v>
      </c>
      <c r="E9" t="s">
        <v>56</v>
      </c>
      <c r="F9" t="s">
        <v>69</v>
      </c>
      <c r="G9" t="s">
        <v>29</v>
      </c>
      <c r="H9" t="s">
        <v>21</v>
      </c>
      <c r="I9" t="s">
        <v>19</v>
      </c>
      <c r="J9" t="s">
        <v>22</v>
      </c>
      <c r="K9" t="s">
        <v>15</v>
      </c>
      <c r="L9">
        <v>10.59735600000001</v>
      </c>
      <c r="O9" s="4">
        <v>2030</v>
      </c>
      <c r="P9" s="26">
        <v>10.536090996410794</v>
      </c>
      <c r="Q9" s="26"/>
      <c r="R9" s="26"/>
      <c r="S9" s="26">
        <v>94.759614626630523</v>
      </c>
      <c r="T9" s="26">
        <v>59.303686236223193</v>
      </c>
      <c r="U9" s="26">
        <v>56.807979924644414</v>
      </c>
      <c r="V9" s="26"/>
      <c r="W9" s="26">
        <v>221.4073717839089</v>
      </c>
    </row>
    <row r="10" spans="1:23" x14ac:dyDescent="0.3">
      <c r="A10" t="s">
        <v>81</v>
      </c>
      <c r="B10">
        <v>-1</v>
      </c>
      <c r="C10">
        <v>2020</v>
      </c>
      <c r="D10" t="s">
        <v>55</v>
      </c>
      <c r="E10" t="s">
        <v>56</v>
      </c>
      <c r="F10" t="s">
        <v>69</v>
      </c>
      <c r="G10" t="s">
        <v>20</v>
      </c>
      <c r="H10" t="s">
        <v>21</v>
      </c>
      <c r="I10" t="s">
        <v>19</v>
      </c>
      <c r="J10" t="s">
        <v>22</v>
      </c>
      <c r="K10" t="s">
        <v>15</v>
      </c>
      <c r="L10">
        <v>-1.1603974923803291E-15</v>
      </c>
      <c r="O10" s="4">
        <v>2040</v>
      </c>
      <c r="P10" s="26">
        <v>3.589240736607116</v>
      </c>
      <c r="Q10" s="26"/>
      <c r="R10" s="26"/>
      <c r="S10" s="26">
        <v>94.759614626630679</v>
      </c>
      <c r="T10" s="26">
        <v>87.69256324882727</v>
      </c>
      <c r="U10" s="26">
        <v>144.58161218557359</v>
      </c>
      <c r="V10" s="26"/>
      <c r="W10" s="26">
        <v>330.62303079763865</v>
      </c>
    </row>
    <row r="11" spans="1:23" x14ac:dyDescent="0.3">
      <c r="A11" t="s">
        <v>81</v>
      </c>
      <c r="B11">
        <v>-1</v>
      </c>
      <c r="C11">
        <v>2020</v>
      </c>
      <c r="D11" t="s">
        <v>55</v>
      </c>
      <c r="E11" t="s">
        <v>56</v>
      </c>
      <c r="F11" t="s">
        <v>69</v>
      </c>
      <c r="G11" t="s">
        <v>30</v>
      </c>
      <c r="H11" t="s">
        <v>21</v>
      </c>
      <c r="I11" t="s">
        <v>19</v>
      </c>
      <c r="J11" t="s">
        <v>22</v>
      </c>
      <c r="K11" t="s">
        <v>15</v>
      </c>
      <c r="L11">
        <v>1.7662259999999994</v>
      </c>
      <c r="O11" s="4">
        <v>2050</v>
      </c>
      <c r="P11" s="26">
        <v>5.1400719886252002</v>
      </c>
      <c r="Q11" s="26"/>
      <c r="R11" s="26"/>
      <c r="S11" s="26">
        <v>94.75961462663075</v>
      </c>
      <c r="T11" s="26">
        <v>115.34249561262013</v>
      </c>
      <c r="U11" s="26">
        <v>182.78057438497575</v>
      </c>
      <c r="V11" s="26"/>
      <c r="W11" s="26">
        <v>398.02275661285182</v>
      </c>
    </row>
    <row r="12" spans="1:23" x14ac:dyDescent="0.3">
      <c r="A12" t="s">
        <v>81</v>
      </c>
      <c r="B12">
        <v>-1</v>
      </c>
      <c r="C12">
        <v>2030</v>
      </c>
      <c r="D12" t="s">
        <v>55</v>
      </c>
      <c r="E12" t="s">
        <v>56</v>
      </c>
      <c r="F12" t="s">
        <v>57</v>
      </c>
      <c r="G12" t="s">
        <v>44</v>
      </c>
      <c r="H12" t="s">
        <v>45</v>
      </c>
      <c r="I12" t="s">
        <v>19</v>
      </c>
      <c r="J12" t="s">
        <v>27</v>
      </c>
      <c r="K12" t="s">
        <v>15</v>
      </c>
      <c r="L12">
        <v>10.536090996410794</v>
      </c>
      <c r="O12" s="3" t="s">
        <v>13</v>
      </c>
      <c r="P12" s="26"/>
      <c r="Q12" s="26">
        <v>331.84728203168652</v>
      </c>
      <c r="R12" s="26">
        <v>5.7858975942348465</v>
      </c>
      <c r="S12" s="26"/>
      <c r="T12" s="26"/>
      <c r="U12" s="26"/>
      <c r="V12" s="26">
        <v>0.38831365303979642</v>
      </c>
      <c r="W12" s="26">
        <v>338.02149327896115</v>
      </c>
    </row>
    <row r="13" spans="1:23" x14ac:dyDescent="0.3">
      <c r="A13" t="s">
        <v>81</v>
      </c>
      <c r="B13">
        <v>-1</v>
      </c>
      <c r="C13">
        <v>2030</v>
      </c>
      <c r="D13" t="s">
        <v>55</v>
      </c>
      <c r="E13" t="s">
        <v>56</v>
      </c>
      <c r="F13" t="s">
        <v>57</v>
      </c>
      <c r="G13" t="s">
        <v>31</v>
      </c>
      <c r="H13" t="s">
        <v>18</v>
      </c>
      <c r="I13" t="s">
        <v>19</v>
      </c>
      <c r="J13" t="s">
        <v>32</v>
      </c>
      <c r="K13" t="s">
        <v>15</v>
      </c>
      <c r="L13">
        <v>94.759614626630523</v>
      </c>
      <c r="O13" s="4">
        <v>2020</v>
      </c>
      <c r="P13" s="26"/>
      <c r="Q13" s="26">
        <v>4.6674143351165958</v>
      </c>
      <c r="R13" s="26">
        <v>-2.7912695354093452E-15</v>
      </c>
      <c r="S13" s="26"/>
      <c r="T13" s="26"/>
      <c r="U13" s="26"/>
      <c r="V13" s="26">
        <v>-2.4060663595814181E-15</v>
      </c>
      <c r="W13" s="26">
        <v>4.6674143351165904</v>
      </c>
    </row>
    <row r="14" spans="1:23" x14ac:dyDescent="0.3">
      <c r="A14" t="s">
        <v>81</v>
      </c>
      <c r="B14">
        <v>-1</v>
      </c>
      <c r="C14">
        <v>2030</v>
      </c>
      <c r="D14" t="s">
        <v>55</v>
      </c>
      <c r="E14" t="s">
        <v>56</v>
      </c>
      <c r="F14" t="s">
        <v>57</v>
      </c>
      <c r="G14" t="s">
        <v>11</v>
      </c>
      <c r="H14" t="s">
        <v>12</v>
      </c>
      <c r="I14" t="s">
        <v>13</v>
      </c>
      <c r="J14" t="s">
        <v>14</v>
      </c>
      <c r="K14" t="s">
        <v>15</v>
      </c>
      <c r="L14">
        <v>4.6674143351165966</v>
      </c>
      <c r="O14" s="4">
        <v>2030</v>
      </c>
      <c r="P14" s="26"/>
      <c r="Q14" s="26">
        <v>39.646128899733661</v>
      </c>
      <c r="R14" s="26"/>
      <c r="S14" s="26"/>
      <c r="T14" s="26"/>
      <c r="U14" s="26"/>
      <c r="V14" s="26"/>
      <c r="W14" s="26">
        <v>39.646128899733661</v>
      </c>
    </row>
    <row r="15" spans="1:23" x14ac:dyDescent="0.3">
      <c r="A15" t="s">
        <v>81</v>
      </c>
      <c r="B15">
        <v>-1</v>
      </c>
      <c r="C15">
        <v>2030</v>
      </c>
      <c r="D15" t="s">
        <v>55</v>
      </c>
      <c r="E15" t="s">
        <v>56</v>
      </c>
      <c r="F15" t="s">
        <v>57</v>
      </c>
      <c r="G15" t="s">
        <v>59</v>
      </c>
      <c r="H15" t="s">
        <v>12</v>
      </c>
      <c r="I15" t="s">
        <v>13</v>
      </c>
      <c r="J15" t="s">
        <v>14</v>
      </c>
      <c r="K15" t="s">
        <v>15</v>
      </c>
      <c r="L15">
        <v>34.978714564617064</v>
      </c>
      <c r="O15" s="4">
        <v>2040</v>
      </c>
      <c r="P15" s="26"/>
      <c r="Q15" s="26">
        <v>117.34103343250813</v>
      </c>
      <c r="R15" s="26">
        <v>0.83679778162546081</v>
      </c>
      <c r="S15" s="26"/>
      <c r="T15" s="26"/>
      <c r="U15" s="26"/>
      <c r="V15" s="26"/>
      <c r="W15" s="26">
        <v>118.17783121413359</v>
      </c>
    </row>
    <row r="16" spans="1:23" x14ac:dyDescent="0.3">
      <c r="A16" t="s">
        <v>81</v>
      </c>
      <c r="B16">
        <v>-1</v>
      </c>
      <c r="C16">
        <v>2030</v>
      </c>
      <c r="D16" t="s">
        <v>55</v>
      </c>
      <c r="E16" t="s">
        <v>56</v>
      </c>
      <c r="F16" t="s">
        <v>69</v>
      </c>
      <c r="G16" t="s">
        <v>28</v>
      </c>
      <c r="H16" t="s">
        <v>23</v>
      </c>
      <c r="I16" t="s">
        <v>19</v>
      </c>
      <c r="J16" t="s">
        <v>24</v>
      </c>
      <c r="K16" t="s">
        <v>15</v>
      </c>
      <c r="L16">
        <v>10.066781560407874</v>
      </c>
      <c r="O16" s="4">
        <v>2050</v>
      </c>
      <c r="P16" s="26"/>
      <c r="Q16" s="26">
        <v>170.19270536432813</v>
      </c>
      <c r="R16" s="26">
        <v>4.9490998126093881</v>
      </c>
      <c r="S16" s="26"/>
      <c r="T16" s="26"/>
      <c r="U16" s="26"/>
      <c r="V16" s="26">
        <v>0.38831365303979881</v>
      </c>
      <c r="W16" s="26">
        <v>175.53011882997731</v>
      </c>
    </row>
    <row r="17" spans="1:23" x14ac:dyDescent="0.3">
      <c r="A17" t="s">
        <v>81</v>
      </c>
      <c r="B17">
        <v>-1</v>
      </c>
      <c r="C17">
        <v>2030</v>
      </c>
      <c r="D17" t="s">
        <v>55</v>
      </c>
      <c r="E17" t="s">
        <v>56</v>
      </c>
      <c r="F17" t="s">
        <v>69</v>
      </c>
      <c r="G17" t="s">
        <v>58</v>
      </c>
      <c r="H17" t="s">
        <v>21</v>
      </c>
      <c r="I17" t="s">
        <v>19</v>
      </c>
      <c r="J17" t="s">
        <v>22</v>
      </c>
      <c r="K17" t="s">
        <v>15</v>
      </c>
      <c r="L17">
        <v>24.154483950261948</v>
      </c>
      <c r="O17" s="2" t="s">
        <v>34</v>
      </c>
      <c r="P17" s="26">
        <v>34.040103721643</v>
      </c>
      <c r="Q17" s="26">
        <v>331.84728203168652</v>
      </c>
      <c r="R17" s="26">
        <v>5.7858975942348465</v>
      </c>
      <c r="S17" s="26">
        <v>379.03845850652266</v>
      </c>
      <c r="T17" s="26">
        <v>277.43978509767055</v>
      </c>
      <c r="U17" s="26">
        <v>428.90130497047051</v>
      </c>
      <c r="V17" s="26">
        <v>0.38831365303979642</v>
      </c>
      <c r="W17" s="26">
        <v>1457.4411455752677</v>
      </c>
    </row>
    <row r="18" spans="1:23" x14ac:dyDescent="0.3">
      <c r="A18" t="s">
        <v>81</v>
      </c>
      <c r="B18">
        <v>-1</v>
      </c>
      <c r="C18">
        <v>2030</v>
      </c>
      <c r="D18" t="s">
        <v>55</v>
      </c>
      <c r="E18" t="s">
        <v>56</v>
      </c>
      <c r="F18" t="s">
        <v>69</v>
      </c>
      <c r="G18" t="s">
        <v>29</v>
      </c>
      <c r="H18" t="s">
        <v>21</v>
      </c>
      <c r="I18" t="s">
        <v>19</v>
      </c>
      <c r="J18" t="s">
        <v>22</v>
      </c>
      <c r="K18" t="s">
        <v>15</v>
      </c>
      <c r="L18">
        <v>6.5845981583641251</v>
      </c>
    </row>
    <row r="19" spans="1:23" x14ac:dyDescent="0.3">
      <c r="A19" t="s">
        <v>81</v>
      </c>
      <c r="B19">
        <v>-1</v>
      </c>
      <c r="C19">
        <v>2030</v>
      </c>
      <c r="D19" t="s">
        <v>55</v>
      </c>
      <c r="E19" t="s">
        <v>56</v>
      </c>
      <c r="F19" t="s">
        <v>69</v>
      </c>
      <c r="G19" t="s">
        <v>20</v>
      </c>
      <c r="H19" t="s">
        <v>21</v>
      </c>
      <c r="I19" t="s">
        <v>19</v>
      </c>
      <c r="J19" t="s">
        <v>22</v>
      </c>
      <c r="K19" t="s">
        <v>15</v>
      </c>
      <c r="L19">
        <v>14.88071984862121</v>
      </c>
    </row>
    <row r="20" spans="1:23" x14ac:dyDescent="0.3">
      <c r="A20" t="s">
        <v>81</v>
      </c>
      <c r="B20">
        <v>-1</v>
      </c>
      <c r="C20">
        <v>2030</v>
      </c>
      <c r="D20" t="s">
        <v>55</v>
      </c>
      <c r="E20" t="s">
        <v>56</v>
      </c>
      <c r="F20" t="s">
        <v>69</v>
      </c>
      <c r="G20" t="s">
        <v>30</v>
      </c>
      <c r="H20" t="s">
        <v>21</v>
      </c>
      <c r="I20" t="s">
        <v>19</v>
      </c>
      <c r="J20" t="s">
        <v>22</v>
      </c>
      <c r="K20" t="s">
        <v>15</v>
      </c>
      <c r="L20">
        <v>1.0876694812290069</v>
      </c>
    </row>
    <row r="21" spans="1:23" x14ac:dyDescent="0.3">
      <c r="A21" t="s">
        <v>81</v>
      </c>
      <c r="B21">
        <v>-1</v>
      </c>
      <c r="C21">
        <v>2030</v>
      </c>
      <c r="D21" t="s">
        <v>55</v>
      </c>
      <c r="E21" t="s">
        <v>56</v>
      </c>
      <c r="F21" t="s">
        <v>69</v>
      </c>
      <c r="G21" t="s">
        <v>62</v>
      </c>
      <c r="H21" t="s">
        <v>21</v>
      </c>
      <c r="I21" t="s">
        <v>19</v>
      </c>
      <c r="J21" t="s">
        <v>22</v>
      </c>
      <c r="K21" t="s">
        <v>15</v>
      </c>
      <c r="L21">
        <v>10.100508486168124</v>
      </c>
    </row>
    <row r="22" spans="1:23" x14ac:dyDescent="0.3">
      <c r="A22" t="s">
        <v>81</v>
      </c>
      <c r="B22">
        <v>-1</v>
      </c>
      <c r="C22">
        <v>2030</v>
      </c>
      <c r="D22" t="s">
        <v>55</v>
      </c>
      <c r="E22" t="s">
        <v>56</v>
      </c>
      <c r="F22" t="s">
        <v>69</v>
      </c>
      <c r="G22" t="s">
        <v>63</v>
      </c>
      <c r="H22" t="s">
        <v>23</v>
      </c>
      <c r="I22" t="s">
        <v>19</v>
      </c>
      <c r="J22" t="s">
        <v>24</v>
      </c>
      <c r="K22" t="s">
        <v>15</v>
      </c>
      <c r="L22">
        <v>49.236904675815317</v>
      </c>
    </row>
    <row r="23" spans="1:23" x14ac:dyDescent="0.3">
      <c r="A23" t="s">
        <v>81</v>
      </c>
      <c r="B23">
        <v>-1</v>
      </c>
      <c r="C23">
        <v>2040</v>
      </c>
      <c r="D23" t="s">
        <v>55</v>
      </c>
      <c r="E23" t="s">
        <v>56</v>
      </c>
      <c r="F23" t="s">
        <v>57</v>
      </c>
      <c r="G23" t="s">
        <v>44</v>
      </c>
      <c r="H23" t="s">
        <v>45</v>
      </c>
      <c r="I23" t="s">
        <v>19</v>
      </c>
      <c r="J23" t="s">
        <v>27</v>
      </c>
      <c r="K23" t="s">
        <v>15</v>
      </c>
      <c r="L23">
        <v>3.589240736607116</v>
      </c>
    </row>
    <row r="24" spans="1:23" x14ac:dyDescent="0.3">
      <c r="A24" t="s">
        <v>81</v>
      </c>
      <c r="B24">
        <v>-1</v>
      </c>
      <c r="C24">
        <v>2040</v>
      </c>
      <c r="D24" t="s">
        <v>55</v>
      </c>
      <c r="E24" t="s">
        <v>56</v>
      </c>
      <c r="F24" t="s">
        <v>57</v>
      </c>
      <c r="G24" t="s">
        <v>31</v>
      </c>
      <c r="H24" t="s">
        <v>18</v>
      </c>
      <c r="I24" t="s">
        <v>19</v>
      </c>
      <c r="J24" t="s">
        <v>32</v>
      </c>
      <c r="K24" t="s">
        <v>15</v>
      </c>
      <c r="L24">
        <v>94.759614626630679</v>
      </c>
    </row>
    <row r="25" spans="1:23" x14ac:dyDescent="0.3">
      <c r="A25" t="s">
        <v>81</v>
      </c>
      <c r="B25">
        <v>-1</v>
      </c>
      <c r="C25">
        <v>2040</v>
      </c>
      <c r="D25" t="s">
        <v>55</v>
      </c>
      <c r="E25" t="s">
        <v>56</v>
      </c>
      <c r="F25" t="s">
        <v>57</v>
      </c>
      <c r="G25" t="s">
        <v>11</v>
      </c>
      <c r="H25" t="s">
        <v>12</v>
      </c>
      <c r="I25" t="s">
        <v>13</v>
      </c>
      <c r="J25" t="s">
        <v>14</v>
      </c>
      <c r="K25" t="s">
        <v>15</v>
      </c>
      <c r="L25">
        <v>1.1373302332617667</v>
      </c>
    </row>
    <row r="26" spans="1:23" x14ac:dyDescent="0.3">
      <c r="A26" t="s">
        <v>81</v>
      </c>
      <c r="B26">
        <v>-1</v>
      </c>
      <c r="C26">
        <v>2040</v>
      </c>
      <c r="D26" t="s">
        <v>55</v>
      </c>
      <c r="E26" t="s">
        <v>56</v>
      </c>
      <c r="F26" t="s">
        <v>57</v>
      </c>
      <c r="G26" t="s">
        <v>59</v>
      </c>
      <c r="H26" t="s">
        <v>12</v>
      </c>
      <c r="I26" t="s">
        <v>13</v>
      </c>
      <c r="J26" t="s">
        <v>14</v>
      </c>
      <c r="K26" t="s">
        <v>15</v>
      </c>
      <c r="L26">
        <v>30.639235060194913</v>
      </c>
    </row>
    <row r="27" spans="1:23" x14ac:dyDescent="0.3">
      <c r="A27" t="s">
        <v>81</v>
      </c>
      <c r="B27">
        <v>-1</v>
      </c>
      <c r="C27">
        <v>2040</v>
      </c>
      <c r="D27" t="s">
        <v>55</v>
      </c>
      <c r="E27" t="s">
        <v>56</v>
      </c>
      <c r="F27" t="s">
        <v>57</v>
      </c>
      <c r="G27" t="s">
        <v>60</v>
      </c>
      <c r="H27" t="s">
        <v>12</v>
      </c>
      <c r="I27" t="s">
        <v>13</v>
      </c>
      <c r="J27" t="s">
        <v>14</v>
      </c>
      <c r="K27" t="s">
        <v>15</v>
      </c>
      <c r="L27">
        <v>85.564468139051442</v>
      </c>
    </row>
    <row r="28" spans="1:23" x14ac:dyDescent="0.3">
      <c r="A28" t="s">
        <v>81</v>
      </c>
      <c r="B28">
        <v>-1</v>
      </c>
      <c r="C28">
        <v>2040</v>
      </c>
      <c r="D28" t="s">
        <v>55</v>
      </c>
      <c r="E28" t="s">
        <v>56</v>
      </c>
      <c r="F28" t="s">
        <v>57</v>
      </c>
      <c r="G28" t="s">
        <v>66</v>
      </c>
      <c r="H28" t="s">
        <v>13</v>
      </c>
      <c r="I28" t="s">
        <v>13</v>
      </c>
      <c r="J28" t="s">
        <v>17</v>
      </c>
      <c r="K28" t="s">
        <v>15</v>
      </c>
      <c r="L28">
        <v>0.83679778162546081</v>
      </c>
    </row>
    <row r="29" spans="1:23" x14ac:dyDescent="0.3">
      <c r="A29" t="s">
        <v>81</v>
      </c>
      <c r="B29">
        <v>-1</v>
      </c>
      <c r="C29">
        <v>2040</v>
      </c>
      <c r="D29" t="s">
        <v>55</v>
      </c>
      <c r="E29" t="s">
        <v>56</v>
      </c>
      <c r="F29" t="s">
        <v>69</v>
      </c>
      <c r="G29" t="s">
        <v>28</v>
      </c>
      <c r="H29" t="s">
        <v>23</v>
      </c>
      <c r="I29" t="s">
        <v>19</v>
      </c>
      <c r="J29" t="s">
        <v>24</v>
      </c>
      <c r="K29" t="s">
        <v>15</v>
      </c>
      <c r="L29">
        <v>3.7752599999999967</v>
      </c>
    </row>
    <row r="30" spans="1:23" x14ac:dyDescent="0.3">
      <c r="A30" t="s">
        <v>81</v>
      </c>
      <c r="B30">
        <v>-1</v>
      </c>
      <c r="C30">
        <v>2040</v>
      </c>
      <c r="D30" t="s">
        <v>55</v>
      </c>
      <c r="E30" t="s">
        <v>56</v>
      </c>
      <c r="F30" t="s">
        <v>69</v>
      </c>
      <c r="G30" t="s">
        <v>58</v>
      </c>
      <c r="H30" t="s">
        <v>21</v>
      </c>
      <c r="I30" t="s">
        <v>19</v>
      </c>
      <c r="J30" t="s">
        <v>22</v>
      </c>
      <c r="K30" t="s">
        <v>15</v>
      </c>
      <c r="L30">
        <v>5.8133012147605845</v>
      </c>
    </row>
    <row r="31" spans="1:23" x14ac:dyDescent="0.3">
      <c r="A31" t="s">
        <v>81</v>
      </c>
      <c r="B31">
        <v>-1</v>
      </c>
      <c r="C31">
        <v>2040</v>
      </c>
      <c r="D31" t="s">
        <v>55</v>
      </c>
      <c r="E31" t="s">
        <v>56</v>
      </c>
      <c r="F31" t="s">
        <v>69</v>
      </c>
      <c r="G31" t="s">
        <v>29</v>
      </c>
      <c r="H31" t="s">
        <v>21</v>
      </c>
      <c r="I31" t="s">
        <v>19</v>
      </c>
      <c r="J31" t="s">
        <v>22</v>
      </c>
      <c r="K31" t="s">
        <v>15</v>
      </c>
      <c r="L31">
        <v>1.6300219888830163</v>
      </c>
    </row>
    <row r="32" spans="1:23" x14ac:dyDescent="0.3">
      <c r="A32" t="s">
        <v>81</v>
      </c>
      <c r="B32">
        <v>-1</v>
      </c>
      <c r="C32">
        <v>2040</v>
      </c>
      <c r="D32" t="s">
        <v>55</v>
      </c>
      <c r="E32" t="s">
        <v>56</v>
      </c>
      <c r="F32" t="s">
        <v>69</v>
      </c>
      <c r="G32" t="s">
        <v>20</v>
      </c>
      <c r="H32" t="s">
        <v>21</v>
      </c>
      <c r="I32" t="s">
        <v>19</v>
      </c>
      <c r="J32" t="s">
        <v>22</v>
      </c>
      <c r="K32" t="s">
        <v>15</v>
      </c>
      <c r="L32">
        <v>3.6193626876402551</v>
      </c>
    </row>
    <row r="33" spans="1:12" x14ac:dyDescent="0.3">
      <c r="A33" t="s">
        <v>81</v>
      </c>
      <c r="B33">
        <v>-1</v>
      </c>
      <c r="C33">
        <v>2040</v>
      </c>
      <c r="D33" t="s">
        <v>55</v>
      </c>
      <c r="E33" t="s">
        <v>56</v>
      </c>
      <c r="F33" t="s">
        <v>69</v>
      </c>
      <c r="G33" t="s">
        <v>30</v>
      </c>
      <c r="H33" t="s">
        <v>21</v>
      </c>
      <c r="I33" t="s">
        <v>19</v>
      </c>
      <c r="J33" t="s">
        <v>22</v>
      </c>
      <c r="K33" t="s">
        <v>15</v>
      </c>
      <c r="L33">
        <v>0.26918522438503772</v>
      </c>
    </row>
    <row r="34" spans="1:12" x14ac:dyDescent="0.3">
      <c r="A34" t="s">
        <v>81</v>
      </c>
      <c r="B34">
        <v>-1</v>
      </c>
      <c r="C34">
        <v>2040</v>
      </c>
      <c r="D34" t="s">
        <v>55</v>
      </c>
      <c r="E34" t="s">
        <v>56</v>
      </c>
      <c r="F34" t="s">
        <v>69</v>
      </c>
      <c r="G34" t="s">
        <v>62</v>
      </c>
      <c r="H34" t="s">
        <v>21</v>
      </c>
      <c r="I34" t="s">
        <v>19</v>
      </c>
      <c r="J34" t="s">
        <v>22</v>
      </c>
      <c r="K34" t="s">
        <v>15</v>
      </c>
      <c r="L34">
        <v>7.3583027991922529</v>
      </c>
    </row>
    <row r="35" spans="1:12" x14ac:dyDescent="0.3">
      <c r="A35" t="s">
        <v>81</v>
      </c>
      <c r="B35">
        <v>-1</v>
      </c>
      <c r="C35">
        <v>2040</v>
      </c>
      <c r="D35" t="s">
        <v>55</v>
      </c>
      <c r="E35" t="s">
        <v>56</v>
      </c>
      <c r="F35" t="s">
        <v>69</v>
      </c>
      <c r="G35" t="s">
        <v>64</v>
      </c>
      <c r="H35" t="s">
        <v>21</v>
      </c>
      <c r="I35" t="s">
        <v>19</v>
      </c>
      <c r="J35" t="s">
        <v>22</v>
      </c>
      <c r="K35" t="s">
        <v>15</v>
      </c>
      <c r="L35">
        <v>125.89143827071246</v>
      </c>
    </row>
    <row r="36" spans="1:12" x14ac:dyDescent="0.3">
      <c r="A36" t="s">
        <v>81</v>
      </c>
      <c r="B36">
        <v>-1</v>
      </c>
      <c r="C36">
        <v>2040</v>
      </c>
      <c r="D36" t="s">
        <v>55</v>
      </c>
      <c r="E36" t="s">
        <v>56</v>
      </c>
      <c r="F36" t="s">
        <v>69</v>
      </c>
      <c r="G36" t="s">
        <v>63</v>
      </c>
      <c r="H36" t="s">
        <v>23</v>
      </c>
      <c r="I36" t="s">
        <v>19</v>
      </c>
      <c r="J36" t="s">
        <v>24</v>
      </c>
      <c r="K36" t="s">
        <v>15</v>
      </c>
      <c r="L36">
        <v>48.695451565194425</v>
      </c>
    </row>
    <row r="37" spans="1:12" x14ac:dyDescent="0.3">
      <c r="A37" t="s">
        <v>81</v>
      </c>
      <c r="B37">
        <v>-1</v>
      </c>
      <c r="C37">
        <v>2040</v>
      </c>
      <c r="D37" t="s">
        <v>55</v>
      </c>
      <c r="E37" t="s">
        <v>56</v>
      </c>
      <c r="F37" t="s">
        <v>69</v>
      </c>
      <c r="G37" t="s">
        <v>65</v>
      </c>
      <c r="H37" t="s">
        <v>23</v>
      </c>
      <c r="I37" t="s">
        <v>19</v>
      </c>
      <c r="J37" t="s">
        <v>24</v>
      </c>
      <c r="K37" t="s">
        <v>15</v>
      </c>
      <c r="L37">
        <v>35.221851683632842</v>
      </c>
    </row>
    <row r="38" spans="1:12" x14ac:dyDescent="0.3">
      <c r="A38" t="s">
        <v>81</v>
      </c>
      <c r="B38">
        <v>-1</v>
      </c>
      <c r="C38">
        <v>2050</v>
      </c>
      <c r="D38" t="s">
        <v>55</v>
      </c>
      <c r="E38" t="s">
        <v>56</v>
      </c>
      <c r="F38" t="s">
        <v>57</v>
      </c>
      <c r="G38" t="s">
        <v>31</v>
      </c>
      <c r="H38" t="s">
        <v>18</v>
      </c>
      <c r="I38" t="s">
        <v>19</v>
      </c>
      <c r="J38" t="s">
        <v>32</v>
      </c>
      <c r="K38" t="s">
        <v>15</v>
      </c>
      <c r="L38">
        <v>94.75961462663075</v>
      </c>
    </row>
    <row r="39" spans="1:12" x14ac:dyDescent="0.3">
      <c r="A39" t="s">
        <v>81</v>
      </c>
      <c r="B39">
        <v>-1</v>
      </c>
      <c r="C39">
        <v>2050</v>
      </c>
      <c r="D39" t="s">
        <v>55</v>
      </c>
      <c r="E39" t="s">
        <v>56</v>
      </c>
      <c r="F39" t="s">
        <v>57</v>
      </c>
      <c r="G39" t="s">
        <v>25</v>
      </c>
      <c r="H39" t="s">
        <v>26</v>
      </c>
      <c r="I39" t="s">
        <v>19</v>
      </c>
      <c r="J39" t="s">
        <v>27</v>
      </c>
      <c r="K39" t="s">
        <v>15</v>
      </c>
      <c r="L39">
        <v>5.1400719886252002</v>
      </c>
    </row>
    <row r="40" spans="1:12" x14ac:dyDescent="0.3">
      <c r="A40" t="s">
        <v>81</v>
      </c>
      <c r="B40">
        <v>-1</v>
      </c>
      <c r="C40">
        <v>2050</v>
      </c>
      <c r="D40" t="s">
        <v>55</v>
      </c>
      <c r="E40" t="s">
        <v>56</v>
      </c>
      <c r="F40" t="s">
        <v>57</v>
      </c>
      <c r="G40" t="s">
        <v>59</v>
      </c>
      <c r="H40" t="s">
        <v>12</v>
      </c>
      <c r="I40" t="s">
        <v>13</v>
      </c>
      <c r="J40" t="s">
        <v>14</v>
      </c>
      <c r="K40" t="s">
        <v>15</v>
      </c>
      <c r="L40">
        <v>7.9258914250411445</v>
      </c>
    </row>
    <row r="41" spans="1:12" x14ac:dyDescent="0.3">
      <c r="A41" t="s">
        <v>81</v>
      </c>
      <c r="B41">
        <v>-1</v>
      </c>
      <c r="C41">
        <v>2050</v>
      </c>
      <c r="D41" t="s">
        <v>55</v>
      </c>
      <c r="E41" t="s">
        <v>56</v>
      </c>
      <c r="F41" t="s">
        <v>57</v>
      </c>
      <c r="G41" t="s">
        <v>60</v>
      </c>
      <c r="H41" t="s">
        <v>12</v>
      </c>
      <c r="I41" t="s">
        <v>13</v>
      </c>
      <c r="J41" t="s">
        <v>14</v>
      </c>
      <c r="K41" t="s">
        <v>15</v>
      </c>
      <c r="L41">
        <v>77.921691758242019</v>
      </c>
    </row>
    <row r="42" spans="1:12" x14ac:dyDescent="0.3">
      <c r="A42" t="s">
        <v>81</v>
      </c>
      <c r="B42">
        <v>-1</v>
      </c>
      <c r="C42">
        <v>2050</v>
      </c>
      <c r="D42" t="s">
        <v>55</v>
      </c>
      <c r="E42" t="s">
        <v>56</v>
      </c>
      <c r="F42" t="s">
        <v>57</v>
      </c>
      <c r="G42" t="s">
        <v>16</v>
      </c>
      <c r="H42" t="s">
        <v>12</v>
      </c>
      <c r="I42" t="s">
        <v>13</v>
      </c>
      <c r="J42" t="s">
        <v>14</v>
      </c>
      <c r="K42" t="s">
        <v>15</v>
      </c>
      <c r="L42">
        <v>84.345122181044971</v>
      </c>
    </row>
    <row r="43" spans="1:12" x14ac:dyDescent="0.3">
      <c r="A43" t="s">
        <v>81</v>
      </c>
      <c r="B43">
        <v>-1</v>
      </c>
      <c r="C43">
        <v>2050</v>
      </c>
      <c r="D43" t="s">
        <v>55</v>
      </c>
      <c r="E43" t="s">
        <v>56</v>
      </c>
      <c r="F43" t="s">
        <v>57</v>
      </c>
      <c r="G43" t="s">
        <v>66</v>
      </c>
      <c r="H43" t="s">
        <v>13</v>
      </c>
      <c r="I43" t="s">
        <v>13</v>
      </c>
      <c r="J43" t="s">
        <v>17</v>
      </c>
      <c r="K43" t="s">
        <v>15</v>
      </c>
      <c r="L43">
        <v>0.98189354528629802</v>
      </c>
    </row>
    <row r="44" spans="1:12" x14ac:dyDescent="0.3">
      <c r="A44" t="s">
        <v>81</v>
      </c>
      <c r="B44">
        <v>-1</v>
      </c>
      <c r="C44">
        <v>2050</v>
      </c>
      <c r="D44" t="s">
        <v>55</v>
      </c>
      <c r="E44" t="s">
        <v>56</v>
      </c>
      <c r="F44" t="s">
        <v>57</v>
      </c>
      <c r="G44" t="s">
        <v>61</v>
      </c>
      <c r="H44" t="s">
        <v>13</v>
      </c>
      <c r="I44" t="s">
        <v>13</v>
      </c>
      <c r="J44" t="s">
        <v>17</v>
      </c>
      <c r="K44" t="s">
        <v>15</v>
      </c>
      <c r="L44">
        <v>3.9672062673230903</v>
      </c>
    </row>
    <row r="45" spans="1:12" x14ac:dyDescent="0.3">
      <c r="A45" t="s">
        <v>81</v>
      </c>
      <c r="B45">
        <v>-1</v>
      </c>
      <c r="C45">
        <v>2050</v>
      </c>
      <c r="D45" t="s">
        <v>55</v>
      </c>
      <c r="E45" t="s">
        <v>56</v>
      </c>
      <c r="F45" t="s">
        <v>57</v>
      </c>
      <c r="G45" t="s">
        <v>41</v>
      </c>
      <c r="H45" t="s">
        <v>40</v>
      </c>
      <c r="I45" t="s">
        <v>13</v>
      </c>
      <c r="J45" t="s">
        <v>42</v>
      </c>
      <c r="K45" t="s">
        <v>15</v>
      </c>
      <c r="L45">
        <v>0.38831365303979881</v>
      </c>
    </row>
    <row r="46" spans="1:12" x14ac:dyDescent="0.3">
      <c r="A46" t="s">
        <v>81</v>
      </c>
      <c r="B46">
        <v>-1</v>
      </c>
      <c r="C46">
        <v>2050</v>
      </c>
      <c r="D46" t="s">
        <v>55</v>
      </c>
      <c r="E46" t="s">
        <v>56</v>
      </c>
      <c r="F46" t="s">
        <v>69</v>
      </c>
      <c r="G46" t="s">
        <v>28</v>
      </c>
      <c r="H46" t="s">
        <v>23</v>
      </c>
      <c r="I46" t="s">
        <v>19</v>
      </c>
      <c r="J46" t="s">
        <v>24</v>
      </c>
      <c r="K46" t="s">
        <v>15</v>
      </c>
      <c r="L46">
        <v>-9.1438729603916247E-16</v>
      </c>
    </row>
    <row r="47" spans="1:12" x14ac:dyDescent="0.3">
      <c r="A47" t="s">
        <v>81</v>
      </c>
      <c r="B47">
        <v>-1</v>
      </c>
      <c r="C47">
        <v>2050</v>
      </c>
      <c r="D47" t="s">
        <v>55</v>
      </c>
      <c r="E47" t="s">
        <v>56</v>
      </c>
      <c r="F47" t="s">
        <v>69</v>
      </c>
      <c r="G47" t="s">
        <v>58</v>
      </c>
      <c r="H47" t="s">
        <v>21</v>
      </c>
      <c r="I47" t="s">
        <v>19</v>
      </c>
      <c r="J47" t="s">
        <v>22</v>
      </c>
      <c r="K47" t="s">
        <v>15</v>
      </c>
      <c r="L47">
        <v>-8.8178353507828464E-16</v>
      </c>
    </row>
    <row r="48" spans="1:12" x14ac:dyDescent="0.3">
      <c r="A48" t="s">
        <v>81</v>
      </c>
      <c r="B48">
        <v>-1</v>
      </c>
      <c r="C48">
        <v>2050</v>
      </c>
      <c r="D48" t="s">
        <v>55</v>
      </c>
      <c r="E48" t="s">
        <v>56</v>
      </c>
      <c r="F48" t="s">
        <v>69</v>
      </c>
      <c r="G48" t="s">
        <v>29</v>
      </c>
      <c r="H48" t="s">
        <v>21</v>
      </c>
      <c r="I48" t="s">
        <v>19</v>
      </c>
      <c r="J48" t="s">
        <v>22</v>
      </c>
      <c r="K48" t="s">
        <v>15</v>
      </c>
      <c r="L48">
        <v>-3.1418169653209434E-16</v>
      </c>
    </row>
    <row r="49" spans="1:12" x14ac:dyDescent="0.3">
      <c r="A49" t="s">
        <v>81</v>
      </c>
      <c r="B49">
        <v>-1</v>
      </c>
      <c r="C49">
        <v>2050</v>
      </c>
      <c r="D49" t="s">
        <v>55</v>
      </c>
      <c r="E49" t="s">
        <v>56</v>
      </c>
      <c r="F49" t="s">
        <v>69</v>
      </c>
      <c r="G49" t="s">
        <v>20</v>
      </c>
      <c r="H49" t="s">
        <v>21</v>
      </c>
      <c r="I49" t="s">
        <v>19</v>
      </c>
      <c r="J49" t="s">
        <v>22</v>
      </c>
      <c r="K49" t="s">
        <v>15</v>
      </c>
      <c r="L49">
        <v>-6.802330127746764E-16</v>
      </c>
    </row>
    <row r="50" spans="1:12" x14ac:dyDescent="0.3">
      <c r="A50" t="s">
        <v>81</v>
      </c>
      <c r="B50">
        <v>-1</v>
      </c>
      <c r="C50">
        <v>2050</v>
      </c>
      <c r="D50" t="s">
        <v>55</v>
      </c>
      <c r="E50" t="s">
        <v>56</v>
      </c>
      <c r="F50" t="s">
        <v>69</v>
      </c>
      <c r="G50" t="s">
        <v>62</v>
      </c>
      <c r="H50" t="s">
        <v>21</v>
      </c>
      <c r="I50" t="s">
        <v>19</v>
      </c>
      <c r="J50" t="s">
        <v>22</v>
      </c>
      <c r="K50" t="s">
        <v>15</v>
      </c>
      <c r="L50">
        <v>5.6009991244678732</v>
      </c>
    </row>
    <row r="51" spans="1:12" x14ac:dyDescent="0.3">
      <c r="A51" t="s">
        <v>81</v>
      </c>
      <c r="B51">
        <v>-1</v>
      </c>
      <c r="C51">
        <v>2050</v>
      </c>
      <c r="D51" t="s">
        <v>55</v>
      </c>
      <c r="E51" t="s">
        <v>56</v>
      </c>
      <c r="F51" t="s">
        <v>69</v>
      </c>
      <c r="G51" t="s">
        <v>64</v>
      </c>
      <c r="H51" t="s">
        <v>21</v>
      </c>
      <c r="I51" t="s">
        <v>19</v>
      </c>
      <c r="J51" t="s">
        <v>22</v>
      </c>
      <c r="K51" t="s">
        <v>15</v>
      </c>
      <c r="L51">
        <v>110.24485612039135</v>
      </c>
    </row>
    <row r="52" spans="1:12" x14ac:dyDescent="0.3">
      <c r="A52" t="s">
        <v>81</v>
      </c>
      <c r="B52">
        <v>-1</v>
      </c>
      <c r="C52">
        <v>2050</v>
      </c>
      <c r="D52" t="s">
        <v>55</v>
      </c>
      <c r="E52" t="s">
        <v>56</v>
      </c>
      <c r="F52" t="s">
        <v>69</v>
      </c>
      <c r="G52" t="s">
        <v>68</v>
      </c>
      <c r="H52" t="s">
        <v>21</v>
      </c>
      <c r="I52" t="s">
        <v>19</v>
      </c>
      <c r="J52" t="s">
        <v>22</v>
      </c>
      <c r="K52" t="s">
        <v>15</v>
      </c>
      <c r="L52">
        <v>66.934719140116528</v>
      </c>
    </row>
    <row r="53" spans="1:12" x14ac:dyDescent="0.3">
      <c r="A53" t="s">
        <v>81</v>
      </c>
      <c r="B53">
        <v>-1</v>
      </c>
      <c r="C53">
        <v>2050</v>
      </c>
      <c r="D53" t="s">
        <v>55</v>
      </c>
      <c r="E53" t="s">
        <v>56</v>
      </c>
      <c r="F53" t="s">
        <v>69</v>
      </c>
      <c r="G53" t="s">
        <v>63</v>
      </c>
      <c r="H53" t="s">
        <v>23</v>
      </c>
      <c r="I53" t="s">
        <v>19</v>
      </c>
      <c r="J53" t="s">
        <v>24</v>
      </c>
      <c r="K53" t="s">
        <v>15</v>
      </c>
      <c r="L53">
        <v>48.844141804581533</v>
      </c>
    </row>
    <row r="54" spans="1:12" x14ac:dyDescent="0.3">
      <c r="A54" t="s">
        <v>81</v>
      </c>
      <c r="B54">
        <v>-1</v>
      </c>
      <c r="C54">
        <v>2050</v>
      </c>
      <c r="D54" t="s">
        <v>55</v>
      </c>
      <c r="E54" t="s">
        <v>56</v>
      </c>
      <c r="F54" t="s">
        <v>69</v>
      </c>
      <c r="G54" t="s">
        <v>65</v>
      </c>
      <c r="H54" t="s">
        <v>23</v>
      </c>
      <c r="I54" t="s">
        <v>19</v>
      </c>
      <c r="J54" t="s">
        <v>24</v>
      </c>
      <c r="K54" t="s">
        <v>15</v>
      </c>
      <c r="L54">
        <v>35.003274155229811</v>
      </c>
    </row>
    <row r="55" spans="1:12" x14ac:dyDescent="0.3">
      <c r="A55" t="s">
        <v>81</v>
      </c>
      <c r="B55">
        <v>-1</v>
      </c>
      <c r="C55">
        <v>2050</v>
      </c>
      <c r="D55" t="s">
        <v>55</v>
      </c>
      <c r="E55" t="s">
        <v>56</v>
      </c>
      <c r="F55" t="s">
        <v>69</v>
      </c>
      <c r="G55" t="s">
        <v>67</v>
      </c>
      <c r="H55" t="s">
        <v>23</v>
      </c>
      <c r="I55" t="s">
        <v>19</v>
      </c>
      <c r="J55" t="s">
        <v>24</v>
      </c>
      <c r="K55" t="s">
        <v>15</v>
      </c>
      <c r="L55">
        <v>31.495079652808787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Q19"/>
  <sheetViews>
    <sheetView topLeftCell="H1" workbookViewId="0">
      <selection sqref="A1:M99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33.21875" bestFit="1" customWidth="1"/>
    <col min="7" max="7" width="8.21875" bestFit="1" customWidth="1"/>
    <col min="8" max="8" width="12.6640625" bestFit="1" customWidth="1"/>
    <col min="11" max="11" width="15" bestFit="1" customWidth="1"/>
    <col min="12" max="12" width="28" bestFit="1" customWidth="1"/>
    <col min="13" max="13" width="26" bestFit="1" customWidth="1"/>
    <col min="14" max="14" width="25.109375" bestFit="1" customWidth="1"/>
    <col min="15" max="15" width="33.44140625" bestFit="1" customWidth="1"/>
    <col min="16" max="16" width="21.6640625" bestFit="1" customWidth="1"/>
    <col min="17" max="17" width="12" bestFit="1" customWidth="1"/>
  </cols>
  <sheetData>
    <row r="1" spans="1:17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7" x14ac:dyDescent="0.3">
      <c r="A2" t="s">
        <v>81</v>
      </c>
      <c r="B2">
        <v>-1</v>
      </c>
      <c r="C2">
        <v>2020</v>
      </c>
      <c r="D2" t="s">
        <v>55</v>
      </c>
      <c r="E2" t="s">
        <v>56</v>
      </c>
      <c r="F2" t="s">
        <v>71</v>
      </c>
      <c r="G2" t="s">
        <v>72</v>
      </c>
      <c r="H2">
        <v>53.451088374092045</v>
      </c>
    </row>
    <row r="3" spans="1:17" x14ac:dyDescent="0.3">
      <c r="A3" t="s">
        <v>81</v>
      </c>
      <c r="B3">
        <v>-1</v>
      </c>
      <c r="C3">
        <v>2020</v>
      </c>
      <c r="D3" t="s">
        <v>55</v>
      </c>
      <c r="E3" t="s">
        <v>56</v>
      </c>
      <c r="F3" t="s">
        <v>73</v>
      </c>
      <c r="G3" t="s">
        <v>72</v>
      </c>
      <c r="H3">
        <v>1154.3842153816881</v>
      </c>
    </row>
    <row r="4" spans="1:17" x14ac:dyDescent="0.3">
      <c r="A4" t="s">
        <v>81</v>
      </c>
      <c r="B4">
        <v>-1</v>
      </c>
      <c r="C4">
        <v>2020</v>
      </c>
      <c r="D4" t="s">
        <v>55</v>
      </c>
      <c r="E4" t="s">
        <v>56</v>
      </c>
      <c r="F4" t="s">
        <v>74</v>
      </c>
      <c r="G4" t="s">
        <v>72</v>
      </c>
      <c r="H4">
        <v>125.44257334363498</v>
      </c>
    </row>
    <row r="5" spans="1:17" x14ac:dyDescent="0.3">
      <c r="A5" t="s">
        <v>81</v>
      </c>
      <c r="B5">
        <v>-1</v>
      </c>
      <c r="C5">
        <v>2020</v>
      </c>
      <c r="D5" t="s">
        <v>55</v>
      </c>
      <c r="E5" t="s">
        <v>56</v>
      </c>
      <c r="F5" t="s">
        <v>75</v>
      </c>
      <c r="G5" t="s">
        <v>72</v>
      </c>
      <c r="H5">
        <v>4.7588194444042076</v>
      </c>
    </row>
    <row r="6" spans="1:17" x14ac:dyDescent="0.3">
      <c r="A6" t="s">
        <v>81</v>
      </c>
      <c r="B6">
        <v>-1</v>
      </c>
      <c r="C6">
        <v>2020</v>
      </c>
      <c r="D6" t="s">
        <v>55</v>
      </c>
      <c r="E6" t="s">
        <v>56</v>
      </c>
      <c r="F6" t="s">
        <v>76</v>
      </c>
      <c r="G6" t="s">
        <v>72</v>
      </c>
      <c r="H6">
        <v>-5.4230860707075413E-14</v>
      </c>
      <c r="K6" s="1" t="s">
        <v>35</v>
      </c>
      <c r="L6" s="1" t="s">
        <v>36</v>
      </c>
    </row>
    <row r="7" spans="1:17" x14ac:dyDescent="0.3">
      <c r="A7" t="s">
        <v>81</v>
      </c>
      <c r="B7">
        <v>-1</v>
      </c>
      <c r="C7">
        <v>2030</v>
      </c>
      <c r="D7" t="s">
        <v>55</v>
      </c>
      <c r="E7" t="s">
        <v>56</v>
      </c>
      <c r="F7" t="s">
        <v>71</v>
      </c>
      <c r="G7" t="s">
        <v>72</v>
      </c>
      <c r="H7">
        <v>1065.3669259820831</v>
      </c>
      <c r="K7" s="1" t="s">
        <v>33</v>
      </c>
      <c r="L7" t="s">
        <v>71</v>
      </c>
      <c r="M7" t="s">
        <v>73</v>
      </c>
      <c r="N7" t="s">
        <v>75</v>
      </c>
      <c r="O7" t="s">
        <v>74</v>
      </c>
      <c r="P7" t="s">
        <v>76</v>
      </c>
      <c r="Q7" t="s">
        <v>34</v>
      </c>
    </row>
    <row r="8" spans="1:17" x14ac:dyDescent="0.3">
      <c r="A8" t="s">
        <v>81</v>
      </c>
      <c r="B8">
        <v>-1</v>
      </c>
      <c r="C8">
        <v>2030</v>
      </c>
      <c r="D8" t="s">
        <v>55</v>
      </c>
      <c r="E8" t="s">
        <v>56</v>
      </c>
      <c r="F8" t="s">
        <v>73</v>
      </c>
      <c r="G8" t="s">
        <v>72</v>
      </c>
      <c r="H8">
        <v>1553.8670957697223</v>
      </c>
      <c r="K8" s="2" t="s">
        <v>81</v>
      </c>
      <c r="L8" s="26">
        <v>12966.712733705339</v>
      </c>
      <c r="M8" s="26">
        <v>7195.5635426799026</v>
      </c>
      <c r="N8" s="26">
        <v>-231.05035499196083</v>
      </c>
      <c r="O8" s="26">
        <v>849.61102269223466</v>
      </c>
      <c r="P8" s="26">
        <v>28.052202334104127</v>
      </c>
      <c r="Q8" s="26">
        <v>20808.88914641962</v>
      </c>
    </row>
    <row r="9" spans="1:17" x14ac:dyDescent="0.3">
      <c r="A9" t="s">
        <v>81</v>
      </c>
      <c r="B9">
        <v>-1</v>
      </c>
      <c r="C9">
        <v>2030</v>
      </c>
      <c r="D9" t="s">
        <v>55</v>
      </c>
      <c r="E9" t="s">
        <v>56</v>
      </c>
      <c r="F9" t="s">
        <v>74</v>
      </c>
      <c r="G9" t="s">
        <v>72</v>
      </c>
      <c r="H9">
        <v>145.84965459190076</v>
      </c>
      <c r="K9" s="3">
        <v>2020</v>
      </c>
      <c r="L9" s="26">
        <v>53.451088374092045</v>
      </c>
      <c r="M9" s="26">
        <v>1154.3842153816881</v>
      </c>
      <c r="N9" s="26">
        <v>4.7588194444042076</v>
      </c>
      <c r="O9" s="26">
        <v>125.44257334363498</v>
      </c>
      <c r="P9" s="26">
        <v>-5.4230860707075413E-14</v>
      </c>
      <c r="Q9" s="26">
        <v>1338.0366965438193</v>
      </c>
    </row>
    <row r="10" spans="1:17" x14ac:dyDescent="0.3">
      <c r="A10" t="s">
        <v>81</v>
      </c>
      <c r="B10">
        <v>-1</v>
      </c>
      <c r="C10">
        <v>2030</v>
      </c>
      <c r="D10" t="s">
        <v>55</v>
      </c>
      <c r="E10" t="s">
        <v>56</v>
      </c>
      <c r="F10" t="s">
        <v>75</v>
      </c>
      <c r="G10" t="s">
        <v>72</v>
      </c>
      <c r="H10">
        <v>3.3935954504479438</v>
      </c>
      <c r="K10" s="3">
        <v>2030</v>
      </c>
      <c r="L10" s="26">
        <v>1065.3669259820831</v>
      </c>
      <c r="M10" s="26">
        <v>1553.8670957697223</v>
      </c>
      <c r="N10" s="26">
        <v>3.3935954504479438</v>
      </c>
      <c r="O10" s="26">
        <v>145.84965459190076</v>
      </c>
      <c r="P10" s="26"/>
      <c r="Q10" s="26">
        <v>2768.4772717941537</v>
      </c>
    </row>
    <row r="11" spans="1:17" x14ac:dyDescent="0.3">
      <c r="A11" t="s">
        <v>81</v>
      </c>
      <c r="B11">
        <v>-1</v>
      </c>
      <c r="C11">
        <v>2040</v>
      </c>
      <c r="D11" t="s">
        <v>55</v>
      </c>
      <c r="E11" t="s">
        <v>56</v>
      </c>
      <c r="F11" t="s">
        <v>71</v>
      </c>
      <c r="G11" t="s">
        <v>72</v>
      </c>
      <c r="H11">
        <v>4722.671511446044</v>
      </c>
      <c r="K11" s="3">
        <v>2040</v>
      </c>
      <c r="L11" s="26">
        <v>4722.671511446044</v>
      </c>
      <c r="M11" s="26">
        <v>2037.3154297155208</v>
      </c>
      <c r="N11" s="26">
        <v>1.1560673724687551</v>
      </c>
      <c r="O11" s="26">
        <v>212.44038968514332</v>
      </c>
      <c r="P11" s="26"/>
      <c r="Q11" s="26">
        <v>6973.5833982191771</v>
      </c>
    </row>
    <row r="12" spans="1:17" x14ac:dyDescent="0.3">
      <c r="A12" t="s">
        <v>81</v>
      </c>
      <c r="B12">
        <v>-1</v>
      </c>
      <c r="C12">
        <v>2040</v>
      </c>
      <c r="D12" t="s">
        <v>55</v>
      </c>
      <c r="E12" t="s">
        <v>56</v>
      </c>
      <c r="F12" t="s">
        <v>73</v>
      </c>
      <c r="G12" t="s">
        <v>72</v>
      </c>
      <c r="H12">
        <v>2037.3154297155208</v>
      </c>
      <c r="K12" s="3">
        <v>2050</v>
      </c>
      <c r="L12" s="26">
        <v>7125.223207903121</v>
      </c>
      <c r="M12" s="26">
        <v>2449.9968018129712</v>
      </c>
      <c r="N12" s="26">
        <v>-240.35883725928173</v>
      </c>
      <c r="O12" s="26">
        <v>365.87840507155556</v>
      </c>
      <c r="P12" s="26">
        <v>28.05220233410418</v>
      </c>
      <c r="Q12" s="26">
        <v>9728.7917798624694</v>
      </c>
    </row>
    <row r="13" spans="1:17" x14ac:dyDescent="0.3">
      <c r="A13" t="s">
        <v>81</v>
      </c>
      <c r="B13">
        <v>-1</v>
      </c>
      <c r="C13">
        <v>2040</v>
      </c>
      <c r="D13" t="s">
        <v>55</v>
      </c>
      <c r="E13" t="s">
        <v>56</v>
      </c>
      <c r="F13" t="s">
        <v>74</v>
      </c>
      <c r="G13" t="s">
        <v>72</v>
      </c>
      <c r="H13">
        <v>212.44038968514332</v>
      </c>
      <c r="K13" s="2" t="s">
        <v>34</v>
      </c>
      <c r="L13" s="26">
        <v>12966.712733705339</v>
      </c>
      <c r="M13" s="26">
        <v>7195.5635426799026</v>
      </c>
      <c r="N13" s="26">
        <v>-231.05035499196083</v>
      </c>
      <c r="O13" s="26">
        <v>849.61102269223466</v>
      </c>
      <c r="P13" s="26">
        <v>28.052202334104127</v>
      </c>
      <c r="Q13" s="26">
        <v>20808.88914641962</v>
      </c>
    </row>
    <row r="14" spans="1:17" x14ac:dyDescent="0.3">
      <c r="A14" t="s">
        <v>81</v>
      </c>
      <c r="B14">
        <v>-1</v>
      </c>
      <c r="C14">
        <v>2040</v>
      </c>
      <c r="D14" t="s">
        <v>55</v>
      </c>
      <c r="E14" t="s">
        <v>56</v>
      </c>
      <c r="F14" t="s">
        <v>75</v>
      </c>
      <c r="G14" t="s">
        <v>72</v>
      </c>
      <c r="H14">
        <v>1.1560673724687551</v>
      </c>
    </row>
    <row r="15" spans="1:17" x14ac:dyDescent="0.3">
      <c r="A15" t="s">
        <v>81</v>
      </c>
      <c r="B15">
        <v>-1</v>
      </c>
      <c r="C15">
        <v>2050</v>
      </c>
      <c r="D15" t="s">
        <v>55</v>
      </c>
      <c r="E15" t="s">
        <v>56</v>
      </c>
      <c r="F15" t="s">
        <v>71</v>
      </c>
      <c r="G15" t="s">
        <v>72</v>
      </c>
      <c r="H15">
        <v>7125.223207903121</v>
      </c>
    </row>
    <row r="16" spans="1:17" x14ac:dyDescent="0.3">
      <c r="A16" t="s">
        <v>81</v>
      </c>
      <c r="B16">
        <v>-1</v>
      </c>
      <c r="C16">
        <v>2050</v>
      </c>
      <c r="D16" t="s">
        <v>55</v>
      </c>
      <c r="E16" t="s">
        <v>56</v>
      </c>
      <c r="F16" t="s">
        <v>73</v>
      </c>
      <c r="G16" t="s">
        <v>72</v>
      </c>
      <c r="H16">
        <v>2449.9968018129712</v>
      </c>
    </row>
    <row r="17" spans="1:8" x14ac:dyDescent="0.3">
      <c r="A17" t="s">
        <v>81</v>
      </c>
      <c r="B17">
        <v>-1</v>
      </c>
      <c r="C17">
        <v>2050</v>
      </c>
      <c r="D17" t="s">
        <v>55</v>
      </c>
      <c r="E17" t="s">
        <v>56</v>
      </c>
      <c r="F17" t="s">
        <v>74</v>
      </c>
      <c r="G17" t="s">
        <v>72</v>
      </c>
      <c r="H17">
        <v>365.87840507155556</v>
      </c>
    </row>
    <row r="18" spans="1:8" x14ac:dyDescent="0.3">
      <c r="A18" t="s">
        <v>81</v>
      </c>
      <c r="B18">
        <v>-1</v>
      </c>
      <c r="C18">
        <v>2050</v>
      </c>
      <c r="D18" t="s">
        <v>55</v>
      </c>
      <c r="E18" t="s">
        <v>56</v>
      </c>
      <c r="F18" t="s">
        <v>75</v>
      </c>
      <c r="G18" t="s">
        <v>72</v>
      </c>
      <c r="H18">
        <v>-240.35883725928173</v>
      </c>
    </row>
    <row r="19" spans="1:8" x14ac:dyDescent="0.3">
      <c r="A19" t="s">
        <v>81</v>
      </c>
      <c r="B19">
        <v>-1</v>
      </c>
      <c r="C19">
        <v>2050</v>
      </c>
      <c r="D19" t="s">
        <v>55</v>
      </c>
      <c r="E19" t="s">
        <v>56</v>
      </c>
      <c r="F19" t="s">
        <v>76</v>
      </c>
      <c r="G19" t="s">
        <v>72</v>
      </c>
      <c r="H19">
        <v>28.05220233410418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16"/>
  <sheetViews>
    <sheetView workbookViewId="0">
      <selection activeCell="K6" sqref="K6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9" bestFit="1" customWidth="1"/>
    <col min="7" max="7" width="15.44140625" bestFit="1" customWidth="1"/>
    <col min="8" max="8" width="12" bestFit="1" customWidth="1"/>
    <col min="9" max="9" width="9.33203125" bestFit="1" customWidth="1"/>
    <col min="10" max="10" width="15.44140625" bestFit="1" customWidth="1"/>
    <col min="11" max="11" width="15" bestFit="1" customWidth="1"/>
    <col min="12" max="12" width="15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145</v>
      </c>
      <c r="G1" t="s">
        <v>10</v>
      </c>
      <c r="H1" t="s">
        <v>0</v>
      </c>
    </row>
    <row r="2" spans="1:12" x14ac:dyDescent="0.3">
      <c r="A2" s="26" t="s">
        <v>81</v>
      </c>
      <c r="B2">
        <v>-1</v>
      </c>
      <c r="C2">
        <v>2020</v>
      </c>
      <c r="D2" s="26" t="s">
        <v>55</v>
      </c>
      <c r="E2" s="26" t="s">
        <v>56</v>
      </c>
      <c r="F2" s="26" t="s">
        <v>143</v>
      </c>
      <c r="G2" s="26" t="s">
        <v>144</v>
      </c>
      <c r="H2">
        <v>10.788603765978005</v>
      </c>
    </row>
    <row r="3" spans="1:12" x14ac:dyDescent="0.3">
      <c r="A3" s="26" t="s">
        <v>81</v>
      </c>
      <c r="B3">
        <v>-1</v>
      </c>
      <c r="C3">
        <v>2030</v>
      </c>
      <c r="D3" s="26" t="s">
        <v>55</v>
      </c>
      <c r="E3" s="26" t="s">
        <v>56</v>
      </c>
      <c r="F3" s="26" t="s">
        <v>143</v>
      </c>
      <c r="G3" s="26" t="s">
        <v>144</v>
      </c>
      <c r="H3">
        <v>26.704225986468138</v>
      </c>
    </row>
    <row r="4" spans="1:12" x14ac:dyDescent="0.3">
      <c r="A4" s="26" t="s">
        <v>81</v>
      </c>
      <c r="B4">
        <v>-1</v>
      </c>
      <c r="C4">
        <v>2040</v>
      </c>
      <c r="D4" s="26" t="s">
        <v>55</v>
      </c>
      <c r="E4" s="26" t="s">
        <v>56</v>
      </c>
      <c r="F4" s="26" t="s">
        <v>143</v>
      </c>
      <c r="G4" s="26" t="s">
        <v>144</v>
      </c>
      <c r="H4">
        <v>30.641771901178167</v>
      </c>
    </row>
    <row r="5" spans="1:12" x14ac:dyDescent="0.3">
      <c r="A5" s="26" t="s">
        <v>81</v>
      </c>
      <c r="B5">
        <v>-1</v>
      </c>
      <c r="C5">
        <v>2050</v>
      </c>
      <c r="D5" s="26" t="s">
        <v>55</v>
      </c>
      <c r="E5" s="26" t="s">
        <v>56</v>
      </c>
      <c r="F5" s="26" t="s">
        <v>143</v>
      </c>
      <c r="G5" s="26" t="s">
        <v>144</v>
      </c>
      <c r="H5">
        <v>33.528625237013657</v>
      </c>
    </row>
    <row r="6" spans="1:12" x14ac:dyDescent="0.3">
      <c r="K6" s="1" t="s">
        <v>33</v>
      </c>
      <c r="L6" t="s">
        <v>155</v>
      </c>
    </row>
    <row r="7" spans="1:12" x14ac:dyDescent="0.3">
      <c r="K7" s="2" t="s">
        <v>81</v>
      </c>
      <c r="L7" s="26">
        <v>25.415806722659493</v>
      </c>
    </row>
    <row r="8" spans="1:12" x14ac:dyDescent="0.3">
      <c r="K8" s="3">
        <v>2020</v>
      </c>
      <c r="L8" s="26">
        <v>10.788603765978005</v>
      </c>
    </row>
    <row r="9" spans="1:12" x14ac:dyDescent="0.3">
      <c r="K9" s="4" t="s">
        <v>56</v>
      </c>
      <c r="L9" s="26">
        <v>10.788603765978005</v>
      </c>
    </row>
    <row r="10" spans="1:12" x14ac:dyDescent="0.3">
      <c r="K10" s="3">
        <v>2030</v>
      </c>
      <c r="L10" s="26">
        <v>26.704225986468138</v>
      </c>
    </row>
    <row r="11" spans="1:12" x14ac:dyDescent="0.3">
      <c r="K11" s="4" t="s">
        <v>56</v>
      </c>
      <c r="L11" s="26">
        <v>26.704225986468138</v>
      </c>
    </row>
    <row r="12" spans="1:12" x14ac:dyDescent="0.3">
      <c r="K12" s="3">
        <v>2040</v>
      </c>
      <c r="L12" s="26">
        <v>30.641771901178167</v>
      </c>
    </row>
    <row r="13" spans="1:12" x14ac:dyDescent="0.3">
      <c r="K13" s="4" t="s">
        <v>56</v>
      </c>
      <c r="L13" s="26">
        <v>30.641771901178167</v>
      </c>
    </row>
    <row r="14" spans="1:12" x14ac:dyDescent="0.3">
      <c r="K14" s="3">
        <v>2050</v>
      </c>
      <c r="L14" s="26">
        <v>33.528625237013657</v>
      </c>
    </row>
    <row r="15" spans="1:12" x14ac:dyDescent="0.3">
      <c r="K15" s="4" t="s">
        <v>56</v>
      </c>
      <c r="L15" s="26">
        <v>33.528625237013657</v>
      </c>
    </row>
    <row r="16" spans="1:12" x14ac:dyDescent="0.3">
      <c r="K16" s="2" t="s">
        <v>34</v>
      </c>
      <c r="L16" s="26">
        <v>25.415806722659493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>
    <tabColor theme="4" tint="0.59999389629810485"/>
  </sheetPr>
  <dimension ref="A1:R9"/>
  <sheetViews>
    <sheetView workbookViewId="0">
      <selection activeCell="P3" sqref="P3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5" bestFit="1" customWidth="1"/>
    <col min="7" max="7" width="34.5546875" bestFit="1" customWidth="1"/>
    <col min="8" max="8" width="8" bestFit="1" customWidth="1"/>
    <col min="9" max="9" width="17.6640625" bestFit="1" customWidth="1"/>
    <col min="10" max="10" width="6.77734375" bestFit="1" customWidth="1"/>
    <col min="11" max="11" width="12.6640625" bestFit="1" customWidth="1"/>
    <col min="16" max="16" width="15" bestFit="1" customWidth="1"/>
    <col min="17" max="17" width="16.33203125" bestFit="1" customWidth="1"/>
    <col min="18" max="18" width="12.6640625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18" x14ac:dyDescent="0.3">
      <c r="A2" s="26" t="s">
        <v>81</v>
      </c>
      <c r="B2">
        <v>-1</v>
      </c>
      <c r="C2">
        <v>2020</v>
      </c>
      <c r="D2" s="26" t="s">
        <v>55</v>
      </c>
      <c r="E2" s="26" t="s">
        <v>56</v>
      </c>
      <c r="F2" s="26" t="s">
        <v>57</v>
      </c>
      <c r="G2" s="26" t="s">
        <v>41</v>
      </c>
      <c r="H2" s="26" t="s">
        <v>40</v>
      </c>
      <c r="I2" s="26" t="s">
        <v>42</v>
      </c>
      <c r="J2" s="26" t="s">
        <v>182</v>
      </c>
      <c r="K2">
        <v>-6.9418451711580459E-13</v>
      </c>
    </row>
    <row r="3" spans="1:18" x14ac:dyDescent="0.3">
      <c r="A3" s="26" t="s">
        <v>81</v>
      </c>
      <c r="B3">
        <v>-1</v>
      </c>
      <c r="C3">
        <v>2050</v>
      </c>
      <c r="D3" s="26" t="s">
        <v>55</v>
      </c>
      <c r="E3" s="26" t="s">
        <v>56</v>
      </c>
      <c r="F3" s="26" t="s">
        <v>57</v>
      </c>
      <c r="G3" s="26" t="s">
        <v>41</v>
      </c>
      <c r="H3" s="26" t="s">
        <v>40</v>
      </c>
      <c r="I3" s="26" t="s">
        <v>42</v>
      </c>
      <c r="J3" s="26" t="s">
        <v>182</v>
      </c>
      <c r="K3">
        <v>112.03403623988251</v>
      </c>
      <c r="P3" s="1" t="s">
        <v>35</v>
      </c>
      <c r="Q3" s="1" t="s">
        <v>36</v>
      </c>
    </row>
    <row r="4" spans="1:18" x14ac:dyDescent="0.3">
      <c r="P4" s="1" t="s">
        <v>33</v>
      </c>
      <c r="Q4" t="s">
        <v>56</v>
      </c>
      <c r="R4" t="s">
        <v>34</v>
      </c>
    </row>
    <row r="5" spans="1:18" x14ac:dyDescent="0.3">
      <c r="P5" s="2" t="s">
        <v>81</v>
      </c>
      <c r="Q5" s="26">
        <v>112.03403623988181</v>
      </c>
      <c r="R5" s="26">
        <v>112.03403623988181</v>
      </c>
    </row>
    <row r="6" spans="1:18" x14ac:dyDescent="0.3">
      <c r="P6" s="3">
        <v>-1</v>
      </c>
      <c r="Q6" s="26">
        <v>112.03403623988181</v>
      </c>
      <c r="R6" s="26">
        <v>112.03403623988181</v>
      </c>
    </row>
    <row r="7" spans="1:18" x14ac:dyDescent="0.3">
      <c r="P7" s="4">
        <v>2020</v>
      </c>
      <c r="Q7" s="26">
        <v>-6.9418451711580459E-13</v>
      </c>
      <c r="R7" s="26">
        <v>-6.9418451711580459E-13</v>
      </c>
    </row>
    <row r="8" spans="1:18" x14ac:dyDescent="0.3">
      <c r="P8" s="4">
        <v>2050</v>
      </c>
      <c r="Q8" s="26">
        <v>112.03403623988251</v>
      </c>
      <c r="R8" s="26">
        <v>112.03403623988251</v>
      </c>
    </row>
    <row r="9" spans="1:18" x14ac:dyDescent="0.3">
      <c r="P9" s="2" t="s">
        <v>34</v>
      </c>
      <c r="Q9" s="26">
        <v>112.03403623988181</v>
      </c>
      <c r="R9" s="26">
        <v>112.03403623988181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A4"/>
  <sheetViews>
    <sheetView workbookViewId="0">
      <selection activeCell="G16" sqref="G16"/>
    </sheetView>
  </sheetViews>
  <sheetFormatPr defaultRowHeight="14.4" x14ac:dyDescent="0.3"/>
  <cols>
    <col min="1" max="1" width="77.6640625" bestFit="1" customWidth="1"/>
  </cols>
  <sheetData>
    <row r="1" spans="1:1" x14ac:dyDescent="0.3">
      <c r="A1" t="s">
        <v>83</v>
      </c>
    </row>
    <row r="2" spans="1:1" x14ac:dyDescent="0.3">
      <c r="A2" t="s">
        <v>163</v>
      </c>
    </row>
    <row r="3" spans="1:1" x14ac:dyDescent="0.3">
      <c r="A3" t="s">
        <v>86</v>
      </c>
    </row>
    <row r="4" spans="1:1" x14ac:dyDescent="0.3">
      <c r="A4" t="s">
        <v>87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5" sqref="B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9" t="s">
        <v>82</v>
      </c>
    </row>
    <row r="3" spans="2:2" ht="17.399999999999999" x14ac:dyDescent="0.4">
      <c r="B3" s="19" t="s">
        <v>85</v>
      </c>
    </row>
    <row r="4" spans="2:2" ht="17.399999999999999" x14ac:dyDescent="0.4">
      <c r="B4" s="19" t="s">
        <v>135</v>
      </c>
    </row>
    <row r="5" spans="2:2" x14ac:dyDescent="0.3">
      <c r="B5" t="s">
        <v>83</v>
      </c>
    </row>
    <row r="6" spans="2:2" x14ac:dyDescent="0.3">
      <c r="B6" t="str" cm="1">
        <f t="array" aca="1" ref="B6" ca="1">CELL("filename")</f>
        <v>C:\Users\mberos\gitRepos\balmorel-postprocessing\[InteractiveResults.xlsm]EMI_YCRAG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Guide</vt:lpstr>
      <vt:lpstr>Overview</vt:lpstr>
      <vt:lpstr>G_CAP_YCRAF</vt:lpstr>
      <vt:lpstr>PRO_YCRAGF</vt:lpstr>
      <vt:lpstr>OBJ_YCR</vt:lpstr>
      <vt:lpstr>EL_PRICE_YCR</vt:lpstr>
      <vt:lpstr>EMI_YCRAG</vt:lpstr>
      <vt:lpstr>ExcelPaths</vt:lpstr>
      <vt:lpstr>ExcelPathCommands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2023-12-16T18:11:52Z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